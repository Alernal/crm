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https://d.docs.live.net/e2672440234688e7/Archivo activo/Contabilidad/3. Formatos y herramientas/2026/Herramientas de trabajo/"/>
    </mc:Choice>
  </mc:AlternateContent>
  <xr:revisionPtr revIDLastSave="101" documentId="13_ncr:1_{AEC67B1E-16D1-4A2F-B1AA-CF973D93A260}" xr6:coauthVersionLast="47" xr6:coauthVersionMax="47" xr10:uidLastSave="{34751E3F-17CA-40A8-A793-C2E50EC02231}"/>
  <bookViews>
    <workbookView xWindow="-108" yWindow="-108" windowWidth="23256" windowHeight="12456" activeTab="2" xr2:uid="{67ED80C1-EAB8-48AF-81B9-41A01704C90A}"/>
  </bookViews>
  <sheets>
    <sheet name="Introducción" sheetId="19" r:id="rId1"/>
    <sheet name="Vacaciones" sheetId="17" r:id="rId2"/>
    <sheet name="Festivos" sheetId="16" r:id="rId3"/>
  </sheets>
  <externalReferences>
    <externalReference r:id="rId4"/>
    <externalReference r:id="rId5"/>
    <externalReference r:id="rId6"/>
    <externalReference r:id="rId7"/>
    <externalReference r:id="rId8"/>
    <externalReference r:id="rId9"/>
  </externalReferences>
  <definedNames>
    <definedName name="_xlnm._FilterDatabase" localSheetId="1" hidden="1">Vacaciones!$B$15:$P$125</definedName>
    <definedName name="AC">#REF!</definedName>
    <definedName name="ACC">#REF!</definedName>
    <definedName name="actividades_tarifas">'[1]Actividades '!$B$12:$J$40</definedName>
    <definedName name="AD">#REF!</definedName>
    <definedName name="Año_1">#REF!</definedName>
    <definedName name="Año_2">#REF!</definedName>
    <definedName name="AOP">#REF!</definedName>
    <definedName name="_xlnm.Print_Area" localSheetId="1">Vacaciones!$B$3:$AR$125</definedName>
    <definedName name="ARL">[2]Tablas!$A$12:$B$17</definedName>
    <definedName name="AS">#REF!</definedName>
    <definedName name="BE">#REF!</definedName>
    <definedName name="Bimestralmente" comment="cada dos meses">#REF!</definedName>
    <definedName name="BP_APERTURA">#REF!</definedName>
    <definedName name="BP_Diciembre_Año_2">#REF!</definedName>
    <definedName name="BP_Enero_Año_1">#REF!</definedName>
    <definedName name="CIR">#REF!</definedName>
    <definedName name="Codigo_Ctro_Costos_Grupo">#REF!</definedName>
    <definedName name="Codigo_CtroCostos">#REF!</definedName>
    <definedName name="Codigo1">[3]Año_1!$A$1:$A$65536</definedName>
    <definedName name="Codigos_PUC">#REF!</definedName>
    <definedName name="CR">#REF!</definedName>
    <definedName name="Cuatrimestralmente" comment="cada cuatro años">#REF!</definedName>
    <definedName name="CV">#REF!</definedName>
    <definedName name="DC">#REF!</definedName>
    <definedName name="DII">[4]Normativa!$E$46:$F$55</definedName>
    <definedName name="DIP">[4]Normativa!$M$20:$N$29</definedName>
    <definedName name="ECP">#REF!</definedName>
    <definedName name="ECPC">#REF!</definedName>
    <definedName name="EFE">#REF!</definedName>
    <definedName name="EGC">[4]Normativa!$N$162:$O$171</definedName>
    <definedName name="ENGC">[4]Normativa!$J$162:$K$261</definedName>
    <definedName name="ERC">#REF!</definedName>
    <definedName name="ETC">#REF!</definedName>
    <definedName name="EYE">#REF!</definedName>
    <definedName name="GCI">[4]Normativa!$E$33:$F$42</definedName>
    <definedName name="GCII">[4]Normativa!$I$33:$J$42</definedName>
    <definedName name="GCIII">[4]Normativa!$M$33:$N$42</definedName>
    <definedName name="GIMP">#REF!</definedName>
    <definedName name="GMF">[4]Normativa!$J$59:$M$110</definedName>
    <definedName name="GTOS">#REF!</definedName>
    <definedName name="HTEFE">#REF!</definedName>
    <definedName name="IBC">'[2]EJ1  Prest. servicios'!$D$14</definedName>
    <definedName name="IBC_2">'[2]EJ2  Prest. servicios'!$D$14</definedName>
    <definedName name="IBC_3">'[2]EJ3  Prest. servicios'!$D$16</definedName>
    <definedName name="IBC_4">'[2]EJ4 Otros independientes'!$D$13</definedName>
    <definedName name="IBC_42">'[2]EJ4 Otros independientes'!$G$13</definedName>
    <definedName name="IBC_5">'[2]EJ5 Otros independientes'!$D$17</definedName>
    <definedName name="IBC_52">'[2]EJ5 Otros independientes'!$G$17</definedName>
    <definedName name="IBC_6">#REF!</definedName>
    <definedName name="IBC_62">#REF!</definedName>
    <definedName name="ID">#REF!</definedName>
    <definedName name="IGF">#REF!</definedName>
    <definedName name="Indices">[5]Datos!$D$12:$D$15</definedName>
    <definedName name="INT">#REF!</definedName>
    <definedName name="INV">#REF!</definedName>
    <definedName name="INVER">#REF!</definedName>
    <definedName name="IPA">#REF!</definedName>
    <definedName name="IPC">#REF!</definedName>
    <definedName name="IPP">[4]Normativa!$I$46:$J$55</definedName>
    <definedName name="IR">[4]Normativa!$M$46:$N$55</definedName>
    <definedName name="IVA">[4]Normativa!$E$20:$K$29</definedName>
    <definedName name="Ksact1">[3]Año_1!$F$1:$F$65536</definedName>
    <definedName name="ListMonths">[6]Datos!$C$36:$C$47</definedName>
    <definedName name="MP">#REF!</definedName>
    <definedName name="MPD">#REF!</definedName>
    <definedName name="MSG_MACRO">"Debe habilitar las macros"</definedName>
    <definedName name="NGC">[4]Normativa!$E$59:$F$158</definedName>
    <definedName name="NIT">#REF!</definedName>
    <definedName name="OAF">#REF!</definedName>
    <definedName name="OIE">#REF!</definedName>
    <definedName name="PB">#REF!</definedName>
    <definedName name="PBG">#REF!</definedName>
    <definedName name="Periodo" comment="perido de pago">#REF!</definedName>
    <definedName name="PN">[4]Normativa!$E$162:$F$261</definedName>
    <definedName name="ppc">#REF!</definedName>
    <definedName name="PPYE">#REF!</definedName>
    <definedName name="PR">#REF!</definedName>
    <definedName name="PRLA">[4]Normativa!$J$368:$K$467</definedName>
    <definedName name="PUC">#REF!:#REF!</definedName>
    <definedName name="Razon_Social">#REF!</definedName>
    <definedName name="RES">#REF!</definedName>
    <definedName name="RM">#REF!</definedName>
    <definedName name="RT">[4]Normativa!$E$7:$Q$16</definedName>
    <definedName name="RTI">#REF!</definedName>
    <definedName name="SalInicial_20091231">#REF!</definedName>
    <definedName name="SalMin">#REF!</definedName>
    <definedName name="seleccion" comment="seleccion de periodo de pago">#REF!</definedName>
    <definedName name="SIM">[4]Normativa!$P$20:$V$29</definedName>
    <definedName name="SMMLV">'[2]EJ1  Prest. servicios'!$D$8</definedName>
    <definedName name="SMMLV_2">'[2]EJ2  Prest. servicios'!$D$8</definedName>
    <definedName name="SMMLV_3">'[2]EJ3  Prest. servicios'!$D$10</definedName>
    <definedName name="SMMLV_4">'[2]EJ4 Otros independientes'!$D$5</definedName>
    <definedName name="SMMLV_5">'[2]EJ5 Otros independientes'!$D$9</definedName>
    <definedName name="SMMLV_6">#REF!</definedName>
    <definedName name="SSI">[4]Normativa!$E$265:$F$364</definedName>
    <definedName name="SSII">[4]Normativa!$J$265:$K$364</definedName>
    <definedName name="TEE">[4]Normativa!$E$368:$F$467</definedName>
    <definedName name="transporte">[2]Tablas!$F$27:$K$33</definedName>
    <definedName name="VPND">#REF!</definedName>
    <definedName name="V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5" i="17" l="1"/>
  <c r="B3" i="17"/>
  <c r="N125" i="17"/>
  <c r="N18" i="17" l="1"/>
  <c r="O18" i="17" s="1"/>
  <c r="N17" i="17"/>
  <c r="O17" i="17" s="1"/>
  <c r="G18" i="17"/>
  <c r="G17" i="17"/>
  <c r="O125" i="17"/>
  <c r="O124" i="17"/>
  <c r="O123" i="17"/>
  <c r="O122" i="17"/>
  <c r="O121" i="17"/>
  <c r="O120" i="17"/>
  <c r="O119" i="17"/>
  <c r="O118" i="17"/>
  <c r="O117" i="17"/>
  <c r="O116" i="17"/>
  <c r="O115" i="17"/>
  <c r="O114" i="17"/>
  <c r="O113" i="17"/>
  <c r="O112" i="17"/>
  <c r="O111" i="17"/>
  <c r="O110" i="17"/>
  <c r="O109" i="17"/>
  <c r="O108" i="17"/>
  <c r="O107" i="17"/>
  <c r="O106" i="17"/>
  <c r="O105" i="17"/>
  <c r="O104" i="17"/>
  <c r="O103" i="17"/>
  <c r="O102" i="17"/>
  <c r="O101" i="17"/>
  <c r="O100" i="17"/>
  <c r="O99" i="17"/>
  <c r="O98" i="17"/>
  <c r="O97" i="17"/>
  <c r="O96" i="17"/>
  <c r="O95" i="17"/>
  <c r="O94" i="17"/>
  <c r="O93" i="17"/>
  <c r="O92" i="17"/>
  <c r="O91" i="17"/>
  <c r="O90" i="17"/>
  <c r="O89" i="17"/>
  <c r="O88" i="17"/>
  <c r="O87" i="17"/>
  <c r="O86" i="17"/>
  <c r="O85" i="17"/>
  <c r="O84" i="17"/>
  <c r="O83" i="17"/>
  <c r="O82" i="17"/>
  <c r="O81" i="17"/>
  <c r="O80" i="17"/>
  <c r="O79" i="17"/>
  <c r="O78" i="17"/>
  <c r="O77" i="17"/>
  <c r="O76" i="17"/>
  <c r="O75" i="17"/>
  <c r="O74" i="17"/>
  <c r="O73" i="17"/>
  <c r="O72" i="17"/>
  <c r="O71" i="17"/>
  <c r="O70" i="17"/>
  <c r="O69" i="17"/>
  <c r="O68" i="17"/>
  <c r="O67" i="17"/>
  <c r="O66" i="17"/>
  <c r="O65" i="17"/>
  <c r="O64" i="17"/>
  <c r="O63" i="17"/>
  <c r="O62" i="17"/>
  <c r="O61" i="17"/>
  <c r="O60" i="17"/>
  <c r="O59" i="17"/>
  <c r="O58" i="17"/>
  <c r="O57" i="17"/>
  <c r="O56" i="17"/>
  <c r="O55" i="17"/>
  <c r="O54" i="17"/>
  <c r="O53" i="17"/>
  <c r="O52" i="17"/>
  <c r="O51" i="17"/>
  <c r="O50" i="17"/>
  <c r="O49" i="17"/>
  <c r="O48" i="17"/>
  <c r="O47" i="17"/>
  <c r="O46" i="17"/>
  <c r="O45" i="17"/>
  <c r="O44" i="17"/>
  <c r="O43" i="17"/>
  <c r="O42" i="17"/>
  <c r="O41" i="17"/>
  <c r="O40" i="17"/>
  <c r="O39" i="17"/>
  <c r="O38" i="17"/>
  <c r="O37" i="17"/>
  <c r="O36" i="17"/>
  <c r="O35" i="17"/>
  <c r="O34" i="17"/>
  <c r="O33" i="17"/>
  <c r="O31" i="17"/>
  <c r="O30" i="17"/>
  <c r="O29" i="17"/>
  <c r="O28" i="17"/>
  <c r="O27" i="17"/>
  <c r="O26" i="17"/>
  <c r="O25" i="17"/>
  <c r="O24" i="17"/>
  <c r="O23" i="17"/>
  <c r="O22" i="17"/>
  <c r="O21" i="17"/>
  <c r="G20"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19" i="17"/>
  <c r="N124" i="17"/>
  <c r="N123" i="17"/>
  <c r="N122" i="17"/>
  <c r="N121" i="17"/>
  <c r="N120" i="17"/>
  <c r="N119" i="17"/>
  <c r="N118" i="17"/>
  <c r="N117" i="17"/>
  <c r="N116" i="17"/>
  <c r="N115" i="17"/>
  <c r="N114" i="17"/>
  <c r="N113" i="17"/>
  <c r="N112" i="17"/>
  <c r="N111" i="17"/>
  <c r="N110" i="17"/>
  <c r="N109" i="17"/>
  <c r="N108" i="17"/>
  <c r="N107" i="17"/>
  <c r="N106" i="17"/>
  <c r="N105" i="17"/>
  <c r="N104" i="17"/>
  <c r="N103" i="17"/>
  <c r="N102" i="17"/>
  <c r="N101" i="17"/>
  <c r="N100" i="17"/>
  <c r="N99" i="17"/>
  <c r="N98" i="17"/>
  <c r="N97" i="17"/>
  <c r="N96" i="17"/>
  <c r="N95" i="17"/>
  <c r="N94" i="17"/>
  <c r="N93" i="17"/>
  <c r="N92" i="17"/>
  <c r="N91" i="17"/>
  <c r="N90" i="17"/>
  <c r="N89" i="17"/>
  <c r="N88" i="17"/>
  <c r="N87" i="17"/>
  <c r="N86" i="17"/>
  <c r="N85" i="17"/>
  <c r="N84" i="17"/>
  <c r="N83" i="17"/>
  <c r="N82" i="17"/>
  <c r="N81" i="17"/>
  <c r="N80" i="17"/>
  <c r="N79" i="17"/>
  <c r="N78" i="17"/>
  <c r="N77" i="17"/>
  <c r="N76" i="17"/>
  <c r="N75" i="17"/>
  <c r="N74" i="17"/>
  <c r="N73" i="17"/>
  <c r="N72" i="17"/>
  <c r="N71" i="17"/>
  <c r="N70" i="17"/>
  <c r="N69" i="17"/>
  <c r="N68" i="17"/>
  <c r="N67" i="17"/>
  <c r="N66" i="17"/>
  <c r="N65" i="17"/>
  <c r="N64" i="17"/>
  <c r="N63" i="17"/>
  <c r="N62" i="17"/>
  <c r="N61" i="17"/>
  <c r="N60" i="17"/>
  <c r="N59" i="17"/>
  <c r="N58" i="17"/>
  <c r="N57" i="17"/>
  <c r="N56" i="17"/>
  <c r="N55" i="17"/>
  <c r="N54" i="17"/>
  <c r="N53" i="17"/>
  <c r="N52" i="17"/>
  <c r="N51" i="17"/>
  <c r="N50" i="17"/>
  <c r="N49" i="17"/>
  <c r="N48" i="17"/>
  <c r="N47" i="17"/>
  <c r="N46" i="17"/>
  <c r="N45" i="17"/>
  <c r="N44" i="17"/>
  <c r="N43" i="17"/>
  <c r="N42" i="17"/>
  <c r="N41" i="17"/>
  <c r="N40" i="17"/>
  <c r="N39" i="17"/>
  <c r="N38" i="17"/>
  <c r="N37" i="17"/>
  <c r="N36" i="17"/>
  <c r="N35" i="17"/>
  <c r="N34" i="17"/>
  <c r="N33" i="17"/>
  <c r="N32" i="17"/>
  <c r="O32" i="17" s="1"/>
  <c r="N31" i="17"/>
  <c r="N30" i="17"/>
  <c r="N29" i="17"/>
  <c r="N28" i="17"/>
  <c r="N27" i="17"/>
  <c r="N26" i="17"/>
  <c r="N25" i="17"/>
  <c r="N24" i="17"/>
  <c r="N23" i="17"/>
  <c r="N22" i="17"/>
  <c r="N21" i="17"/>
  <c r="N20" i="17"/>
  <c r="O20" i="17" s="1"/>
  <c r="N19" i="17"/>
  <c r="O19" i="17" s="1"/>
  <c r="D11" i="17"/>
  <c r="Q15" i="17" s="1"/>
  <c r="R15" i="17" s="1"/>
  <c r="R14" i="17" s="1"/>
  <c r="P60" i="17" l="1"/>
  <c r="P69" i="17"/>
  <c r="P91" i="17"/>
  <c r="P55" i="17"/>
  <c r="P63" i="17"/>
  <c r="P26" i="17"/>
  <c r="P30" i="17"/>
  <c r="P37" i="17"/>
  <c r="P49" i="17"/>
  <c r="P97" i="17"/>
  <c r="P117" i="17"/>
  <c r="P125" i="17"/>
  <c r="P38" i="17"/>
  <c r="P74" i="17"/>
  <c r="P98" i="17"/>
  <c r="P110" i="17"/>
  <c r="P114" i="17"/>
  <c r="P118" i="17"/>
  <c r="P122" i="17"/>
  <c r="P44" i="17"/>
  <c r="P56" i="17"/>
  <c r="P64" i="17"/>
  <c r="P80" i="17"/>
  <c r="P88" i="17"/>
  <c r="P92" i="17"/>
  <c r="P104" i="17"/>
  <c r="P108" i="17"/>
  <c r="P33" i="17"/>
  <c r="P50" i="17"/>
  <c r="P86" i="17"/>
  <c r="P70" i="17"/>
  <c r="P45" i="17"/>
  <c r="P61" i="17"/>
  <c r="P81" i="17"/>
  <c r="P93" i="17"/>
  <c r="P105" i="17"/>
  <c r="P109" i="17"/>
  <c r="P23" i="17"/>
  <c r="P27" i="17"/>
  <c r="P31" i="17"/>
  <c r="P36" i="17"/>
  <c r="P40" i="17"/>
  <c r="P48" i="17"/>
  <c r="P52" i="17"/>
  <c r="P68" i="17"/>
  <c r="P72" i="17"/>
  <c r="P76" i="17"/>
  <c r="P84" i="17"/>
  <c r="P96" i="17"/>
  <c r="P100" i="17"/>
  <c r="P112" i="17"/>
  <c r="P116" i="17"/>
  <c r="P120" i="17"/>
  <c r="P124" i="17"/>
  <c r="P35" i="17"/>
  <c r="P43" i="17"/>
  <c r="P51" i="17"/>
  <c r="P59" i="17"/>
  <c r="P71" i="17"/>
  <c r="P79" i="17"/>
  <c r="P83" i="17"/>
  <c r="P99" i="17"/>
  <c r="P103" i="17"/>
  <c r="P111" i="17"/>
  <c r="P115" i="17"/>
  <c r="P123" i="17"/>
  <c r="P24" i="17"/>
  <c r="P28" i="17"/>
  <c r="P32" i="17"/>
  <c r="P41" i="17"/>
  <c r="P53" i="17"/>
  <c r="P57" i="17"/>
  <c r="P65" i="17"/>
  <c r="P73" i="17"/>
  <c r="P77" i="17"/>
  <c r="P85" i="17"/>
  <c r="P89" i="17"/>
  <c r="P101" i="17"/>
  <c r="P113" i="17"/>
  <c r="P121" i="17"/>
  <c r="P39" i="17"/>
  <c r="P47" i="17"/>
  <c r="P67" i="17"/>
  <c r="P75" i="17"/>
  <c r="P87" i="17"/>
  <c r="P95" i="17"/>
  <c r="P107" i="17"/>
  <c r="P119" i="17"/>
  <c r="P21" i="17"/>
  <c r="P25" i="17"/>
  <c r="P29" i="17"/>
  <c r="P34" i="17"/>
  <c r="P42" i="17"/>
  <c r="P46" i="17"/>
  <c r="P54" i="17"/>
  <c r="P58" i="17"/>
  <c r="P62" i="17"/>
  <c r="P66" i="17"/>
  <c r="P78" i="17"/>
  <c r="P82" i="17"/>
  <c r="P90" i="17"/>
  <c r="P94" i="17"/>
  <c r="P102" i="17"/>
  <c r="P106" i="17"/>
  <c r="P20" i="17"/>
  <c r="Q14" i="17"/>
  <c r="P19" i="17"/>
  <c r="P17" i="17"/>
  <c r="P22" i="17"/>
  <c r="P18" i="17"/>
  <c r="S15" i="17"/>
  <c r="S14" i="17" s="1"/>
  <c r="R16" i="17"/>
  <c r="Q16" i="17"/>
  <c r="T15" i="17" l="1"/>
  <c r="T14" i="17" s="1"/>
  <c r="S16" i="17"/>
  <c r="T16" i="17" l="1"/>
  <c r="U15" i="17"/>
  <c r="U14" i="17" s="1"/>
  <c r="V15" i="17" l="1"/>
  <c r="V14" i="17" s="1"/>
  <c r="U16" i="17"/>
  <c r="W15" i="17" l="1"/>
  <c r="W14" i="17" s="1"/>
  <c r="V16" i="17"/>
  <c r="X15" i="17" l="1"/>
  <c r="X14" i="17" s="1"/>
  <c r="W16" i="17"/>
  <c r="X16" i="17" l="1"/>
  <c r="Y15" i="17"/>
  <c r="Y14" i="17" s="1"/>
  <c r="Z15" i="17" l="1"/>
  <c r="Z14" i="17" s="1"/>
  <c r="Y16" i="17"/>
  <c r="Z16" i="17" l="1"/>
  <c r="AA15" i="17"/>
  <c r="AA14" i="17" s="1"/>
  <c r="AB15" i="17" l="1"/>
  <c r="AB14" i="17" s="1"/>
  <c r="AA16" i="17"/>
  <c r="AB16" i="17" l="1"/>
  <c r="AC15" i="17"/>
  <c r="AC14" i="17" s="1"/>
  <c r="AD15" i="17" l="1"/>
  <c r="AD14" i="17" s="1"/>
  <c r="AC16" i="17"/>
  <c r="AD16" i="17" l="1"/>
  <c r="AE15" i="17"/>
  <c r="AE14" i="17" s="1"/>
  <c r="AF15" i="17" l="1"/>
  <c r="AF14" i="17" s="1"/>
  <c r="AE16" i="17"/>
  <c r="AF16" i="17" l="1"/>
  <c r="AG15" i="17"/>
  <c r="AG14" i="17" s="1"/>
  <c r="AH15" i="17" l="1"/>
  <c r="AH14" i="17" s="1"/>
  <c r="AG16" i="17"/>
  <c r="AH16" i="17" l="1"/>
  <c r="AI15" i="17"/>
  <c r="AI14" i="17" s="1"/>
  <c r="AJ15" i="17" l="1"/>
  <c r="AJ14" i="17" s="1"/>
  <c r="AI16" i="17"/>
  <c r="AJ16" i="17" l="1"/>
  <c r="AK15" i="17"/>
  <c r="AK14" i="17" s="1"/>
  <c r="AL15" i="17" l="1"/>
  <c r="AL14" i="17" s="1"/>
  <c r="AK16" i="17"/>
  <c r="AL16" i="17" l="1"/>
  <c r="AM15" i="17"/>
  <c r="AM14" i="17" s="1"/>
  <c r="AN15" i="17" l="1"/>
  <c r="AN14" i="17" s="1"/>
  <c r="AM16" i="17"/>
  <c r="AN16" i="17" l="1"/>
  <c r="AO15" i="17"/>
  <c r="AO14" i="17" s="1"/>
  <c r="AP15" i="17" l="1"/>
  <c r="AP14" i="17" s="1"/>
  <c r="AO16" i="17"/>
  <c r="AP16" i="17" l="1"/>
  <c r="AQ15" i="17"/>
  <c r="AQ14" i="17" s="1"/>
  <c r="AR15" i="17" l="1"/>
  <c r="AR14" i="17" s="1"/>
  <c r="AQ16" i="17"/>
  <c r="AR16" i="1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Monica Arias</author>
    <author>ERIKA INAGAN</author>
  </authors>
  <commentList>
    <comment ref="F12" authorId="0" shapeId="0" xr:uid="{E861A422-A2C3-4D3D-B508-FF5BC1303AFB}">
      <text>
        <r>
          <rPr>
            <sz val="9"/>
            <color indexed="81"/>
            <rFont val="Tahoma"/>
            <family val="2"/>
          </rPr>
          <t>Las celdas restaltadas en color amarillo son totalmente editables y deben ser diligenciadas por el usuario.</t>
        </r>
      </text>
    </comment>
    <comment ref="F15" authorId="1" shapeId="0" xr:uid="{92967772-9E8E-4F21-A818-4BFF04E1DE7A}">
      <text>
        <r>
          <rPr>
            <sz val="9"/>
            <color indexed="81"/>
            <rFont val="Tahoma"/>
            <family val="2"/>
          </rPr>
          <t>Si el empleado ingresó el 1 de agosto de 2021, entonces se cumpliría su período de vacaciones el 1 de agosto de cada año.</t>
        </r>
      </text>
    </comment>
    <comment ref="G15" authorId="1" shapeId="0" xr:uid="{82012EA0-99AD-4841-AB69-886D553BC864}">
      <text>
        <r>
          <rPr>
            <sz val="9"/>
            <color indexed="81"/>
            <rFont val="Tahoma"/>
            <family val="2"/>
          </rPr>
          <t>Al cumplirse el período de vacaciones se adicionan automáticamente 15 días a los días acumulados del empleado. Es decir, únicamente cuando se cumple el año del contrato. Por lo tanto, esta celda no hace un cálculo proporcional de las vacaciones.</t>
        </r>
      </text>
    </comment>
    <comment ref="G17" authorId="1" shapeId="0" xr:uid="{F6BA24BA-00C7-4F67-A01C-E685F1E00F6A}">
      <text>
        <r>
          <rPr>
            <sz val="9"/>
            <color indexed="81"/>
            <rFont val="Tahoma"/>
            <family val="2"/>
          </rPr>
          <t xml:space="preserve">Las celdas en color gris se diligencian de forma automática.
</t>
        </r>
      </text>
    </comment>
  </commentList>
</comments>
</file>

<file path=xl/sharedStrings.xml><?xml version="1.0" encoding="utf-8"?>
<sst xmlns="http://schemas.openxmlformats.org/spreadsheetml/2006/main" count="76" uniqueCount="76">
  <si>
    <t>Listado de días festivos en Colombia</t>
  </si>
  <si>
    <t>Fecha</t>
  </si>
  <si>
    <t>Festivo</t>
  </si>
  <si>
    <t>Independencia de Cartagena</t>
  </si>
  <si>
    <t>Navidad</t>
  </si>
  <si>
    <t>Año Nuevo</t>
  </si>
  <si>
    <t>Día de los Reyes Magos</t>
  </si>
  <si>
    <t>Día de San José</t>
  </si>
  <si>
    <t>Jueves Santo</t>
  </si>
  <si>
    <t>Viernes Santo</t>
  </si>
  <si>
    <t>Día del Trabajo</t>
  </si>
  <si>
    <t>Corpus Christi</t>
  </si>
  <si>
    <t>Día de la Independencia</t>
  </si>
  <si>
    <t>Batalla de Boyacá</t>
  </si>
  <si>
    <t>Día de Todos los Santos</t>
  </si>
  <si>
    <t>ID</t>
  </si>
  <si>
    <t>Nombre del empleado</t>
  </si>
  <si>
    <t>Número de identificación</t>
  </si>
  <si>
    <t>Días de vacaciones pendientes al inicio del período</t>
  </si>
  <si>
    <t>Fecha de inicio del período</t>
  </si>
  <si>
    <t>Total de días tomados en el período</t>
  </si>
  <si>
    <t>Para desplazarse entre las fechas haga clic en la siguiente barra:</t>
  </si>
  <si>
    <t>- Fecha en que cumple un período adicional de vacaciones.</t>
  </si>
  <si>
    <t>- Días de vacaciones pendientes al final del período.</t>
  </si>
  <si>
    <t>Material relacionado:</t>
  </si>
  <si>
    <t>[Carta] Modelo de carta para notificar vacaciones a empleados</t>
  </si>
  <si>
    <t>[Liquidador] Liquidador de vacaciones en Excel aplicado a 10 casos prácticos</t>
  </si>
  <si>
    <t>Días mínimos de vacaciones en el año (art. 190 del CST)</t>
  </si>
  <si>
    <t>Formato para el control de vacaciones en empleados</t>
  </si>
  <si>
    <t>Fecha en que se cumple un periodo adicional de vacaciones</t>
  </si>
  <si>
    <t>Días hábiles solicitados por el trabajador para el período 1</t>
  </si>
  <si>
    <t>Días hábiles solicitados por el trabajador para el período 2</t>
  </si>
  <si>
    <t>Días de vacaciones pendientes al final del período</t>
  </si>
  <si>
    <t>Con este modelo para notificar vacaciones a empleados podrás informar a tus trabajadores la fecha en que empiezan sus vacaciones y en la que deben retornar a sus labores. Recuerda que se debe reportar con una antelación de mínimo 15 días el período en que se concederán las vacaciones a un trabajador.</t>
  </si>
  <si>
    <t xml:space="preserve">Te presentamos nuestro liquidador de vacaciones en Excel en el que encontrarás 10 casos prácticos. Podrás calcular el valor de las vacaciones para empleados que devengan un salario variable o integral, o que han tenido una suspensión de su contrato de trabajo, entre otras circunstancias más. </t>
  </si>
  <si>
    <t>[Ruta de Actualización] Vacaciones laborales en Colombia: ¿cómo se conceden y liquidan?</t>
  </si>
  <si>
    <t>Las vacaciones laborales en Colombia son un derecho fundamental para los trabajadores y una obligación para los empleadores. En este contenido de 360 grados te explicamos cómo se conceden, cuándo se pueden disfrutar y cómo se deben liquidar según la legislación laboral vigente.</t>
  </si>
  <si>
    <r>
      <rPr>
        <sz val="12"/>
        <rFont val="Arial"/>
        <family val="2"/>
      </rPr>
      <t xml:space="preserve">Este formato diseñado en Excel te permite hacer un seguimiento de los días de vacaciones disfrutados durante un año por tus empleados, así como de los días pendientes por disfrutar al final del período.
Todo se visualiza de forma práctica en un cronograma automático. </t>
    </r>
    <r>
      <rPr>
        <u/>
        <sz val="12"/>
        <color theme="10"/>
        <rFont val="Arial"/>
        <family val="2"/>
      </rPr>
      <t>¡Úsalo ahora!</t>
    </r>
  </si>
  <si>
    <r>
      <rPr>
        <sz val="12"/>
        <rFont val="Arial"/>
        <family val="2"/>
      </rPr>
      <t xml:space="preserve">Mediante nuestro modelo podrás realizar un seguimiento de las </t>
    </r>
    <r>
      <rPr>
        <u/>
        <sz val="12"/>
        <color theme="10"/>
        <rFont val="Arial"/>
        <family val="2"/>
      </rPr>
      <t>vacaciones de tus empleados</t>
    </r>
    <r>
      <rPr>
        <sz val="12"/>
        <rFont val="Arial"/>
        <family val="2"/>
      </rPr>
      <t>, teniendo en cuenta para cada trabajador los siguientes datos:</t>
    </r>
  </si>
  <si>
    <t>- Días totales de vacaciones pendientes por disfrutar.</t>
  </si>
  <si>
    <t>- Días hábiles de vacaciones solicitados por el trabajador.</t>
  </si>
  <si>
    <r>
      <rPr>
        <sz val="12"/>
        <rFont val="Arial"/>
        <family val="2"/>
      </rPr>
      <t xml:space="preserve">- Alerta para los días mínimos de vacaciones que debe disfrutar el empleado durante el año según lo expuestos por el </t>
    </r>
    <r>
      <rPr>
        <u/>
        <sz val="12"/>
        <color theme="10"/>
        <rFont val="Arial"/>
        <family val="2"/>
      </rPr>
      <t>artículo 190 del Código Sustantivo del Trabajo –CST–</t>
    </r>
    <r>
      <rPr>
        <sz val="12"/>
        <rFont val="Arial"/>
        <family val="2"/>
      </rPr>
      <t>).</t>
    </r>
  </si>
  <si>
    <r>
      <rPr>
        <sz val="12"/>
        <rFont val="Arial"/>
        <family val="2"/>
      </rPr>
      <t xml:space="preserve">Esta información te será útil para programar fácilmente las </t>
    </r>
    <r>
      <rPr>
        <u/>
        <sz val="12"/>
        <color theme="10"/>
        <rFont val="Arial"/>
        <family val="2"/>
      </rPr>
      <t>vacaciones de tus empleados</t>
    </r>
    <r>
      <rPr>
        <sz val="12"/>
        <rFont val="Arial"/>
        <family val="2"/>
      </rPr>
      <t xml:space="preserve"> evitando que se afecten las actividades de la empresa.</t>
    </r>
  </si>
  <si>
    <r>
      <rPr>
        <b/>
        <sz val="12"/>
        <rFont val="Arial"/>
        <family val="2"/>
      </rPr>
      <t>Nota:</t>
    </r>
    <r>
      <rPr>
        <sz val="12"/>
        <rFont val="Arial"/>
        <family val="2"/>
      </rPr>
      <t xml:space="preserve"> la más reciente Ley de reforma laboral 2466 de junio 25 de 2025 no efectuó cambio alguno en la liquidación, el pago o el disfrute de las vacaciones. Te invitamos a explorar los demás </t>
    </r>
    <r>
      <rPr>
        <u/>
        <sz val="12"/>
        <color theme="10"/>
        <rFont val="Arial"/>
        <family val="2"/>
      </rPr>
      <t>ajustes realizados a la legislación laboral colombiana y su fecha de entrada en vigor.</t>
    </r>
  </si>
  <si>
    <r>
      <rPr>
        <sz val="12"/>
        <rFont val="Arial"/>
        <family val="2"/>
      </rPr>
      <t xml:space="preserve">Las vacaciones laborales son un derecho de todos los trabajadores dependientes en Colombia. Por cada año de servicio se conceden 15 días hábiles de descanso remunerado o proporcional al tiempo laborado si fuese inferior a un año. </t>
    </r>
    <r>
      <rPr>
        <u/>
        <sz val="12"/>
        <color theme="10"/>
        <rFont val="Arial"/>
        <family val="2"/>
      </rPr>
      <t>La fórmula es la siguiente:</t>
    </r>
  </si>
  <si>
    <t>Pautas para conceder el periodo de vacaciones a los empleados</t>
  </si>
  <si>
    <r>
      <rPr>
        <sz val="12"/>
        <rFont val="Arial"/>
        <family val="2"/>
      </rPr>
      <t xml:space="preserve">Como patrono tienes la facultad de decidir en qué fecha otorgar el </t>
    </r>
    <r>
      <rPr>
        <u/>
        <sz val="12"/>
        <color theme="10"/>
        <rFont val="Arial"/>
        <family val="2"/>
      </rPr>
      <t>período de vacaciones</t>
    </r>
    <r>
      <rPr>
        <sz val="12"/>
        <rFont val="Arial"/>
        <family val="2"/>
      </rPr>
      <t xml:space="preserve"> a tus empleados. Sin embargo, puedes acordar dichos días con tu trabajador considerando lo siguiente:</t>
    </r>
  </si>
  <si>
    <r>
      <rPr>
        <b/>
        <sz val="12"/>
        <rFont val="Arial"/>
        <family val="2"/>
      </rPr>
      <t>Nota:</t>
    </r>
    <r>
      <rPr>
        <sz val="12"/>
        <rFont val="Arial"/>
        <family val="2"/>
      </rPr>
      <t xml:space="preserve"> el diseño, los datos o comentarios bajo los cuales se elaboró este formato y cada una de sus hojas de cálculo se entregan a título de guía y hacen parte de la interpretación de Actualícese. Será el usuario quien deba estudiar las normas requeridas, preparar y emitir la información a la que haya lugar. Actualícese no se hace responsable de las interpretaciones, operaciones o información derivadas del uso de esta herramienta.</t>
    </r>
  </si>
  <si>
    <t>JuanK Ánchez</t>
  </si>
  <si>
    <t>Marí Dor Jarez</t>
  </si>
  <si>
    <t>Dian Santi</t>
  </si>
  <si>
    <t>9955201 A</t>
  </si>
  <si>
    <t>1107105269 B</t>
  </si>
  <si>
    <t>31642000 C</t>
  </si>
  <si>
    <t>Días totales de vacaciones pendientes por disfrutar (este cálculo es año cumplido)</t>
  </si>
  <si>
    <t>Fecha final de las vacaciones disfrutadas del período 1</t>
  </si>
  <si>
    <t>Fecha de inicio de las vacaciones disfrutadas del período 1</t>
  </si>
  <si>
    <t>Fecha de inicio de las vacaciones disfrutadas del período 2</t>
  </si>
  <si>
    <t>Fecha final de las vacaciones disfrutadas del período 2</t>
  </si>
  <si>
    <t xml:space="preserve">VACACIONES </t>
  </si>
  <si>
    <r>
      <rPr>
        <sz val="12"/>
        <rFont val="Arial"/>
        <family val="2"/>
      </rPr>
      <t>- Todo empleado debe gozar por lo menos de 6 días hábiles continuos en el año. Los días restantes se pueden acumular hasta por 2 años (</t>
    </r>
    <r>
      <rPr>
        <u/>
        <sz val="12"/>
        <color theme="10"/>
        <rFont val="Arial"/>
        <family val="2"/>
      </rPr>
      <t>artículo 190 del CST</t>
    </r>
    <r>
      <rPr>
        <sz val="12"/>
        <rFont val="Arial"/>
        <family val="2"/>
      </rPr>
      <t>). Los trabajadores técnicos, especializados, de confianza, de manejo o de extranjeros que presten sus servicios en lugares distintos a los de la residencia de sus familiares pueden acumular los días restantes hasta por 4 años.</t>
    </r>
  </si>
  <si>
    <r>
      <rPr>
        <sz val="12"/>
        <rFont val="Arial"/>
        <family val="2"/>
      </rPr>
      <t>- El período de los profesionales y ayudantes que trabajan en establecimientos privados dedicados a la lucha contra la tuberculosis y los ocupados en la aplicación de rayos X, es de 15 días por cada 6 meses de trabajo (</t>
    </r>
    <r>
      <rPr>
        <u/>
        <sz val="12"/>
        <color theme="10"/>
        <rFont val="Arial"/>
        <family val="2"/>
      </rPr>
      <t>artículo 186 del CST</t>
    </r>
    <r>
      <rPr>
        <sz val="12"/>
        <rFont val="Arial"/>
        <family val="2"/>
      </rPr>
      <t>).</t>
    </r>
  </si>
  <si>
    <r>
      <rPr>
        <sz val="12"/>
        <rFont val="Arial"/>
        <family val="2"/>
      </rPr>
      <t>- Si el trabajador lo solicita puede acordarse la compensación en dinero (</t>
    </r>
    <r>
      <rPr>
        <u/>
        <sz val="12"/>
        <color theme="10"/>
        <rFont val="Arial"/>
        <family val="2"/>
      </rPr>
      <t>artículo 189 del CST</t>
    </r>
    <r>
      <rPr>
        <sz val="12"/>
        <rFont val="Arial"/>
        <family val="2"/>
      </rPr>
      <t>).</t>
    </r>
  </si>
  <si>
    <t>- Se debe informar al trabajador con 15 días de anticipación la fecha del disfrute.</t>
  </si>
  <si>
    <t xml:space="preserve">Fórmula </t>
  </si>
  <si>
    <t>- Días pendientes por disfrutar al inicio del período.</t>
  </si>
  <si>
    <t>Ascensión de Jesús</t>
  </si>
  <si>
    <t>Sagrado Corazón de Jesús</t>
  </si>
  <si>
    <t>Día de San Pedro y San Pablo</t>
  </si>
  <si>
    <t>Asunción de la Virgen</t>
  </si>
  <si>
    <t>Día de la Raza</t>
  </si>
  <si>
    <t>Inmaculada Concepción</t>
  </si>
  <si>
    <t>(Fecha de actualización: mayo 14 de 2026)</t>
  </si>
  <si>
    <r>
      <rPr>
        <b/>
        <sz val="12"/>
        <rFont val="Arial"/>
        <family val="2"/>
      </rPr>
      <t xml:space="preserve"> * Salario mensual básico x días trabajados / 720 días
</t>
    </r>
    <r>
      <rPr>
        <sz val="12"/>
        <rFont val="Arial"/>
        <family val="2"/>
      </rPr>
      <t xml:space="preserve">
 * El valor del salario mensual básico devengado por el trabajador no incluye el auxilio de transporte o conectividad ni el valor del trabajo suplementario en horas extra o de recargos dominicales o festivos (ver el </t>
    </r>
    <r>
      <rPr>
        <u/>
        <sz val="12"/>
        <color theme="10"/>
        <rFont val="Arial"/>
        <family val="2"/>
      </rPr>
      <t>artículo 192 del CST</t>
    </r>
    <r>
      <rPr>
        <sz val="12"/>
        <rFont val="Arial"/>
        <family val="2"/>
      </rPr>
      <t>).</t>
    </r>
  </si>
  <si>
    <t>Mon Ar</t>
  </si>
  <si>
    <t>123456789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</si>
</sst>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yy"/>
    <numFmt numFmtId="165" formatCode="ddd"/>
  </numFmts>
  <fonts count="28" x14ac:knownFonts="1">
    <font>
      <sz val="11"/>
      <color theme="1"/>
      <name val="Calibri"/>
      <family val="2"/>
      <scheme val="minor"/>
    </font>
    <font>
      <u/>
      <sz val="11"/>
      <color theme="10"/>
      <name val="Calibri"/>
      <family val="2"/>
      <scheme val="minor"/>
    </font>
    <font>
      <sz val="10"/>
      <color rgb="FF000000"/>
      <name val="Arial"/>
      <family val="2"/>
    </font>
    <font>
      <sz val="10"/>
      <color rgb="FF000000"/>
      <name val="Arial"/>
      <family val="2"/>
    </font>
    <font>
      <u/>
      <sz val="10"/>
      <color theme="10"/>
      <name val="Arial"/>
      <family val="2"/>
    </font>
    <font>
      <u/>
      <sz val="10"/>
      <color theme="10"/>
      <name val="Arial"/>
      <family val="2"/>
    </font>
    <font>
      <u/>
      <sz val="12"/>
      <color theme="10"/>
      <name val="Arial"/>
      <family val="2"/>
    </font>
    <font>
      <sz val="10"/>
      <name val="Arial"/>
      <family val="2"/>
    </font>
    <font>
      <u/>
      <sz val="10"/>
      <color indexed="12"/>
      <name val="Arial"/>
      <family val="2"/>
    </font>
    <font>
      <sz val="11"/>
      <color theme="1"/>
      <name val="Calibri"/>
      <family val="2"/>
      <scheme val="minor"/>
    </font>
    <font>
      <b/>
      <sz val="20"/>
      <color theme="4"/>
      <name val="Arial"/>
      <family val="2"/>
    </font>
    <font>
      <b/>
      <sz val="12"/>
      <color theme="0"/>
      <name val="Arial"/>
      <family val="2"/>
    </font>
    <font>
      <sz val="12"/>
      <color theme="1"/>
      <name val="Arial"/>
      <family val="2"/>
    </font>
    <font>
      <i/>
      <sz val="12"/>
      <color theme="1"/>
      <name val="Arial"/>
      <family val="2"/>
    </font>
    <font>
      <sz val="12"/>
      <name val="Arial"/>
      <family val="2"/>
    </font>
    <font>
      <b/>
      <sz val="12"/>
      <color theme="1"/>
      <name val="Arial"/>
      <family val="2"/>
    </font>
    <font>
      <b/>
      <sz val="11"/>
      <color theme="0"/>
      <name val="Arial"/>
      <family val="2"/>
    </font>
    <font>
      <b/>
      <sz val="11"/>
      <name val="Arial"/>
      <family val="2"/>
    </font>
    <font>
      <sz val="12"/>
      <color theme="0"/>
      <name val="Arial"/>
      <family val="2"/>
    </font>
    <font>
      <sz val="10"/>
      <color rgb="FFFF0000"/>
      <name val="Arial"/>
      <family val="2"/>
    </font>
    <font>
      <sz val="9"/>
      <color indexed="81"/>
      <name val="Tahoma"/>
      <family val="2"/>
    </font>
    <font>
      <b/>
      <sz val="12"/>
      <color rgb="FF2F5496"/>
      <name val="Arial"/>
      <family val="2"/>
    </font>
    <font>
      <b/>
      <sz val="20"/>
      <color rgb="FF2C67DC"/>
      <name val="Arial"/>
      <family val="2"/>
    </font>
    <font>
      <b/>
      <sz val="16"/>
      <color rgb="FF2C67DC"/>
      <name val="Arial"/>
      <family val="2"/>
    </font>
    <font>
      <b/>
      <sz val="14"/>
      <color theme="0"/>
      <name val="Arial"/>
      <family val="2"/>
    </font>
    <font>
      <b/>
      <sz val="12"/>
      <name val="Arial"/>
      <family val="2"/>
    </font>
    <font>
      <sz val="11"/>
      <color theme="1"/>
      <name val="Arial"/>
      <family val="2"/>
    </font>
    <font>
      <b/>
      <sz val="14"/>
      <color theme="4"/>
      <name val="Arial"/>
      <family val="2"/>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2"/>
        <bgColor indexed="64"/>
      </patternFill>
    </fill>
    <fill>
      <patternFill patternType="solid">
        <fgColor theme="4" tint="0.59999389629810485"/>
        <bgColor indexed="64"/>
      </patternFill>
    </fill>
    <fill>
      <patternFill patternType="solid">
        <fgColor rgb="FF0066FF"/>
        <bgColor indexed="64"/>
      </patternFill>
    </fill>
    <fill>
      <patternFill patternType="solid">
        <fgColor rgb="FF2C67DC"/>
        <bgColor indexed="64"/>
      </patternFill>
    </fill>
    <fill>
      <patternFill patternType="solid">
        <fgColor rgb="FF88F74B"/>
        <bgColor indexed="64"/>
      </patternFill>
    </fill>
  </fills>
  <borders count="3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auto="1"/>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auto="1"/>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0">
    <xf numFmtId="0" fontId="0" fillId="0" borderId="0"/>
    <xf numFmtId="0" fontId="1" fillId="0" borderId="0" applyNumberFormat="0" applyFill="0" applyBorder="0" applyAlignment="0" applyProtection="0"/>
    <xf numFmtId="0" fontId="2" fillId="0" borderId="0"/>
    <xf numFmtId="0" fontId="4" fillId="0" borderId="0" applyNumberFormat="0" applyFill="0" applyBorder="0" applyAlignment="0" applyProtection="0"/>
    <xf numFmtId="0" fontId="3" fillId="0" borderId="0"/>
    <xf numFmtId="0" fontId="5" fillId="0" borderId="0" applyNumberFormat="0" applyFill="0" applyBorder="0" applyAlignment="0" applyProtection="0"/>
    <xf numFmtId="0" fontId="7" fillId="0" borderId="0"/>
    <xf numFmtId="0" fontId="2" fillId="0" borderId="0"/>
    <xf numFmtId="0" fontId="8" fillId="0" borderId="0" applyNumberFormat="0" applyFill="0" applyBorder="0" applyAlignment="0" applyProtection="0">
      <alignment vertical="top"/>
      <protection locked="0"/>
    </xf>
    <xf numFmtId="0" fontId="1" fillId="0" borderId="0" applyNumberFormat="0" applyFill="0" applyBorder="0" applyAlignment="0" applyProtection="0"/>
    <xf numFmtId="0" fontId="9" fillId="0" borderId="0"/>
    <xf numFmtId="0" fontId="1" fillId="0" borderId="0" applyNumberFormat="0" applyFill="0" applyBorder="0" applyAlignment="0" applyProtection="0"/>
    <xf numFmtId="0" fontId="1" fillId="0" borderId="0" applyNumberFormat="0" applyFill="0" applyBorder="0" applyAlignment="0" applyProtection="0"/>
    <xf numFmtId="0" fontId="9" fillId="0" borderId="0"/>
    <xf numFmtId="0" fontId="7" fillId="0" borderId="0"/>
    <xf numFmtId="0" fontId="9" fillId="0" borderId="0"/>
    <xf numFmtId="0" fontId="9" fillId="0" borderId="0"/>
    <xf numFmtId="0" fontId="9" fillId="0" borderId="0"/>
    <xf numFmtId="0" fontId="9" fillId="0" borderId="0"/>
    <xf numFmtId="0" fontId="9" fillId="0" borderId="0"/>
  </cellStyleXfs>
  <cellXfs count="101">
    <xf numFmtId="0" fontId="0" fillId="0" borderId="0" xfId="0"/>
    <xf numFmtId="14" fontId="12" fillId="0" borderId="3" xfId="0" applyNumberFormat="1" applyFont="1" applyBorder="1"/>
    <xf numFmtId="0" fontId="12" fillId="0" borderId="4" xfId="0" applyFont="1" applyBorder="1"/>
    <xf numFmtId="0" fontId="13" fillId="0" borderId="4" xfId="0" applyFont="1" applyBorder="1"/>
    <xf numFmtId="14" fontId="12" fillId="0" borderId="5" xfId="0" applyNumberFormat="1" applyFont="1" applyBorder="1"/>
    <xf numFmtId="0" fontId="12" fillId="0" borderId="6" xfId="0" applyFont="1" applyBorder="1"/>
    <xf numFmtId="0" fontId="12" fillId="2" borderId="0" xfId="0" applyFont="1" applyFill="1"/>
    <xf numFmtId="14" fontId="12" fillId="2" borderId="0" xfId="0" applyNumberFormat="1" applyFont="1" applyFill="1"/>
    <xf numFmtId="14" fontId="12" fillId="4" borderId="9" xfId="0" applyNumberFormat="1" applyFont="1" applyFill="1" applyBorder="1" applyAlignment="1">
      <alignment horizontal="center" vertical="center"/>
    </xf>
    <xf numFmtId="0" fontId="12" fillId="2" borderId="19" xfId="0" applyFont="1" applyFill="1" applyBorder="1" applyAlignment="1">
      <alignment vertical="center"/>
    </xf>
    <xf numFmtId="0" fontId="12" fillId="2" borderId="20" xfId="0" applyFont="1" applyFill="1" applyBorder="1" applyAlignment="1">
      <alignment vertical="center"/>
    </xf>
    <xf numFmtId="0" fontId="12" fillId="2" borderId="21" xfId="0" applyFont="1" applyFill="1" applyBorder="1" applyAlignment="1">
      <alignment vertical="center"/>
    </xf>
    <xf numFmtId="0" fontId="12" fillId="2" borderId="0" xfId="0" applyFont="1" applyFill="1" applyAlignment="1">
      <alignment vertical="center"/>
    </xf>
    <xf numFmtId="0" fontId="12" fillId="2" borderId="22" xfId="0" applyFont="1" applyFill="1" applyBorder="1" applyAlignment="1">
      <alignment vertical="center"/>
    </xf>
    <xf numFmtId="0" fontId="12" fillId="2" borderId="23" xfId="0" applyFont="1" applyFill="1" applyBorder="1" applyAlignment="1">
      <alignment vertical="center"/>
    </xf>
    <xf numFmtId="0" fontId="12" fillId="2" borderId="24" xfId="0" applyFont="1" applyFill="1" applyBorder="1" applyAlignment="1">
      <alignment vertical="center"/>
    </xf>
    <xf numFmtId="0" fontId="12" fillId="2" borderId="16" xfId="0" applyFont="1" applyFill="1" applyBorder="1" applyAlignment="1">
      <alignment vertical="center"/>
    </xf>
    <xf numFmtId="0" fontId="12" fillId="2" borderId="17" xfId="0" applyFont="1" applyFill="1" applyBorder="1" applyAlignment="1">
      <alignment vertical="center"/>
    </xf>
    <xf numFmtId="0" fontId="12" fillId="2" borderId="18" xfId="0" applyFont="1" applyFill="1" applyBorder="1" applyAlignment="1">
      <alignment vertical="center"/>
    </xf>
    <xf numFmtId="0" fontId="10" fillId="2" borderId="0" xfId="0" applyFont="1" applyFill="1"/>
    <xf numFmtId="0" fontId="14" fillId="2" borderId="0" xfId="0" applyFont="1" applyFill="1" applyAlignment="1">
      <alignment vertical="center" wrapText="1"/>
    </xf>
    <xf numFmtId="0" fontId="19" fillId="2" borderId="0" xfId="0" applyFont="1" applyFill="1" applyAlignment="1">
      <alignment vertical="center"/>
    </xf>
    <xf numFmtId="0" fontId="14" fillId="2" borderId="0" xfId="0" applyFont="1" applyFill="1" applyAlignment="1">
      <alignment horizontal="left" vertical="center"/>
    </xf>
    <xf numFmtId="0" fontId="18" fillId="2" borderId="0" xfId="0" applyFont="1" applyFill="1"/>
    <xf numFmtId="0" fontId="12" fillId="5" borderId="20" xfId="0" applyFont="1" applyFill="1" applyBorder="1" applyAlignment="1">
      <alignment horizontal="center" vertical="center" wrapText="1"/>
    </xf>
    <xf numFmtId="1" fontId="12" fillId="5" borderId="20" xfId="0" applyNumberFormat="1" applyFont="1" applyFill="1" applyBorder="1" applyAlignment="1">
      <alignment horizontal="center" vertical="center" wrapText="1"/>
    </xf>
    <xf numFmtId="1" fontId="12" fillId="5" borderId="15" xfId="0" applyNumberFormat="1" applyFont="1" applyFill="1" applyBorder="1" applyAlignment="1">
      <alignment horizontal="center" vertical="center" wrapText="1"/>
    </xf>
    <xf numFmtId="0" fontId="6" fillId="0" borderId="26" xfId="1" applyFont="1" applyBorder="1" applyAlignment="1">
      <alignment horizontal="justify" vertical="center"/>
    </xf>
    <xf numFmtId="0" fontId="12" fillId="2" borderId="27" xfId="0" applyFont="1" applyFill="1" applyBorder="1" applyAlignment="1">
      <alignment horizontal="justify" vertical="center"/>
    </xf>
    <xf numFmtId="0" fontId="22" fillId="2" borderId="0" xfId="0" applyFont="1" applyFill="1" applyAlignment="1">
      <alignment horizontal="center" vertical="center"/>
    </xf>
    <xf numFmtId="0" fontId="24" fillId="7" borderId="9" xfId="17" applyFont="1" applyFill="1" applyBorder="1" applyAlignment="1">
      <alignment vertical="center"/>
    </xf>
    <xf numFmtId="0" fontId="6" fillId="0" borderId="26" xfId="9" applyFont="1" applyBorder="1" applyAlignment="1">
      <alignment vertical="center"/>
    </xf>
    <xf numFmtId="0" fontId="12" fillId="2" borderId="27" xfId="0" applyFont="1" applyFill="1" applyBorder="1" applyAlignment="1">
      <alignment horizontal="justify" vertical="center" wrapText="1"/>
    </xf>
    <xf numFmtId="0" fontId="6" fillId="2" borderId="0" xfId="1" applyFont="1" applyFill="1" applyAlignment="1">
      <alignment horizontal="justify" vertical="center" wrapText="1"/>
    </xf>
    <xf numFmtId="0" fontId="6" fillId="0" borderId="0" xfId="1" applyFont="1" applyAlignment="1">
      <alignment horizontal="justify" vertical="center" wrapText="1"/>
    </xf>
    <xf numFmtId="0" fontId="12" fillId="0" borderId="0" xfId="0" quotePrefix="1" applyFont="1" applyAlignment="1">
      <alignment horizontal="justify" vertical="center" wrapText="1"/>
    </xf>
    <xf numFmtId="0" fontId="6" fillId="0" borderId="0" xfId="1" quotePrefix="1" applyFont="1" applyAlignment="1">
      <alignment horizontal="justify" vertical="center" wrapText="1"/>
    </xf>
    <xf numFmtId="0" fontId="12" fillId="0" borderId="0" xfId="0" applyFont="1" applyAlignment="1">
      <alignment horizontal="justify" vertical="center" wrapText="1"/>
    </xf>
    <xf numFmtId="0" fontId="23" fillId="2" borderId="0" xfId="0" applyFont="1" applyFill="1" applyAlignment="1">
      <alignment horizontal="justify" vertical="center" wrapText="1"/>
    </xf>
    <xf numFmtId="0" fontId="21" fillId="0" borderId="0" xfId="0" applyFont="1" applyAlignment="1">
      <alignment horizontal="justify" vertical="center" wrapText="1"/>
    </xf>
    <xf numFmtId="0" fontId="12" fillId="2" borderId="0" xfId="0" applyFont="1" applyFill="1" applyAlignment="1">
      <alignment horizontal="justify" vertical="center" wrapText="1"/>
    </xf>
    <xf numFmtId="0" fontId="14" fillId="0" borderId="0" xfId="1" quotePrefix="1" applyFont="1" applyAlignment="1">
      <alignment horizontal="justify" vertical="center" wrapText="1"/>
    </xf>
    <xf numFmtId="0" fontId="11" fillId="8" borderId="1" xfId="0" applyFont="1" applyFill="1" applyBorder="1" applyAlignment="1">
      <alignment horizontal="center"/>
    </xf>
    <xf numFmtId="0" fontId="11" fillId="8" borderId="2" xfId="0" applyFont="1" applyFill="1" applyBorder="1" applyAlignment="1">
      <alignment horizontal="center"/>
    </xf>
    <xf numFmtId="164" fontId="26" fillId="5" borderId="12" xfId="0" applyNumberFormat="1" applyFont="1" applyFill="1" applyBorder="1" applyAlignment="1">
      <alignment horizontal="center" vertical="center" textRotation="90"/>
    </xf>
    <xf numFmtId="164" fontId="26" fillId="5" borderId="13" xfId="0" applyNumberFormat="1" applyFont="1" applyFill="1" applyBorder="1" applyAlignment="1">
      <alignment horizontal="center" vertical="center" textRotation="90"/>
    </xf>
    <xf numFmtId="164" fontId="26" fillId="5" borderId="14" xfId="0" applyNumberFormat="1" applyFont="1" applyFill="1" applyBorder="1" applyAlignment="1">
      <alignment horizontal="center" vertical="center" textRotation="90"/>
    </xf>
    <xf numFmtId="0" fontId="26" fillId="2" borderId="0" xfId="0" applyFont="1" applyFill="1"/>
    <xf numFmtId="165" fontId="26" fillId="6" borderId="16" xfId="0" applyNumberFormat="1" applyFont="1" applyFill="1" applyBorder="1" applyAlignment="1">
      <alignment horizontal="center" vertical="center"/>
    </xf>
    <xf numFmtId="165" fontId="26" fillId="6" borderId="17" xfId="0" applyNumberFormat="1" applyFont="1" applyFill="1" applyBorder="1" applyAlignment="1">
      <alignment horizontal="center" vertical="center"/>
    </xf>
    <xf numFmtId="165" fontId="26" fillId="6" borderId="18" xfId="0" applyNumberFormat="1" applyFont="1" applyFill="1" applyBorder="1" applyAlignment="1">
      <alignment horizontal="center" vertical="center"/>
    </xf>
    <xf numFmtId="0" fontId="16" fillId="8" borderId="25" xfId="0" applyFont="1" applyFill="1" applyBorder="1" applyAlignment="1">
      <alignment horizontal="center" vertical="center" wrapText="1"/>
    </xf>
    <xf numFmtId="0" fontId="12" fillId="4" borderId="19" xfId="0" applyFont="1" applyFill="1" applyBorder="1" applyAlignment="1">
      <alignment horizontal="center" vertical="center"/>
    </xf>
    <xf numFmtId="0" fontId="12" fillId="4" borderId="20" xfId="0" applyFont="1" applyFill="1" applyBorder="1" applyAlignment="1">
      <alignment horizontal="left" vertical="center" wrapText="1"/>
    </xf>
    <xf numFmtId="3" fontId="12" fillId="4" borderId="20" xfId="0" applyNumberFormat="1" applyFont="1" applyFill="1" applyBorder="1" applyAlignment="1">
      <alignment horizontal="right" vertical="center" wrapText="1"/>
    </xf>
    <xf numFmtId="0" fontId="12" fillId="4" borderId="20" xfId="0" applyFont="1" applyFill="1" applyBorder="1" applyAlignment="1">
      <alignment horizontal="center" vertical="center" wrapText="1"/>
    </xf>
    <xf numFmtId="15" fontId="12" fillId="4" borderId="20" xfId="0" applyNumberFormat="1" applyFont="1" applyFill="1" applyBorder="1" applyAlignment="1">
      <alignment horizontal="center" vertical="center" wrapText="1"/>
    </xf>
    <xf numFmtId="0" fontId="12" fillId="4" borderId="22" xfId="0" applyFont="1" applyFill="1" applyBorder="1" applyAlignment="1">
      <alignment horizontal="center" vertical="center"/>
    </xf>
    <xf numFmtId="0" fontId="12" fillId="4" borderId="23" xfId="0" applyFont="1" applyFill="1" applyBorder="1" applyAlignment="1">
      <alignment horizontal="left" vertical="center" wrapText="1"/>
    </xf>
    <xf numFmtId="3" fontId="12" fillId="4" borderId="23" xfId="0" applyNumberFormat="1" applyFont="1" applyFill="1" applyBorder="1" applyAlignment="1">
      <alignment horizontal="right" vertical="center" wrapText="1"/>
    </xf>
    <xf numFmtId="0" fontId="12" fillId="4" borderId="23" xfId="0" applyFont="1" applyFill="1" applyBorder="1" applyAlignment="1">
      <alignment horizontal="center" vertical="center" wrapText="1"/>
    </xf>
    <xf numFmtId="15" fontId="12" fillId="4" borderId="23" xfId="0" applyNumberFormat="1" applyFont="1" applyFill="1" applyBorder="1" applyAlignment="1">
      <alignment horizontal="center" vertical="center" wrapText="1"/>
    </xf>
    <xf numFmtId="0" fontId="12" fillId="4" borderId="23" xfId="0" applyFont="1" applyFill="1" applyBorder="1" applyAlignment="1">
      <alignment horizontal="left" vertical="center"/>
    </xf>
    <xf numFmtId="3" fontId="12" fillId="4" borderId="23" xfId="0" applyNumberFormat="1" applyFont="1" applyFill="1" applyBorder="1" applyAlignment="1">
      <alignment horizontal="right" vertical="center"/>
    </xf>
    <xf numFmtId="0" fontId="12" fillId="4" borderId="23" xfId="0" applyFont="1" applyFill="1" applyBorder="1" applyAlignment="1">
      <alignment horizontal="center" vertical="center"/>
    </xf>
    <xf numFmtId="0" fontId="12" fillId="4" borderId="16" xfId="0" applyFont="1" applyFill="1" applyBorder="1" applyAlignment="1">
      <alignment horizontal="center" vertical="center"/>
    </xf>
    <xf numFmtId="0" fontId="12" fillId="4" borderId="17" xfId="0" applyFont="1" applyFill="1" applyBorder="1" applyAlignment="1">
      <alignment horizontal="left" vertical="center"/>
    </xf>
    <xf numFmtId="15" fontId="12" fillId="4" borderId="23" xfId="0" applyNumberFormat="1" applyFont="1" applyFill="1" applyBorder="1" applyAlignment="1">
      <alignment horizontal="center" vertical="center"/>
    </xf>
    <xf numFmtId="0" fontId="12" fillId="4" borderId="15" xfId="0" applyFont="1" applyFill="1" applyBorder="1" applyAlignment="1">
      <alignment horizontal="center" vertical="center" wrapText="1"/>
    </xf>
    <xf numFmtId="15" fontId="12" fillId="4" borderId="15" xfId="0" applyNumberFormat="1" applyFont="1" applyFill="1" applyBorder="1" applyAlignment="1">
      <alignment horizontal="center" vertical="center" wrapText="1"/>
    </xf>
    <xf numFmtId="0" fontId="24" fillId="8" borderId="6" xfId="0" applyFont="1" applyFill="1" applyBorder="1" applyAlignment="1">
      <alignment horizontal="center" vertical="center" wrapText="1"/>
    </xf>
    <xf numFmtId="0" fontId="12" fillId="5" borderId="30" xfId="0" applyFont="1" applyFill="1" applyBorder="1" applyAlignment="1">
      <alignment horizontal="center" vertical="center" wrapText="1"/>
    </xf>
    <xf numFmtId="0" fontId="12" fillId="5" borderId="31" xfId="0" applyFont="1" applyFill="1" applyBorder="1" applyAlignment="1">
      <alignment horizontal="center" vertical="center" wrapText="1"/>
    </xf>
    <xf numFmtId="0" fontId="12" fillId="5" borderId="31" xfId="0" applyFont="1" applyFill="1" applyBorder="1" applyAlignment="1">
      <alignment horizontal="center" vertical="center"/>
    </xf>
    <xf numFmtId="0" fontId="12" fillId="5" borderId="32" xfId="0" applyFont="1" applyFill="1" applyBorder="1" applyAlignment="1">
      <alignment horizontal="center" vertical="center"/>
    </xf>
    <xf numFmtId="0" fontId="12" fillId="5" borderId="19" xfId="0" applyFont="1" applyFill="1" applyBorder="1" applyAlignment="1">
      <alignment horizontal="center" vertical="center" wrapText="1"/>
    </xf>
    <xf numFmtId="1" fontId="12" fillId="5" borderId="21" xfId="0" applyNumberFormat="1" applyFont="1" applyFill="1" applyBorder="1" applyAlignment="1">
      <alignment horizontal="center" vertical="center"/>
    </xf>
    <xf numFmtId="1" fontId="12" fillId="5" borderId="19" xfId="0" applyNumberFormat="1" applyFont="1" applyFill="1" applyBorder="1" applyAlignment="1">
      <alignment horizontal="center" vertical="center" wrapText="1"/>
    </xf>
    <xf numFmtId="1" fontId="12" fillId="5" borderId="24" xfId="0" applyNumberFormat="1" applyFont="1" applyFill="1" applyBorder="1" applyAlignment="1">
      <alignment horizontal="center" vertical="center"/>
    </xf>
    <xf numFmtId="1" fontId="12" fillId="5" borderId="5" xfId="0" applyNumberFormat="1" applyFont="1" applyFill="1" applyBorder="1" applyAlignment="1">
      <alignment horizontal="center" vertical="center" wrapText="1"/>
    </xf>
    <xf numFmtId="1" fontId="12" fillId="5" borderId="18" xfId="0" applyNumberFormat="1" applyFont="1" applyFill="1" applyBorder="1" applyAlignment="1">
      <alignment horizontal="center" vertical="center"/>
    </xf>
    <xf numFmtId="14" fontId="12" fillId="4" borderId="17" xfId="0" applyNumberFormat="1" applyFont="1" applyFill="1" applyBorder="1" applyAlignment="1">
      <alignment horizontal="left" vertical="center"/>
    </xf>
    <xf numFmtId="0" fontId="12" fillId="0" borderId="0" xfId="0" applyFont="1"/>
    <xf numFmtId="0" fontId="16" fillId="8" borderId="25" xfId="0" applyFont="1" applyFill="1" applyBorder="1" applyAlignment="1">
      <alignment horizontal="center" vertical="center" wrapText="1"/>
    </xf>
    <xf numFmtId="0" fontId="16" fillId="8" borderId="6" xfId="0" applyFont="1" applyFill="1" applyBorder="1" applyAlignment="1">
      <alignment horizontal="center" vertical="center" wrapText="1"/>
    </xf>
    <xf numFmtId="0" fontId="16" fillId="8" borderId="28" xfId="0" applyFont="1" applyFill="1" applyBorder="1" applyAlignment="1">
      <alignment horizontal="center" vertical="center" wrapText="1"/>
    </xf>
    <xf numFmtId="0" fontId="16" fillId="8" borderId="29" xfId="0" applyFont="1" applyFill="1" applyBorder="1" applyAlignment="1">
      <alignment horizontal="center" vertical="center" wrapText="1"/>
    </xf>
    <xf numFmtId="0" fontId="11" fillId="8" borderId="10" xfId="0" applyFont="1" applyFill="1" applyBorder="1" applyAlignment="1">
      <alignment horizontal="center"/>
    </xf>
    <xf numFmtId="0" fontId="11" fillId="8" borderId="11" xfId="0" applyFont="1" applyFill="1" applyBorder="1" applyAlignment="1">
      <alignment horizontal="center"/>
    </xf>
    <xf numFmtId="0" fontId="11" fillId="8" borderId="25" xfId="0" applyFont="1" applyFill="1" applyBorder="1" applyAlignment="1">
      <alignment horizontal="center"/>
    </xf>
    <xf numFmtId="0" fontId="17" fillId="9" borderId="11" xfId="0" applyFont="1" applyFill="1" applyBorder="1" applyAlignment="1">
      <alignment horizontal="center" vertical="center" wrapText="1"/>
    </xf>
    <xf numFmtId="0" fontId="17" fillId="9" borderId="15" xfId="0" applyFont="1" applyFill="1" applyBorder="1" applyAlignment="1">
      <alignment horizontal="center" vertical="center" wrapText="1"/>
    </xf>
    <xf numFmtId="0" fontId="22" fillId="2" borderId="0" xfId="0" applyFont="1" applyFill="1" applyAlignment="1">
      <alignment horizontal="center" vertical="center"/>
    </xf>
    <xf numFmtId="0" fontId="16" fillId="8" borderId="10" xfId="0" applyFont="1" applyFill="1" applyBorder="1" applyAlignment="1">
      <alignment horizontal="center" vertical="center" wrapText="1"/>
    </xf>
    <xf numFmtId="0" fontId="16" fillId="8" borderId="5" xfId="0" applyFont="1" applyFill="1" applyBorder="1" applyAlignment="1">
      <alignment horizontal="center" vertical="center" wrapText="1"/>
    </xf>
    <xf numFmtId="0" fontId="16" fillId="8" borderId="11" xfId="0" applyFont="1" applyFill="1" applyBorder="1" applyAlignment="1">
      <alignment horizontal="center" vertical="center" wrapText="1"/>
    </xf>
    <xf numFmtId="0" fontId="16" fillId="8" borderId="15" xfId="0" applyFont="1" applyFill="1" applyBorder="1" applyAlignment="1">
      <alignment horizontal="center" vertical="center" wrapText="1"/>
    </xf>
    <xf numFmtId="0" fontId="15" fillId="3" borderId="7" xfId="0" applyFont="1" applyFill="1" applyBorder="1" applyAlignment="1">
      <alignment horizontal="center" vertical="center"/>
    </xf>
    <xf numFmtId="0" fontId="15" fillId="3" borderId="23" xfId="0" applyFont="1" applyFill="1" applyBorder="1" applyAlignment="1">
      <alignment horizontal="center" vertical="center"/>
    </xf>
    <xf numFmtId="0" fontId="15" fillId="3" borderId="8" xfId="0" applyFont="1" applyFill="1" applyBorder="1" applyAlignment="1">
      <alignment horizontal="center" vertical="center"/>
    </xf>
    <xf numFmtId="0" fontId="27" fillId="0" borderId="0" xfId="0" applyFont="1" applyAlignment="1">
      <alignment horizontal="center" vertical="center" wrapText="1"/>
    </xf>
  </cellXfs>
  <cellStyles count="20">
    <cellStyle name="Hipervínculo" xfId="1" builtinId="8"/>
    <cellStyle name="Hipervínculo 2" xfId="3" xr:uid="{2BB9091F-5D65-1941-9236-AF53B565E002}"/>
    <cellStyle name="Hipervínculo 2 2" xfId="9" xr:uid="{CB1864CC-BFB9-44EF-9DA8-78AB361CF6F8}"/>
    <cellStyle name="Hipervínculo 2 2 2" xfId="11" xr:uid="{BAF0FE9B-7609-4E6C-92B4-90CF6FDB1D6C}"/>
    <cellStyle name="Hipervínculo 3" xfId="5" xr:uid="{3671885C-7087-7B41-A509-5F4BA22A8CEA}"/>
    <cellStyle name="Hipervínculo 3 2" xfId="12" xr:uid="{70E988BE-0B21-4A4E-9C71-31EA666966B9}"/>
    <cellStyle name="Hipervínculo 4" xfId="8" xr:uid="{6F67D046-6CF1-4CF7-9285-71D859DF9687}"/>
    <cellStyle name="Normal" xfId="0" builtinId="0"/>
    <cellStyle name="Normal 15 2" xfId="16" xr:uid="{D51AC2EB-9327-447B-9BF9-C20782B21944}"/>
    <cellStyle name="Normal 15 2 4" xfId="19" xr:uid="{9C4C48EB-3380-48C1-966F-17FD47335F65}"/>
    <cellStyle name="Normal 2" xfId="2" xr:uid="{D4A66755-5372-3C45-94B0-32CA507A220E}"/>
    <cellStyle name="Normal 3" xfId="4" xr:uid="{D43FDB00-8DB9-604E-A7D3-403BB926950C}"/>
    <cellStyle name="Normal 3 2" xfId="7" xr:uid="{1A86D04E-7050-498E-86BD-44922B10FC07}"/>
    <cellStyle name="Normal 4" xfId="6" xr:uid="{F02A4DF7-B116-4C2E-AF8D-347C91D84465}"/>
    <cellStyle name="Normal 4 2 2" xfId="14" xr:uid="{59BC036F-2265-4988-840C-81AEA8E346C8}"/>
    <cellStyle name="Normal 5" xfId="10" xr:uid="{502A5A18-5709-4ACB-81A5-DBE150ECDFCC}"/>
    <cellStyle name="Normal 5 2" xfId="15" xr:uid="{A698CE45-E623-4C77-9489-FDC746B3CB7C}"/>
    <cellStyle name="Normal 5 2 2 2" xfId="18" xr:uid="{B7E4052B-FB0A-4AED-8506-8566B51895F4}"/>
    <cellStyle name="Normal 6" xfId="13" xr:uid="{2E4882F8-98BA-49E1-94E0-CDE0D264D29C}"/>
    <cellStyle name="Normal 9" xfId="17" xr:uid="{2B05E15B-26FD-474D-9A3F-4A25ECAE3301}"/>
  </cellStyles>
  <dxfs count="5">
    <dxf>
      <fill>
        <patternFill>
          <bgColor rgb="FF00B050"/>
        </patternFill>
      </fill>
    </dxf>
    <dxf>
      <font>
        <color auto="1"/>
      </font>
      <fill>
        <patternFill>
          <bgColor theme="7" tint="0.79998168889431442"/>
        </patternFill>
      </fill>
    </dxf>
    <dxf>
      <font>
        <color auto="1"/>
      </font>
      <fill>
        <patternFill>
          <bgColor theme="7" tint="0.79998168889431442"/>
        </patternFill>
      </fill>
    </dxf>
    <dxf>
      <font>
        <color theme="0"/>
      </font>
      <fill>
        <patternFill>
          <bgColor rgb="FF00B050"/>
        </patternFill>
      </fill>
    </dxf>
    <dxf>
      <font>
        <color theme="0"/>
      </font>
      <fill>
        <patternFill>
          <bgColor rgb="FFFF0000"/>
        </patternFill>
      </fill>
    </dxf>
  </dxfs>
  <tableStyles count="0" defaultTableStyle="TableStyleMedium2" defaultPivotStyle="PivotStyleLight16"/>
  <colors>
    <mruColors>
      <color rgb="FF2C67DC"/>
      <color rgb="FF88F74B"/>
      <color rgb="FF50EE48"/>
      <color rgb="FF66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tyles" Target="styles.xml"/><Relationship Id="rId5" Type="http://schemas.openxmlformats.org/officeDocument/2006/relationships/externalLink" Target="externalLinks/externalLink2.xml"/><Relationship Id="rId10"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s>
</file>

<file path=xl/ctrlProps/ctrlProp1.xml><?xml version="1.0" encoding="utf-8"?>
<formControlPr xmlns="http://schemas.microsoft.com/office/spreadsheetml/2009/9/main" objectType="Scroll" dx="22" fmlaLink="$C$11" horiz="1" max="365" page="10" val="127"/>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30000</xdr:colOff>
      <xdr:row>3</xdr:row>
      <xdr:rowOff>77625</xdr:rowOff>
    </xdr:to>
    <xdr:pic>
      <xdr:nvPicPr>
        <xdr:cNvPr id="3" name="Imagen 2">
          <a:extLst>
            <a:ext uri="{FF2B5EF4-FFF2-40B4-BE49-F238E27FC236}">
              <a16:creationId xmlns:a16="http://schemas.microsoft.com/office/drawing/2014/main" id="{6B36861C-3EE3-4EEF-9DBB-3897DEA42D51}"/>
            </a:ext>
          </a:extLst>
        </xdr:cNvPr>
        <xdr:cNvPicPr>
          <a:picLocks noChangeAspect="1"/>
        </xdr:cNvPicPr>
      </xdr:nvPicPr>
      <xdr:blipFill>
        <a:blip xmlns:r="http://schemas.openxmlformats.org/officeDocument/2006/relationships" r:embed="rId1"/>
        <a:stretch>
          <a:fillRect/>
        </a:stretch>
      </xdr:blipFill>
      <xdr:spPr>
        <a:xfrm>
          <a:off x="0" y="0"/>
          <a:ext cx="792000" cy="79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251460</xdr:colOff>
          <xdr:row>8</xdr:row>
          <xdr:rowOff>15240</xdr:rowOff>
        </xdr:from>
        <xdr:to>
          <xdr:col>6</xdr:col>
          <xdr:colOff>152400</xdr:colOff>
          <xdr:row>10</xdr:row>
          <xdr:rowOff>167640</xdr:rowOff>
        </xdr:to>
        <xdr:sp macro="" textlink="">
          <xdr:nvSpPr>
            <xdr:cNvPr id="4097" name="Scroll Bar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0</xdr:colOff>
      <xdr:row>0</xdr:row>
      <xdr:rowOff>0</xdr:rowOff>
    </xdr:from>
    <xdr:to>
      <xdr:col>2</xdr:col>
      <xdr:colOff>145887</xdr:colOff>
      <xdr:row>3</xdr:row>
      <xdr:rowOff>77625</xdr:rowOff>
    </xdr:to>
    <xdr:pic>
      <xdr:nvPicPr>
        <xdr:cNvPr id="3" name="Imagen 2">
          <a:extLst>
            <a:ext uri="{FF2B5EF4-FFF2-40B4-BE49-F238E27FC236}">
              <a16:creationId xmlns:a16="http://schemas.microsoft.com/office/drawing/2014/main" id="{601EC860-DDBE-4A0D-A877-EB813AE7666A}"/>
            </a:ext>
          </a:extLst>
        </xdr:cNvPr>
        <xdr:cNvPicPr>
          <a:picLocks noChangeAspect="1"/>
        </xdr:cNvPicPr>
      </xdr:nvPicPr>
      <xdr:blipFill>
        <a:blip xmlns:r="http://schemas.openxmlformats.org/officeDocument/2006/relationships" r:embed="rId1"/>
        <a:stretch>
          <a:fillRect/>
        </a:stretch>
      </xdr:blipFill>
      <xdr:spPr>
        <a:xfrm>
          <a:off x="0" y="0"/>
          <a:ext cx="825337" cy="807875"/>
        </a:xfrm>
        <a:prstGeom prst="rect">
          <a:avLst/>
        </a:prstGeom>
      </xdr:spPr>
    </xdr:pic>
    <xdr:clientData/>
  </xdr:twoCellAnchor>
  <xdr:twoCellAnchor>
    <xdr:from>
      <xdr:col>5</xdr:col>
      <xdr:colOff>440531</xdr:colOff>
      <xdr:row>6</xdr:row>
      <xdr:rowOff>119062</xdr:rowOff>
    </xdr:from>
    <xdr:to>
      <xdr:col>5</xdr:col>
      <xdr:colOff>619125</xdr:colOff>
      <xdr:row>7</xdr:row>
      <xdr:rowOff>154781</xdr:rowOff>
    </xdr:to>
    <xdr:sp macro="" textlink="">
      <xdr:nvSpPr>
        <xdr:cNvPr id="4" name="Flecha: hacia abajo 3">
          <a:extLst>
            <a:ext uri="{FF2B5EF4-FFF2-40B4-BE49-F238E27FC236}">
              <a16:creationId xmlns:a16="http://schemas.microsoft.com/office/drawing/2014/main" id="{6C063FA7-12B1-D5D3-B229-8D8AD58B2C4C}"/>
            </a:ext>
          </a:extLst>
        </xdr:cNvPr>
        <xdr:cNvSpPr/>
      </xdr:nvSpPr>
      <xdr:spPr>
        <a:xfrm>
          <a:off x="5191125" y="1404937"/>
          <a:ext cx="178594" cy="226219"/>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830100</xdr:colOff>
      <xdr:row>2</xdr:row>
      <xdr:rowOff>39525</xdr:rowOff>
    </xdr:to>
    <xdr:pic>
      <xdr:nvPicPr>
        <xdr:cNvPr id="2" name="Imagen 1">
          <a:extLst>
            <a:ext uri="{FF2B5EF4-FFF2-40B4-BE49-F238E27FC236}">
              <a16:creationId xmlns:a16="http://schemas.microsoft.com/office/drawing/2014/main" id="{8048C147-C14E-4238-AD33-6C411298870E}"/>
            </a:ext>
          </a:extLst>
        </xdr:cNvPr>
        <xdr:cNvPicPr>
          <a:picLocks noChangeAspect="1"/>
        </xdr:cNvPicPr>
      </xdr:nvPicPr>
      <xdr:blipFill>
        <a:blip xmlns:r="http://schemas.openxmlformats.org/officeDocument/2006/relationships" r:embed="rId1"/>
        <a:stretch>
          <a:fillRect/>
        </a:stretch>
      </xdr:blipFill>
      <xdr:spPr>
        <a:xfrm>
          <a:off x="0" y="0"/>
          <a:ext cx="792000" cy="792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vea-my.sharepoint.com/Users/cadavid/Desktop/VA22-Rentas-exentas-empresas-de-economia-naranja.xlsx"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cvea-my.sharepoint.com/personal/marias_actualicese_com/Documents/Escritorio/M&#243;nica/1.Modelos%20y%20Formatos%20MARIAS/Nuevos-Actualizaciones-Reencauches%20MARIAS/ACTUALIZACIONES%20A%20PARTIR%20DE%20AGOSTO%202022/MF_SMA_Seguridad%20social%20independientes_publicar%20en%20dic%2019%20y%2026%20de%202022.xlsx?DE22EF17" TargetMode="External"/><Relationship Id="rId1" Type="http://schemas.openxmlformats.org/officeDocument/2006/relationships/externalLinkPath" Target="file:///\\DE22EF17\MF_SMA_Seguridad%20social%20independientes_publicar%20en%20dic%2019%20y%2026%20de%20202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JAIME%20FERNANDO%20DIAZ/AppData/Local/Temp/Temp1_ECC&#174;%20Indices%20Financieros.zip/ECC&#174;%20Indices%20Financieros.xls" TargetMode="External"/><Relationship Id="rId1" Type="http://schemas.openxmlformats.org/officeDocument/2006/relationships/externalLinkPath" Target="/Users/JAIME%20FERNANDO%20DIAZ/AppData/Local/Temp/Temp1_ECC&#174;%20Indices%20Financieros.zip/ECC&#174;%20Indices%20Financiero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vea-my.sharepoint.com/Users/cadavid/Desktop/VA21-Calendario-tributario-2021-avanzado.xls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Users/montagas/Dropbox/Analisis%20Financiero/Matriz_Excel_para_el_Desarrollo_de_An&#225;lisis_Financiero%20V4.xlsm" TargetMode="External"/><Relationship Id="rId1" Type="http://schemas.openxmlformats.org/officeDocument/2006/relationships/externalLinkPath" Target="/Users/montagas/Dropbox/Analisis%20Financiero/Matriz_Excel_para_el_Desarrollo_de_An&#225;lisis_Financiero%20V4.xlsm"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Users/montagas/Downloads/Dashboard%20-%20Financiero.xlsx" TargetMode="External"/><Relationship Id="rId1" Type="http://schemas.openxmlformats.org/officeDocument/2006/relationships/externalLinkPath" Target="/Users/montagas/Downloads/Dashboard%20-%20Financier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yright"/>
      <sheetName val="Empieza aquí"/>
      <sheetName val="Introducción"/>
      <sheetName val="Actividades "/>
      <sheetName val="Material relacionado"/>
      <sheetName val="Listado completo de archivos "/>
    </sheetNames>
    <sheetDataSet>
      <sheetData sheetId="0"/>
      <sheetData sheetId="1"/>
      <sheetData sheetId="2"/>
      <sheetData sheetId="3">
        <row r="12">
          <cell r="B12" t="str">
            <v>Código actividad económica</v>
          </cell>
          <cell r="C12" t="str">
            <v>Nombre actividad económica</v>
          </cell>
        </row>
        <row r="13">
          <cell r="B13">
            <v>3210</v>
          </cell>
          <cell r="C13" t="str">
            <v>Fabricación de joyas, bisutería y artículos conexos</v>
          </cell>
        </row>
        <row r="14">
          <cell r="B14">
            <v>5811</v>
          </cell>
          <cell r="C14" t="str">
            <v>Edición de libros</v>
          </cell>
        </row>
        <row r="15">
          <cell r="B15">
            <v>5820</v>
          </cell>
          <cell r="C15" t="str">
            <v>Edición de programas de informática (software)</v>
          </cell>
        </row>
        <row r="16">
          <cell r="B16">
            <v>5911</v>
          </cell>
          <cell r="C16" t="str">
            <v>Actividades de producción de películas cinematográficas, videos, programas, anuncios y comerciales de televisión</v>
          </cell>
        </row>
        <row r="17">
          <cell r="B17">
            <v>5912</v>
          </cell>
          <cell r="C17" t="str">
            <v>Actividades de posproducción de películas cinematográficas, videos, programas, anuncios y comerciales de televisión</v>
          </cell>
        </row>
        <row r="18">
          <cell r="B18">
            <v>5913</v>
          </cell>
          <cell r="C18" t="str">
            <v>Actividades de distribución de películas cinematográficas, videos, programas, anuncios y comerciales de televisión</v>
          </cell>
        </row>
        <row r="19">
          <cell r="B19">
            <v>5914</v>
          </cell>
          <cell r="C19" t="str">
            <v>Actividades de exhibición de películas cinematográficas y videos</v>
          </cell>
        </row>
        <row r="20">
          <cell r="B20">
            <v>5920</v>
          </cell>
          <cell r="C20" t="str">
            <v>Actividades de grabación de sonido y edición de música</v>
          </cell>
        </row>
        <row r="21">
          <cell r="B21">
            <v>6010</v>
          </cell>
          <cell r="C21" t="str">
            <v>Actividades de programación y trasmisión en el servicio de radiodifusión sonora</v>
          </cell>
        </row>
        <row r="22">
          <cell r="B22">
            <v>6020</v>
          </cell>
          <cell r="C22" t="str">
            <v>Actividades de programación y trasmisión de televisión</v>
          </cell>
        </row>
        <row r="23">
          <cell r="B23">
            <v>6201</v>
          </cell>
          <cell r="C23" t="str">
            <v>Actividades de desarrollo de sistemas informáticos (planificación, análisis, diseño, programación y pruebas)</v>
          </cell>
        </row>
        <row r="24">
          <cell r="B24">
            <v>6202</v>
          </cell>
          <cell r="C24" t="str">
            <v>Actividades de consultoría informática y actividades de administración de instalaciones informáticas</v>
          </cell>
        </row>
        <row r="25">
          <cell r="B25">
            <v>7110</v>
          </cell>
          <cell r="C25" t="str">
            <v>Actividades de arquitectura e ingeniería y otras actividades conexas de consultoría técnica</v>
          </cell>
        </row>
        <row r="26">
          <cell r="B26">
            <v>7220</v>
          </cell>
          <cell r="C26" t="str">
            <v>Investigación y desarrollo experimental en el campo de las ciencias sociales y de las humanidades</v>
          </cell>
        </row>
        <row r="27">
          <cell r="B27">
            <v>7410</v>
          </cell>
          <cell r="C27" t="str">
            <v>Actividades especializadas de diseño</v>
          </cell>
        </row>
        <row r="28">
          <cell r="B28">
            <v>7420</v>
          </cell>
          <cell r="C28" t="str">
            <v>Actividades de fotografía</v>
          </cell>
        </row>
        <row r="29">
          <cell r="B29">
            <v>9001</v>
          </cell>
          <cell r="C29" t="str">
            <v>Creación literaria</v>
          </cell>
        </row>
        <row r="30">
          <cell r="B30">
            <v>9002</v>
          </cell>
          <cell r="C30" t="str">
            <v>Creación musical</v>
          </cell>
        </row>
        <row r="31">
          <cell r="B31">
            <v>9003</v>
          </cell>
          <cell r="C31" t="str">
            <v>Creación teatral</v>
          </cell>
        </row>
        <row r="32">
          <cell r="B32">
            <v>9004</v>
          </cell>
          <cell r="C32" t="str">
            <v>Creación audiovisual</v>
          </cell>
        </row>
        <row r="33">
          <cell r="B33">
            <v>9005</v>
          </cell>
          <cell r="C33" t="str">
            <v>Artes plásticas y visuales</v>
          </cell>
        </row>
        <row r="34">
          <cell r="B34">
            <v>9006</v>
          </cell>
          <cell r="C34" t="str">
            <v>Actividades teatrales</v>
          </cell>
        </row>
        <row r="35">
          <cell r="B35">
            <v>9007</v>
          </cell>
          <cell r="C35" t="str">
            <v>Actividades de espectáculos musicales en vivo</v>
          </cell>
        </row>
        <row r="36">
          <cell r="B36">
            <v>9008</v>
          </cell>
          <cell r="C36" t="str">
            <v>Otras actividades de espectáculos en vivo</v>
          </cell>
        </row>
        <row r="37">
          <cell r="B37">
            <v>9101</v>
          </cell>
          <cell r="C37" t="str">
            <v>Actividades de bibliotecas y archivos</v>
          </cell>
        </row>
        <row r="38">
          <cell r="B38">
            <v>9102</v>
          </cell>
          <cell r="C38" t="str">
            <v>Actividades y funcionamiento de museos, conservación  de edificios y sitios históricos</v>
          </cell>
        </row>
        <row r="39">
          <cell r="C39" t="str">
            <v>Actividades referentes al turismo cultural</v>
          </cell>
        </row>
        <row r="40">
          <cell r="C40" t="str">
            <v>Actividades relacionadas con deporte, recreación y aprovechamiento del tiempo libre</v>
          </cell>
        </row>
      </sheetData>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1  Prest. servicios"/>
      <sheetName val="EJ2  Prest. servicios"/>
      <sheetName val="EJ3  Prest. servicios"/>
      <sheetName val="ok hecho 2"/>
      <sheetName val="EJ4 Otros independientes"/>
      <sheetName val="EJ5 Otros independientes"/>
      <sheetName val="EJ6 Otros independientes"/>
      <sheetName val="ok hecho MA "/>
      <sheetName val="Tablas"/>
    </sheetNames>
    <sheetDataSet>
      <sheetData sheetId="0">
        <row r="8">
          <cell r="D8">
            <v>1000000</v>
          </cell>
        </row>
        <row r="14">
          <cell r="D14">
            <v>4000000</v>
          </cell>
        </row>
      </sheetData>
      <sheetData sheetId="1">
        <row r="8">
          <cell r="D8">
            <v>1000000</v>
          </cell>
        </row>
        <row r="14">
          <cell r="D14">
            <v>1000000</v>
          </cell>
        </row>
      </sheetData>
      <sheetData sheetId="2">
        <row r="10">
          <cell r="D10">
            <v>1000000</v>
          </cell>
        </row>
        <row r="16">
          <cell r="D16">
            <v>4964000</v>
          </cell>
        </row>
      </sheetData>
      <sheetData sheetId="3" refreshError="1"/>
      <sheetData sheetId="4">
        <row r="5">
          <cell r="D5">
            <v>1000000</v>
          </cell>
        </row>
        <row r="13">
          <cell r="D13">
            <v>1200000</v>
          </cell>
          <cell r="G13">
            <v>3000000</v>
          </cell>
        </row>
      </sheetData>
      <sheetData sheetId="5">
        <row r="9">
          <cell r="D9">
            <v>1000000</v>
          </cell>
        </row>
        <row r="17">
          <cell r="D17">
            <v>1000000</v>
          </cell>
          <cell r="G17">
            <v>2410000</v>
          </cell>
        </row>
      </sheetData>
      <sheetData sheetId="6" refreshError="1"/>
      <sheetData sheetId="7" refreshError="1"/>
      <sheetData sheetId="8">
        <row r="12">
          <cell r="A12" t="str">
            <v>N/A</v>
          </cell>
          <cell r="B12">
            <v>0</v>
          </cell>
        </row>
        <row r="13">
          <cell r="A13" t="str">
            <v>I</v>
          </cell>
          <cell r="B13">
            <v>5.2199999999999998E-3</v>
          </cell>
        </row>
        <row r="14">
          <cell r="A14" t="str">
            <v>II</v>
          </cell>
          <cell r="B14">
            <v>1.044E-2</v>
          </cell>
        </row>
        <row r="15">
          <cell r="A15" t="str">
            <v>III</v>
          </cell>
          <cell r="B15">
            <v>2.436E-2</v>
          </cell>
        </row>
        <row r="16">
          <cell r="A16" t="str">
            <v>IV</v>
          </cell>
          <cell r="B16">
            <v>4.3499999999999997E-2</v>
          </cell>
        </row>
        <row r="17">
          <cell r="A17" t="str">
            <v>V</v>
          </cell>
          <cell r="B17">
            <v>6.9599999999999995E-2</v>
          </cell>
        </row>
        <row r="27">
          <cell r="F27">
            <v>1</v>
          </cell>
          <cell r="G27">
            <v>2</v>
          </cell>
          <cell r="H27">
            <v>3</v>
          </cell>
          <cell r="I27">
            <v>4</v>
          </cell>
          <cell r="J27">
            <v>5</v>
          </cell>
          <cell r="K27">
            <v>6</v>
          </cell>
        </row>
        <row r="28">
          <cell r="F28">
            <v>0.83599999999999997</v>
          </cell>
        </row>
        <row r="29">
          <cell r="F29">
            <v>0.75600000000000001</v>
          </cell>
          <cell r="G29">
            <v>0.82199999999999995</v>
          </cell>
        </row>
        <row r="30">
          <cell r="F30">
            <v>0.752</v>
          </cell>
          <cell r="G30">
            <v>0.77300000000000002</v>
          </cell>
          <cell r="H30">
            <v>0.82199999999999995</v>
          </cell>
        </row>
        <row r="31">
          <cell r="F31">
            <v>0.751</v>
          </cell>
          <cell r="G31">
            <v>0.76600000000000001</v>
          </cell>
          <cell r="H31">
            <v>0.78600000000000003</v>
          </cell>
          <cell r="I31">
            <v>0.82199999999999995</v>
          </cell>
        </row>
        <row r="32">
          <cell r="F32">
            <v>0.749</v>
          </cell>
          <cell r="G32">
            <v>0.76200000000000001</v>
          </cell>
          <cell r="H32">
            <v>0.77700000000000002</v>
          </cell>
          <cell r="I32">
            <v>0.79300000000000004</v>
          </cell>
          <cell r="J32">
            <v>0.82199999999999995</v>
          </cell>
        </row>
        <row r="33">
          <cell r="F33">
            <v>0.749</v>
          </cell>
          <cell r="G33">
            <v>0.75900000000000001</v>
          </cell>
          <cell r="H33">
            <v>0.77200000000000002</v>
          </cell>
          <cell r="I33">
            <v>0.78500000000000003</v>
          </cell>
          <cell r="J33">
            <v>0.79800000000000004</v>
          </cell>
          <cell r="K33">
            <v>0.82199999999999995</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ño_1"/>
      <sheetName val="Parámetros"/>
      <sheetName val="Indices Financieros"/>
      <sheetName val="Indices de Liquidez"/>
      <sheetName val="Capital de Trabajo"/>
      <sheetName val="Razón Corriente"/>
      <sheetName val="Prueba Acida"/>
      <sheetName val="Rotación de Cuentas x Cobrar"/>
      <sheetName val="Rotación de Activo Total"/>
      <sheetName val="Rotación de Activos Fijos"/>
      <sheetName val="Rotación de Inventarios"/>
      <sheetName val="Edad de la Cartera"/>
      <sheetName val="Edad de los Inventarios"/>
      <sheetName val="Rotación Cuentas por Pagar"/>
      <sheetName val="Edad Cuentas por Pagar"/>
      <sheetName val="Indices de Endeudamiento"/>
      <sheetName val="Endeudamiento"/>
      <sheetName val="Propiedad de los Socios"/>
      <sheetName val="Relación Deuda a Patrimonio"/>
      <sheetName val="Rel. Deuda Largo Pzo a Patrimon"/>
      <sheetName val="Indices de Rentabilidad"/>
      <sheetName val="Indice Natural de Utilidad"/>
      <sheetName val="Indice Utilidad de Operación"/>
      <sheetName val="Indice Utilidad por Accion"/>
      <sheetName val="Rendimiento del Activo Total"/>
      <sheetName val="Rendimiento del Activo Fijo"/>
      <sheetName val="Rentabilidad del Patrimonio"/>
      <sheetName val="Rentabilidad Capital de Trabajo"/>
      <sheetName val="Fórmula de Dupont"/>
      <sheetName val="Dividendos por Acción"/>
      <sheetName val="Indices de Cobertura"/>
      <sheetName val="Cobertura de Intereses"/>
      <sheetName val="Cubrimiento Financiero"/>
      <sheetName val="Posición Defensiva"/>
      <sheetName val="Cuentas (2)"/>
      <sheetName val="Cuentas"/>
      <sheetName val="Analisis Gerencial"/>
      <sheetName val="Hoja1"/>
    </sheetNames>
    <sheetDataSet>
      <sheetData sheetId="0">
        <row r="1">
          <cell r="F1" t="str">
            <v>Enero Año_1</v>
          </cell>
        </row>
        <row r="2">
          <cell r="A2" t="str">
            <v>CODIGO</v>
          </cell>
          <cell r="F2" t="str">
            <v>SalActual</v>
          </cell>
        </row>
        <row r="3">
          <cell r="A3">
            <v>110505</v>
          </cell>
          <cell r="F3">
            <v>16500</v>
          </cell>
        </row>
        <row r="4">
          <cell r="A4">
            <v>220505</v>
          </cell>
          <cell r="F4">
            <v>-250560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yright"/>
      <sheetName val="Empieza aquí"/>
      <sheetName val="Introducción"/>
      <sheetName val="Calendario 2021"/>
      <sheetName val="Material relacionado"/>
      <sheetName val="Normativa"/>
      <sheetName val="Calendario"/>
      <sheetName val="Listado completo de archivo"/>
      <sheetName val="Hoja2"/>
      <sheetName val="Hoja1"/>
    </sheetNames>
    <sheetDataSet>
      <sheetData sheetId="0" refreshError="1"/>
      <sheetData sheetId="1" refreshError="1"/>
      <sheetData sheetId="2" refreshError="1"/>
      <sheetData sheetId="3" refreshError="1"/>
      <sheetData sheetId="4" refreshError="1"/>
      <sheetData sheetId="5">
        <row r="7">
          <cell r="E7">
            <v>1</v>
          </cell>
          <cell r="F7">
            <v>44236</v>
          </cell>
          <cell r="G7">
            <v>44264</v>
          </cell>
          <cell r="H7">
            <v>44298</v>
          </cell>
          <cell r="I7">
            <v>44326</v>
          </cell>
          <cell r="J7">
            <v>44356</v>
          </cell>
          <cell r="K7">
            <v>44385</v>
          </cell>
          <cell r="L7">
            <v>44418</v>
          </cell>
          <cell r="M7">
            <v>44447</v>
          </cell>
          <cell r="N7">
            <v>44476</v>
          </cell>
          <cell r="O7">
            <v>44509</v>
          </cell>
          <cell r="P7">
            <v>44540</v>
          </cell>
          <cell r="Q7">
            <v>44573</v>
          </cell>
        </row>
        <row r="8">
          <cell r="E8">
            <v>2</v>
          </cell>
          <cell r="F8">
            <v>44237</v>
          </cell>
          <cell r="G8">
            <v>44265</v>
          </cell>
          <cell r="H8">
            <v>44299</v>
          </cell>
          <cell r="I8">
            <v>44327</v>
          </cell>
          <cell r="J8">
            <v>44357</v>
          </cell>
          <cell r="K8">
            <v>44386</v>
          </cell>
          <cell r="L8">
            <v>44419</v>
          </cell>
          <cell r="M8">
            <v>44448</v>
          </cell>
          <cell r="N8">
            <v>44477</v>
          </cell>
          <cell r="O8">
            <v>44510</v>
          </cell>
          <cell r="P8">
            <v>44543</v>
          </cell>
          <cell r="Q8">
            <v>44574</v>
          </cell>
        </row>
        <row r="9">
          <cell r="E9">
            <v>3</v>
          </cell>
          <cell r="F9">
            <v>44238</v>
          </cell>
          <cell r="G9">
            <v>44266</v>
          </cell>
          <cell r="H9">
            <v>44300</v>
          </cell>
          <cell r="I9">
            <v>44328</v>
          </cell>
          <cell r="J9">
            <v>44358</v>
          </cell>
          <cell r="K9">
            <v>44389</v>
          </cell>
          <cell r="L9">
            <v>44420</v>
          </cell>
          <cell r="M9">
            <v>44449</v>
          </cell>
          <cell r="N9">
            <v>44480</v>
          </cell>
          <cell r="O9">
            <v>44511</v>
          </cell>
          <cell r="P9">
            <v>44544</v>
          </cell>
          <cell r="Q9">
            <v>44575</v>
          </cell>
        </row>
        <row r="10">
          <cell r="E10">
            <v>4</v>
          </cell>
          <cell r="F10">
            <v>44239</v>
          </cell>
          <cell r="G10">
            <v>44267</v>
          </cell>
          <cell r="H10">
            <v>44301</v>
          </cell>
          <cell r="I10">
            <v>44329</v>
          </cell>
          <cell r="J10">
            <v>44362</v>
          </cell>
          <cell r="K10">
            <v>44390</v>
          </cell>
          <cell r="L10">
            <v>44421</v>
          </cell>
          <cell r="M10">
            <v>44452</v>
          </cell>
          <cell r="N10">
            <v>44481</v>
          </cell>
          <cell r="O10">
            <v>44512</v>
          </cell>
          <cell r="P10">
            <v>44545</v>
          </cell>
          <cell r="Q10">
            <v>44578</v>
          </cell>
        </row>
        <row r="11">
          <cell r="E11">
            <v>5</v>
          </cell>
          <cell r="F11">
            <v>44242</v>
          </cell>
          <cell r="G11">
            <v>44270</v>
          </cell>
          <cell r="H11">
            <v>44302</v>
          </cell>
          <cell r="I11">
            <v>44330</v>
          </cell>
          <cell r="J11">
            <v>44363</v>
          </cell>
          <cell r="K11">
            <v>44391</v>
          </cell>
          <cell r="L11">
            <v>44425</v>
          </cell>
          <cell r="M11">
            <v>44453</v>
          </cell>
          <cell r="N11">
            <v>44482</v>
          </cell>
          <cell r="O11">
            <v>44516</v>
          </cell>
          <cell r="P11">
            <v>44546</v>
          </cell>
          <cell r="Q11">
            <v>44579</v>
          </cell>
        </row>
        <row r="12">
          <cell r="E12">
            <v>6</v>
          </cell>
          <cell r="F12">
            <v>44243</v>
          </cell>
          <cell r="G12">
            <v>44271</v>
          </cell>
          <cell r="H12">
            <v>44305</v>
          </cell>
          <cell r="I12">
            <v>44334</v>
          </cell>
          <cell r="J12">
            <v>44364</v>
          </cell>
          <cell r="K12">
            <v>44392</v>
          </cell>
          <cell r="L12">
            <v>44426</v>
          </cell>
          <cell r="M12">
            <v>44454</v>
          </cell>
          <cell r="N12">
            <v>44483</v>
          </cell>
          <cell r="O12">
            <v>44517</v>
          </cell>
          <cell r="P12">
            <v>44547</v>
          </cell>
          <cell r="Q12">
            <v>44580</v>
          </cell>
        </row>
        <row r="13">
          <cell r="E13">
            <v>7</v>
          </cell>
          <cell r="F13">
            <v>44244</v>
          </cell>
          <cell r="G13">
            <v>44272</v>
          </cell>
          <cell r="H13">
            <v>44306</v>
          </cell>
          <cell r="I13">
            <v>44335</v>
          </cell>
          <cell r="J13">
            <v>44365</v>
          </cell>
          <cell r="K13">
            <v>44393</v>
          </cell>
          <cell r="L13">
            <v>44427</v>
          </cell>
          <cell r="M13">
            <v>44455</v>
          </cell>
          <cell r="N13">
            <v>44484</v>
          </cell>
          <cell r="O13">
            <v>44518</v>
          </cell>
          <cell r="P13">
            <v>44550</v>
          </cell>
          <cell r="Q13">
            <v>44581</v>
          </cell>
        </row>
        <row r="14">
          <cell r="E14">
            <v>8</v>
          </cell>
          <cell r="F14">
            <v>44245</v>
          </cell>
          <cell r="G14">
            <v>44273</v>
          </cell>
          <cell r="H14">
            <v>44307</v>
          </cell>
          <cell r="I14">
            <v>44336</v>
          </cell>
          <cell r="J14">
            <v>44368</v>
          </cell>
          <cell r="K14">
            <v>44396</v>
          </cell>
          <cell r="L14">
            <v>44428</v>
          </cell>
          <cell r="M14">
            <v>44456</v>
          </cell>
          <cell r="N14">
            <v>44488</v>
          </cell>
          <cell r="O14">
            <v>44519</v>
          </cell>
          <cell r="P14">
            <v>44551</v>
          </cell>
          <cell r="Q14">
            <v>44582</v>
          </cell>
        </row>
        <row r="15">
          <cell r="E15">
            <v>9</v>
          </cell>
          <cell r="F15">
            <v>44246</v>
          </cell>
          <cell r="G15">
            <v>44274</v>
          </cell>
          <cell r="H15">
            <v>44308</v>
          </cell>
          <cell r="I15">
            <v>44337</v>
          </cell>
          <cell r="J15">
            <v>44369</v>
          </cell>
          <cell r="K15">
            <v>44398</v>
          </cell>
          <cell r="L15">
            <v>44431</v>
          </cell>
          <cell r="M15">
            <v>44459</v>
          </cell>
          <cell r="N15">
            <v>44489</v>
          </cell>
          <cell r="O15">
            <v>44522</v>
          </cell>
          <cell r="P15">
            <v>44552</v>
          </cell>
          <cell r="Q15">
            <v>44585</v>
          </cell>
        </row>
        <row r="16">
          <cell r="E16">
            <v>0</v>
          </cell>
          <cell r="F16">
            <v>44249</v>
          </cell>
          <cell r="G16">
            <v>44278</v>
          </cell>
          <cell r="H16">
            <v>44309</v>
          </cell>
          <cell r="I16">
            <v>44340</v>
          </cell>
          <cell r="J16">
            <v>44370</v>
          </cell>
          <cell r="K16">
            <v>44399</v>
          </cell>
          <cell r="L16">
            <v>44432</v>
          </cell>
          <cell r="M16">
            <v>44460</v>
          </cell>
          <cell r="N16">
            <v>44490</v>
          </cell>
          <cell r="O16">
            <v>44523</v>
          </cell>
          <cell r="P16">
            <v>44553</v>
          </cell>
          <cell r="Q16">
            <v>44586</v>
          </cell>
        </row>
        <row r="20">
          <cell r="E20">
            <v>1</v>
          </cell>
          <cell r="F20">
            <v>44264</v>
          </cell>
          <cell r="G20">
            <v>44326</v>
          </cell>
          <cell r="H20">
            <v>44385</v>
          </cell>
          <cell r="I20">
            <v>44447</v>
          </cell>
          <cell r="J20">
            <v>44509</v>
          </cell>
          <cell r="K20">
            <v>44573</v>
          </cell>
          <cell r="M20">
            <v>1</v>
          </cell>
          <cell r="N20">
            <v>44494</v>
          </cell>
          <cell r="P20">
            <v>1</v>
          </cell>
          <cell r="Q20">
            <v>44298</v>
          </cell>
          <cell r="R20">
            <v>44326</v>
          </cell>
          <cell r="S20">
            <v>44385</v>
          </cell>
          <cell r="T20">
            <v>44447</v>
          </cell>
          <cell r="U20">
            <v>44509</v>
          </cell>
          <cell r="V20">
            <v>44573</v>
          </cell>
        </row>
        <row r="21">
          <cell r="E21">
            <v>2</v>
          </cell>
          <cell r="F21">
            <v>44265</v>
          </cell>
          <cell r="G21">
            <v>44327</v>
          </cell>
          <cell r="H21">
            <v>44386</v>
          </cell>
          <cell r="I21">
            <v>44448</v>
          </cell>
          <cell r="J21">
            <v>44510</v>
          </cell>
          <cell r="K21">
            <v>44574</v>
          </cell>
          <cell r="M21">
            <v>2</v>
          </cell>
          <cell r="N21">
            <v>44494</v>
          </cell>
          <cell r="P21">
            <v>2</v>
          </cell>
          <cell r="Q21">
            <v>44299</v>
          </cell>
          <cell r="R21">
            <v>44327</v>
          </cell>
          <cell r="S21">
            <v>44386</v>
          </cell>
          <cell r="T21">
            <v>44448</v>
          </cell>
          <cell r="U21">
            <v>44510</v>
          </cell>
          <cell r="V21">
            <v>44574</v>
          </cell>
        </row>
        <row r="22">
          <cell r="E22">
            <v>3</v>
          </cell>
          <cell r="F22">
            <v>44266</v>
          </cell>
          <cell r="G22">
            <v>44328</v>
          </cell>
          <cell r="H22">
            <v>44389</v>
          </cell>
          <cell r="I22">
            <v>44449</v>
          </cell>
          <cell r="J22">
            <v>44511</v>
          </cell>
          <cell r="K22">
            <v>44575</v>
          </cell>
          <cell r="M22">
            <v>3</v>
          </cell>
          <cell r="N22">
            <v>44495</v>
          </cell>
          <cell r="P22">
            <v>3</v>
          </cell>
          <cell r="Q22">
            <v>44300</v>
          </cell>
          <cell r="R22">
            <v>44328</v>
          </cell>
          <cell r="S22">
            <v>44389</v>
          </cell>
          <cell r="T22">
            <v>44449</v>
          </cell>
          <cell r="U22">
            <v>44511</v>
          </cell>
          <cell r="V22">
            <v>44575</v>
          </cell>
        </row>
        <row r="23">
          <cell r="E23">
            <v>4</v>
          </cell>
          <cell r="F23">
            <v>44267</v>
          </cell>
          <cell r="G23">
            <v>44329</v>
          </cell>
          <cell r="H23">
            <v>44390</v>
          </cell>
          <cell r="I23">
            <v>44452</v>
          </cell>
          <cell r="J23">
            <v>44512</v>
          </cell>
          <cell r="K23">
            <v>44578</v>
          </cell>
          <cell r="M23">
            <v>4</v>
          </cell>
          <cell r="N23">
            <v>44495</v>
          </cell>
          <cell r="P23">
            <v>4</v>
          </cell>
          <cell r="Q23">
            <v>44301</v>
          </cell>
          <cell r="R23">
            <v>44329</v>
          </cell>
          <cell r="S23">
            <v>44390</v>
          </cell>
          <cell r="T23">
            <v>44452</v>
          </cell>
          <cell r="U23">
            <v>44512</v>
          </cell>
          <cell r="V23">
            <v>44578</v>
          </cell>
        </row>
        <row r="24">
          <cell r="E24">
            <v>5</v>
          </cell>
          <cell r="F24">
            <v>44270</v>
          </cell>
          <cell r="G24">
            <v>44330</v>
          </cell>
          <cell r="H24">
            <v>44391</v>
          </cell>
          <cell r="I24">
            <v>44453</v>
          </cell>
          <cell r="J24">
            <v>44516</v>
          </cell>
          <cell r="K24">
            <v>44579</v>
          </cell>
          <cell r="M24">
            <v>5</v>
          </cell>
          <cell r="N24">
            <v>44496</v>
          </cell>
          <cell r="P24">
            <v>5</v>
          </cell>
          <cell r="Q24">
            <v>44302</v>
          </cell>
          <cell r="R24">
            <v>44330</v>
          </cell>
          <cell r="S24">
            <v>44391</v>
          </cell>
          <cell r="T24">
            <v>44453</v>
          </cell>
          <cell r="U24">
            <v>44516</v>
          </cell>
          <cell r="V24">
            <v>44579</v>
          </cell>
        </row>
        <row r="25">
          <cell r="E25">
            <v>6</v>
          </cell>
          <cell r="F25">
            <v>44271</v>
          </cell>
          <cell r="G25">
            <v>44334</v>
          </cell>
          <cell r="H25">
            <v>44392</v>
          </cell>
          <cell r="I25">
            <v>44454</v>
          </cell>
          <cell r="J25">
            <v>44517</v>
          </cell>
          <cell r="K25">
            <v>44580</v>
          </cell>
          <cell r="M25">
            <v>6</v>
          </cell>
          <cell r="N25">
            <v>44496</v>
          </cell>
          <cell r="P25">
            <v>6</v>
          </cell>
          <cell r="Q25">
            <v>44305</v>
          </cell>
          <cell r="R25">
            <v>44334</v>
          </cell>
          <cell r="S25">
            <v>44392</v>
          </cell>
          <cell r="T25">
            <v>44454</v>
          </cell>
          <cell r="U25">
            <v>44517</v>
          </cell>
          <cell r="V25">
            <v>44580</v>
          </cell>
        </row>
        <row r="26">
          <cell r="E26">
            <v>7</v>
          </cell>
          <cell r="F26">
            <v>44272</v>
          </cell>
          <cell r="G26">
            <v>44335</v>
          </cell>
          <cell r="H26">
            <v>44393</v>
          </cell>
          <cell r="I26">
            <v>44455</v>
          </cell>
          <cell r="J26">
            <v>44518</v>
          </cell>
          <cell r="K26">
            <v>44581</v>
          </cell>
          <cell r="M26">
            <v>7</v>
          </cell>
          <cell r="N26">
            <v>44497</v>
          </cell>
          <cell r="P26">
            <v>7</v>
          </cell>
          <cell r="Q26">
            <v>44306</v>
          </cell>
          <cell r="R26">
            <v>44335</v>
          </cell>
          <cell r="S26">
            <v>44393</v>
          </cell>
          <cell r="T26">
            <v>44455</v>
          </cell>
          <cell r="U26">
            <v>44518</v>
          </cell>
          <cell r="V26">
            <v>44581</v>
          </cell>
        </row>
        <row r="27">
          <cell r="E27">
            <v>8</v>
          </cell>
          <cell r="F27">
            <v>44273</v>
          </cell>
          <cell r="G27">
            <v>44336</v>
          </cell>
          <cell r="H27">
            <v>44396</v>
          </cell>
          <cell r="I27">
            <v>44456</v>
          </cell>
          <cell r="J27">
            <v>44519</v>
          </cell>
          <cell r="K27">
            <v>44582</v>
          </cell>
          <cell r="M27">
            <v>8</v>
          </cell>
          <cell r="N27">
            <v>44497</v>
          </cell>
          <cell r="P27">
            <v>8</v>
          </cell>
          <cell r="Q27">
            <v>44307</v>
          </cell>
          <cell r="R27">
            <v>44336</v>
          </cell>
          <cell r="S27">
            <v>44396</v>
          </cell>
          <cell r="T27">
            <v>44456</v>
          </cell>
          <cell r="U27">
            <v>44519</v>
          </cell>
          <cell r="V27">
            <v>44582</v>
          </cell>
        </row>
        <row r="28">
          <cell r="E28">
            <v>9</v>
          </cell>
          <cell r="F28">
            <v>44274</v>
          </cell>
          <cell r="G28">
            <v>44337</v>
          </cell>
          <cell r="H28">
            <v>44398</v>
          </cell>
          <cell r="I28">
            <v>44459</v>
          </cell>
          <cell r="J28">
            <v>44522</v>
          </cell>
          <cell r="K28">
            <v>44585</v>
          </cell>
          <cell r="M28">
            <v>9</v>
          </cell>
          <cell r="N28">
            <v>44498</v>
          </cell>
          <cell r="P28">
            <v>9</v>
          </cell>
          <cell r="Q28">
            <v>44308</v>
          </cell>
          <cell r="R28">
            <v>44337</v>
          </cell>
          <cell r="S28">
            <v>44398</v>
          </cell>
          <cell r="T28">
            <v>44459</v>
          </cell>
          <cell r="U28">
            <v>44522</v>
          </cell>
          <cell r="V28">
            <v>44585</v>
          </cell>
        </row>
        <row r="29">
          <cell r="E29">
            <v>0</v>
          </cell>
          <cell r="F29">
            <v>44278</v>
          </cell>
          <cell r="G29">
            <v>44340</v>
          </cell>
          <cell r="H29">
            <v>44399</v>
          </cell>
          <cell r="I29">
            <v>44460</v>
          </cell>
          <cell r="J29">
            <v>44523</v>
          </cell>
          <cell r="K29">
            <v>44586</v>
          </cell>
          <cell r="M29">
            <v>0</v>
          </cell>
          <cell r="N29">
            <v>44498</v>
          </cell>
          <cell r="P29">
            <v>0</v>
          </cell>
          <cell r="Q29">
            <v>44309</v>
          </cell>
          <cell r="R29">
            <v>44340</v>
          </cell>
          <cell r="S29">
            <v>44399</v>
          </cell>
          <cell r="T29">
            <v>44460</v>
          </cell>
          <cell r="U29">
            <v>44523</v>
          </cell>
          <cell r="V29">
            <v>44586</v>
          </cell>
        </row>
        <row r="33">
          <cell r="E33">
            <v>1</v>
          </cell>
          <cell r="F33">
            <v>44236</v>
          </cell>
          <cell r="I33">
            <v>1</v>
          </cell>
          <cell r="J33">
            <v>44298</v>
          </cell>
          <cell r="M33">
            <v>1</v>
          </cell>
          <cell r="N33">
            <v>44356</v>
          </cell>
        </row>
        <row r="34">
          <cell r="E34">
            <v>2</v>
          </cell>
          <cell r="F34">
            <v>44237</v>
          </cell>
          <cell r="I34">
            <v>2</v>
          </cell>
          <cell r="J34">
            <v>44299</v>
          </cell>
          <cell r="M34">
            <v>2</v>
          </cell>
          <cell r="N34">
            <v>44357</v>
          </cell>
        </row>
        <row r="35">
          <cell r="E35">
            <v>3</v>
          </cell>
          <cell r="F35">
            <v>44238</v>
          </cell>
          <cell r="I35">
            <v>3</v>
          </cell>
          <cell r="J35">
            <v>44300</v>
          </cell>
          <cell r="M35">
            <v>3</v>
          </cell>
          <cell r="N35">
            <v>44358</v>
          </cell>
        </row>
        <row r="36">
          <cell r="E36">
            <v>4</v>
          </cell>
          <cell r="F36">
            <v>44239</v>
          </cell>
          <cell r="I36">
            <v>4</v>
          </cell>
          <cell r="J36">
            <v>44301</v>
          </cell>
          <cell r="M36">
            <v>4</v>
          </cell>
          <cell r="N36">
            <v>44362</v>
          </cell>
        </row>
        <row r="37">
          <cell r="E37">
            <v>5</v>
          </cell>
          <cell r="F37">
            <v>44242</v>
          </cell>
          <cell r="I37">
            <v>5</v>
          </cell>
          <cell r="J37">
            <v>44302</v>
          </cell>
          <cell r="M37">
            <v>5</v>
          </cell>
          <cell r="N37">
            <v>44363</v>
          </cell>
        </row>
        <row r="38">
          <cell r="E38">
            <v>6</v>
          </cell>
          <cell r="F38">
            <v>44243</v>
          </cell>
          <cell r="I38">
            <v>6</v>
          </cell>
          <cell r="J38">
            <v>44305</v>
          </cell>
          <cell r="M38">
            <v>6</v>
          </cell>
          <cell r="N38">
            <v>44364</v>
          </cell>
        </row>
        <row r="39">
          <cell r="E39">
            <v>7</v>
          </cell>
          <cell r="F39">
            <v>44244</v>
          </cell>
          <cell r="I39">
            <v>7</v>
          </cell>
          <cell r="J39">
            <v>44306</v>
          </cell>
          <cell r="M39">
            <v>7</v>
          </cell>
          <cell r="N39">
            <v>44365</v>
          </cell>
        </row>
        <row r="40">
          <cell r="E40">
            <v>8</v>
          </cell>
          <cell r="F40">
            <v>44245</v>
          </cell>
          <cell r="I40">
            <v>8</v>
          </cell>
          <cell r="J40">
            <v>44307</v>
          </cell>
          <cell r="M40">
            <v>8</v>
          </cell>
          <cell r="N40">
            <v>44368</v>
          </cell>
        </row>
        <row r="41">
          <cell r="E41">
            <v>9</v>
          </cell>
          <cell r="F41">
            <v>44246</v>
          </cell>
          <cell r="I41">
            <v>9</v>
          </cell>
          <cell r="J41">
            <v>44308</v>
          </cell>
          <cell r="M41">
            <v>9</v>
          </cell>
          <cell r="N41">
            <v>44369</v>
          </cell>
        </row>
        <row r="42">
          <cell r="E42">
            <v>0</v>
          </cell>
          <cell r="F42">
            <v>44249</v>
          </cell>
          <cell r="I42">
            <v>0</v>
          </cell>
          <cell r="J42">
            <v>44309</v>
          </cell>
          <cell r="M42">
            <v>0</v>
          </cell>
          <cell r="N42">
            <v>44370</v>
          </cell>
        </row>
        <row r="46">
          <cell r="E46">
            <v>1</v>
          </cell>
          <cell r="F46">
            <v>44446</v>
          </cell>
          <cell r="I46">
            <v>1</v>
          </cell>
          <cell r="J46">
            <v>44540</v>
          </cell>
          <cell r="M46">
            <v>1</v>
          </cell>
          <cell r="N46">
            <v>44249</v>
          </cell>
        </row>
        <row r="47">
          <cell r="E47">
            <v>2</v>
          </cell>
          <cell r="F47">
            <v>44447</v>
          </cell>
          <cell r="I47">
            <v>2</v>
          </cell>
          <cell r="J47">
            <v>44543</v>
          </cell>
          <cell r="M47">
            <v>2</v>
          </cell>
          <cell r="N47">
            <v>44249</v>
          </cell>
        </row>
        <row r="48">
          <cell r="E48">
            <v>3</v>
          </cell>
          <cell r="F48">
            <v>44448</v>
          </cell>
          <cell r="I48">
            <v>3</v>
          </cell>
          <cell r="J48">
            <v>44544</v>
          </cell>
          <cell r="M48">
            <v>3</v>
          </cell>
          <cell r="N48">
            <v>44250</v>
          </cell>
        </row>
        <row r="49">
          <cell r="E49">
            <v>4</v>
          </cell>
          <cell r="F49">
            <v>44449</v>
          </cell>
          <cell r="I49">
            <v>4</v>
          </cell>
          <cell r="J49">
            <v>44545</v>
          </cell>
          <cell r="M49">
            <v>4</v>
          </cell>
          <cell r="N49">
            <v>44250</v>
          </cell>
        </row>
        <row r="50">
          <cell r="E50">
            <v>5</v>
          </cell>
          <cell r="F50">
            <v>44452</v>
          </cell>
          <cell r="I50">
            <v>5</v>
          </cell>
          <cell r="J50">
            <v>44546</v>
          </cell>
          <cell r="M50">
            <v>5</v>
          </cell>
          <cell r="N50">
            <v>44251</v>
          </cell>
        </row>
        <row r="51">
          <cell r="E51">
            <v>6</v>
          </cell>
          <cell r="F51">
            <v>44453</v>
          </cell>
          <cell r="I51">
            <v>6</v>
          </cell>
          <cell r="J51">
            <v>44547</v>
          </cell>
          <cell r="M51">
            <v>6</v>
          </cell>
          <cell r="N51">
            <v>44251</v>
          </cell>
        </row>
        <row r="52">
          <cell r="E52">
            <v>7</v>
          </cell>
          <cell r="F52">
            <v>44454</v>
          </cell>
          <cell r="I52">
            <v>7</v>
          </cell>
          <cell r="J52">
            <v>44550</v>
          </cell>
          <cell r="M52">
            <v>7</v>
          </cell>
          <cell r="N52">
            <v>44252</v>
          </cell>
        </row>
        <row r="53">
          <cell r="E53">
            <v>8</v>
          </cell>
          <cell r="F53">
            <v>44455</v>
          </cell>
          <cell r="I53">
            <v>8</v>
          </cell>
          <cell r="J53">
            <v>44551</v>
          </cell>
          <cell r="M53">
            <v>8</v>
          </cell>
          <cell r="N53">
            <v>44252</v>
          </cell>
        </row>
        <row r="54">
          <cell r="E54">
            <v>9</v>
          </cell>
          <cell r="F54">
            <v>44456</v>
          </cell>
          <cell r="I54">
            <v>9</v>
          </cell>
          <cell r="J54">
            <v>44552</v>
          </cell>
          <cell r="M54">
            <v>9</v>
          </cell>
          <cell r="N54">
            <v>44253</v>
          </cell>
        </row>
        <row r="55">
          <cell r="E55">
            <v>0</v>
          </cell>
          <cell r="F55">
            <v>44459</v>
          </cell>
          <cell r="I55">
            <v>0</v>
          </cell>
          <cell r="J55">
            <v>44553</v>
          </cell>
          <cell r="M55">
            <v>0</v>
          </cell>
          <cell r="N55">
            <v>44253</v>
          </cell>
        </row>
        <row r="59">
          <cell r="E59" t="str">
            <v>01</v>
          </cell>
          <cell r="F59">
            <v>44298</v>
          </cell>
          <cell r="J59">
            <v>1</v>
          </cell>
          <cell r="K59">
            <v>44198</v>
          </cell>
          <cell r="L59">
            <v>44204</v>
          </cell>
          <cell r="M59">
            <v>44209</v>
          </cell>
        </row>
        <row r="60">
          <cell r="E60" t="str">
            <v>02</v>
          </cell>
          <cell r="F60">
            <v>44298</v>
          </cell>
          <cell r="J60">
            <v>2</v>
          </cell>
          <cell r="K60">
            <v>44205</v>
          </cell>
          <cell r="L60">
            <v>44211</v>
          </cell>
          <cell r="M60">
            <v>44215</v>
          </cell>
        </row>
        <row r="61">
          <cell r="E61" t="str">
            <v>03</v>
          </cell>
          <cell r="F61">
            <v>44298</v>
          </cell>
          <cell r="J61">
            <v>3</v>
          </cell>
          <cell r="K61">
            <v>44212</v>
          </cell>
          <cell r="L61">
            <v>44218</v>
          </cell>
          <cell r="M61">
            <v>44222</v>
          </cell>
        </row>
        <row r="62">
          <cell r="E62" t="str">
            <v>04</v>
          </cell>
          <cell r="F62">
            <v>44298</v>
          </cell>
          <cell r="J62">
            <v>4</v>
          </cell>
          <cell r="K62">
            <v>44219</v>
          </cell>
          <cell r="L62">
            <v>44225</v>
          </cell>
          <cell r="M62">
            <v>44229</v>
          </cell>
        </row>
        <row r="63">
          <cell r="E63" t="str">
            <v>05</v>
          </cell>
          <cell r="F63">
            <v>44298</v>
          </cell>
          <cell r="J63">
            <v>5</v>
          </cell>
          <cell r="K63">
            <v>44226</v>
          </cell>
          <cell r="L63">
            <v>44232</v>
          </cell>
          <cell r="M63">
            <v>44236</v>
          </cell>
        </row>
        <row r="64">
          <cell r="E64" t="str">
            <v>06</v>
          </cell>
          <cell r="F64">
            <v>44299</v>
          </cell>
          <cell r="J64">
            <v>6</v>
          </cell>
          <cell r="K64">
            <v>44233</v>
          </cell>
          <cell r="L64">
            <v>44239</v>
          </cell>
          <cell r="M64">
            <v>44243</v>
          </cell>
        </row>
        <row r="65">
          <cell r="E65" t="str">
            <v>07</v>
          </cell>
          <cell r="F65">
            <v>44299</v>
          </cell>
          <cell r="J65">
            <v>7</v>
          </cell>
          <cell r="K65">
            <v>44240</v>
          </cell>
          <cell r="L65">
            <v>44246</v>
          </cell>
          <cell r="M65">
            <v>44250</v>
          </cell>
        </row>
        <row r="66">
          <cell r="E66" t="str">
            <v>08</v>
          </cell>
          <cell r="F66">
            <v>44299</v>
          </cell>
          <cell r="J66">
            <v>8</v>
          </cell>
          <cell r="K66">
            <v>44247</v>
          </cell>
          <cell r="L66">
            <v>44253</v>
          </cell>
          <cell r="M66">
            <v>44257</v>
          </cell>
        </row>
        <row r="67">
          <cell r="E67" t="str">
            <v>09</v>
          </cell>
          <cell r="F67">
            <v>44299</v>
          </cell>
          <cell r="J67">
            <v>9</v>
          </cell>
          <cell r="K67">
            <v>44254</v>
          </cell>
          <cell r="L67">
            <v>44260</v>
          </cell>
          <cell r="M67">
            <v>44264</v>
          </cell>
        </row>
        <row r="68">
          <cell r="E68" t="str">
            <v>10</v>
          </cell>
          <cell r="F68">
            <v>44299</v>
          </cell>
          <cell r="J68">
            <v>10</v>
          </cell>
          <cell r="K68">
            <v>44261</v>
          </cell>
          <cell r="L68">
            <v>44267</v>
          </cell>
          <cell r="M68">
            <v>44271</v>
          </cell>
        </row>
        <row r="69">
          <cell r="E69" t="str">
            <v>11</v>
          </cell>
          <cell r="F69">
            <v>44300</v>
          </cell>
          <cell r="J69">
            <v>11</v>
          </cell>
          <cell r="K69">
            <v>44268</v>
          </cell>
          <cell r="L69">
            <v>44274</v>
          </cell>
          <cell r="M69">
            <v>44279</v>
          </cell>
        </row>
        <row r="70">
          <cell r="E70" t="str">
            <v>12</v>
          </cell>
          <cell r="F70">
            <v>44300</v>
          </cell>
          <cell r="J70">
            <v>12</v>
          </cell>
          <cell r="K70">
            <v>44275</v>
          </cell>
          <cell r="L70">
            <v>44281</v>
          </cell>
          <cell r="M70">
            <v>44285</v>
          </cell>
        </row>
        <row r="71">
          <cell r="E71" t="str">
            <v>13</v>
          </cell>
          <cell r="F71">
            <v>44300</v>
          </cell>
          <cell r="J71">
            <v>13</v>
          </cell>
          <cell r="K71">
            <v>44282</v>
          </cell>
          <cell r="L71">
            <v>44288</v>
          </cell>
          <cell r="M71">
            <v>44292</v>
          </cell>
        </row>
        <row r="72">
          <cell r="E72" t="str">
            <v>14</v>
          </cell>
          <cell r="F72">
            <v>44300</v>
          </cell>
          <cell r="J72">
            <v>14</v>
          </cell>
          <cell r="K72">
            <v>44289</v>
          </cell>
          <cell r="L72">
            <v>44295</v>
          </cell>
          <cell r="M72">
            <v>44299</v>
          </cell>
        </row>
        <row r="73">
          <cell r="E73" t="str">
            <v>15</v>
          </cell>
          <cell r="F73">
            <v>44300</v>
          </cell>
          <cell r="J73">
            <v>15</v>
          </cell>
          <cell r="K73">
            <v>44296</v>
          </cell>
          <cell r="L73">
            <v>44302</v>
          </cell>
          <cell r="M73">
            <v>44306</v>
          </cell>
        </row>
        <row r="74">
          <cell r="E74" t="str">
            <v>16</v>
          </cell>
          <cell r="F74">
            <v>44301</v>
          </cell>
          <cell r="J74">
            <v>16</v>
          </cell>
          <cell r="K74">
            <v>44303</v>
          </cell>
          <cell r="L74">
            <v>44309</v>
          </cell>
          <cell r="M74">
            <v>44313</v>
          </cell>
        </row>
        <row r="75">
          <cell r="E75" t="str">
            <v>17</v>
          </cell>
          <cell r="F75">
            <v>44301</v>
          </cell>
          <cell r="J75">
            <v>17</v>
          </cell>
          <cell r="K75">
            <v>44310</v>
          </cell>
          <cell r="L75">
            <v>44316</v>
          </cell>
          <cell r="M75">
            <v>44320</v>
          </cell>
        </row>
        <row r="76">
          <cell r="E76" t="str">
            <v>18</v>
          </cell>
          <cell r="F76">
            <v>44301</v>
          </cell>
          <cell r="J76">
            <v>18</v>
          </cell>
          <cell r="K76">
            <v>44317</v>
          </cell>
          <cell r="L76">
            <v>44323</v>
          </cell>
          <cell r="M76">
            <v>44327</v>
          </cell>
        </row>
        <row r="77">
          <cell r="E77" t="str">
            <v>19</v>
          </cell>
          <cell r="F77">
            <v>44301</v>
          </cell>
          <cell r="J77">
            <v>19</v>
          </cell>
          <cell r="K77">
            <v>44324</v>
          </cell>
          <cell r="L77">
            <v>44330</v>
          </cell>
          <cell r="M77">
            <v>44335</v>
          </cell>
        </row>
        <row r="78">
          <cell r="E78" t="str">
            <v>20</v>
          </cell>
          <cell r="F78">
            <v>44301</v>
          </cell>
          <cell r="J78">
            <v>20</v>
          </cell>
          <cell r="K78">
            <v>44331</v>
          </cell>
          <cell r="L78">
            <v>44337</v>
          </cell>
          <cell r="M78">
            <v>44341</v>
          </cell>
        </row>
        <row r="79">
          <cell r="E79" t="str">
            <v>21</v>
          </cell>
          <cell r="F79">
            <v>44302</v>
          </cell>
          <cell r="J79">
            <v>21</v>
          </cell>
          <cell r="K79">
            <v>44338</v>
          </cell>
          <cell r="L79">
            <v>44344</v>
          </cell>
          <cell r="M79">
            <v>44348</v>
          </cell>
        </row>
        <row r="80">
          <cell r="E80" t="str">
            <v>22</v>
          </cell>
          <cell r="F80">
            <v>44302</v>
          </cell>
          <cell r="J80">
            <v>22</v>
          </cell>
          <cell r="K80">
            <v>44345</v>
          </cell>
          <cell r="L80">
            <v>44351</v>
          </cell>
          <cell r="M80">
            <v>44356</v>
          </cell>
        </row>
        <row r="81">
          <cell r="E81" t="str">
            <v>23</v>
          </cell>
          <cell r="F81">
            <v>44302</v>
          </cell>
          <cell r="J81">
            <v>23</v>
          </cell>
          <cell r="K81">
            <v>44352</v>
          </cell>
          <cell r="L81">
            <v>44358</v>
          </cell>
          <cell r="M81">
            <v>44363</v>
          </cell>
        </row>
        <row r="82">
          <cell r="E82" t="str">
            <v>24</v>
          </cell>
          <cell r="F82">
            <v>44302</v>
          </cell>
          <cell r="J82">
            <v>24</v>
          </cell>
          <cell r="K82">
            <v>44359</v>
          </cell>
          <cell r="L82">
            <v>44365</v>
          </cell>
          <cell r="M82">
            <v>44369</v>
          </cell>
        </row>
        <row r="83">
          <cell r="E83" t="str">
            <v>25</v>
          </cell>
          <cell r="F83">
            <v>44302</v>
          </cell>
          <cell r="J83">
            <v>25</v>
          </cell>
          <cell r="K83">
            <v>44366</v>
          </cell>
          <cell r="L83">
            <v>44372</v>
          </cell>
          <cell r="M83">
            <v>44376</v>
          </cell>
        </row>
        <row r="84">
          <cell r="E84" t="str">
            <v>26</v>
          </cell>
          <cell r="F84">
            <v>44305</v>
          </cell>
          <cell r="J84">
            <v>26</v>
          </cell>
          <cell r="K84">
            <v>44373</v>
          </cell>
          <cell r="L84">
            <v>44379</v>
          </cell>
          <cell r="M84">
            <v>44384</v>
          </cell>
        </row>
        <row r="85">
          <cell r="E85" t="str">
            <v>27</v>
          </cell>
          <cell r="F85">
            <v>44305</v>
          </cell>
          <cell r="J85">
            <v>27</v>
          </cell>
          <cell r="K85">
            <v>44380</v>
          </cell>
          <cell r="L85">
            <v>44386</v>
          </cell>
          <cell r="M85">
            <v>44390</v>
          </cell>
        </row>
        <row r="86">
          <cell r="E86" t="str">
            <v>28</v>
          </cell>
          <cell r="F86">
            <v>44305</v>
          </cell>
          <cell r="J86">
            <v>28</v>
          </cell>
          <cell r="K86">
            <v>44387</v>
          </cell>
          <cell r="L86">
            <v>44393</v>
          </cell>
          <cell r="M86">
            <v>44399</v>
          </cell>
        </row>
        <row r="87">
          <cell r="E87" t="str">
            <v>29</v>
          </cell>
          <cell r="F87">
            <v>44305</v>
          </cell>
          <cell r="J87">
            <v>29</v>
          </cell>
          <cell r="K87">
            <v>44394</v>
          </cell>
          <cell r="L87">
            <v>44400</v>
          </cell>
          <cell r="M87">
            <v>44404</v>
          </cell>
        </row>
        <row r="88">
          <cell r="E88" t="str">
            <v>30</v>
          </cell>
          <cell r="F88">
            <v>44305</v>
          </cell>
          <cell r="J88">
            <v>30</v>
          </cell>
          <cell r="K88">
            <v>44401</v>
          </cell>
          <cell r="L88">
            <v>44407</v>
          </cell>
          <cell r="M88">
            <v>44411</v>
          </cell>
        </row>
        <row r="89">
          <cell r="E89" t="str">
            <v>31</v>
          </cell>
          <cell r="F89">
            <v>44306</v>
          </cell>
          <cell r="J89">
            <v>31</v>
          </cell>
          <cell r="K89">
            <v>44408</v>
          </cell>
          <cell r="L89">
            <v>44414</v>
          </cell>
          <cell r="M89">
            <v>44418</v>
          </cell>
        </row>
        <row r="90">
          <cell r="E90" t="str">
            <v>32</v>
          </cell>
          <cell r="F90">
            <v>44306</v>
          </cell>
          <cell r="J90">
            <v>32</v>
          </cell>
          <cell r="K90">
            <v>44415</v>
          </cell>
          <cell r="L90">
            <v>44421</v>
          </cell>
          <cell r="M90">
            <v>44426</v>
          </cell>
        </row>
        <row r="91">
          <cell r="E91" t="str">
            <v>33</v>
          </cell>
          <cell r="F91">
            <v>44306</v>
          </cell>
          <cell r="J91">
            <v>33</v>
          </cell>
          <cell r="K91">
            <v>44422</v>
          </cell>
          <cell r="L91">
            <v>44428</v>
          </cell>
          <cell r="M91">
            <v>44432</v>
          </cell>
        </row>
        <row r="92">
          <cell r="E92" t="str">
            <v>34</v>
          </cell>
          <cell r="F92">
            <v>44306</v>
          </cell>
          <cell r="J92">
            <v>34</v>
          </cell>
          <cell r="K92">
            <v>44429</v>
          </cell>
          <cell r="L92">
            <v>44435</v>
          </cell>
          <cell r="M92">
            <v>44439</v>
          </cell>
        </row>
        <row r="93">
          <cell r="E93" t="str">
            <v>35</v>
          </cell>
          <cell r="F93">
            <v>44306</v>
          </cell>
          <cell r="J93">
            <v>35</v>
          </cell>
          <cell r="K93">
            <v>44436</v>
          </cell>
          <cell r="L93">
            <v>44442</v>
          </cell>
          <cell r="M93">
            <v>44446</v>
          </cell>
        </row>
        <row r="94">
          <cell r="E94" t="str">
            <v>36</v>
          </cell>
          <cell r="F94">
            <v>44307</v>
          </cell>
          <cell r="J94">
            <v>36</v>
          </cell>
          <cell r="K94">
            <v>44443</v>
          </cell>
          <cell r="L94">
            <v>44449</v>
          </cell>
          <cell r="M94">
            <v>44453</v>
          </cell>
        </row>
        <row r="95">
          <cell r="E95" t="str">
            <v>37</v>
          </cell>
          <cell r="F95">
            <v>44307</v>
          </cell>
          <cell r="J95">
            <v>37</v>
          </cell>
          <cell r="K95">
            <v>44450</v>
          </cell>
          <cell r="L95">
            <v>44456</v>
          </cell>
          <cell r="M95">
            <v>44460</v>
          </cell>
        </row>
        <row r="96">
          <cell r="E96" t="str">
            <v>38</v>
          </cell>
          <cell r="F96">
            <v>44307</v>
          </cell>
          <cell r="J96">
            <v>38</v>
          </cell>
          <cell r="K96">
            <v>44457</v>
          </cell>
          <cell r="L96">
            <v>44463</v>
          </cell>
          <cell r="M96">
            <v>44467</v>
          </cell>
        </row>
        <row r="97">
          <cell r="E97" t="str">
            <v>39</v>
          </cell>
          <cell r="F97">
            <v>44307</v>
          </cell>
          <cell r="J97">
            <v>39</v>
          </cell>
          <cell r="K97">
            <v>44464</v>
          </cell>
          <cell r="L97">
            <v>44470</v>
          </cell>
          <cell r="M97">
            <v>44474</v>
          </cell>
        </row>
        <row r="98">
          <cell r="E98" t="str">
            <v>40</v>
          </cell>
          <cell r="F98">
            <v>44307</v>
          </cell>
          <cell r="J98">
            <v>40</v>
          </cell>
          <cell r="K98">
            <v>44471</v>
          </cell>
          <cell r="L98">
            <v>44477</v>
          </cell>
          <cell r="M98">
            <v>44481</v>
          </cell>
        </row>
        <row r="99">
          <cell r="E99" t="str">
            <v>41</v>
          </cell>
          <cell r="F99">
            <v>44308</v>
          </cell>
          <cell r="J99">
            <v>41</v>
          </cell>
          <cell r="K99">
            <v>44478</v>
          </cell>
          <cell r="L99">
            <v>44484</v>
          </cell>
          <cell r="M99">
            <v>44488</v>
          </cell>
        </row>
        <row r="100">
          <cell r="E100" t="str">
            <v>42</v>
          </cell>
          <cell r="F100">
            <v>44308</v>
          </cell>
          <cell r="J100">
            <v>42</v>
          </cell>
          <cell r="K100">
            <v>44485</v>
          </cell>
          <cell r="L100">
            <v>44491</v>
          </cell>
          <cell r="M100">
            <v>44495</v>
          </cell>
        </row>
        <row r="101">
          <cell r="E101" t="str">
            <v>43</v>
          </cell>
          <cell r="F101">
            <v>44308</v>
          </cell>
          <cell r="J101">
            <v>43</v>
          </cell>
          <cell r="K101">
            <v>44492</v>
          </cell>
          <cell r="L101">
            <v>44498</v>
          </cell>
          <cell r="M101">
            <v>44503</v>
          </cell>
        </row>
        <row r="102">
          <cell r="E102" t="str">
            <v>44</v>
          </cell>
          <cell r="F102">
            <v>44308</v>
          </cell>
          <cell r="J102">
            <v>44</v>
          </cell>
          <cell r="K102">
            <v>44499</v>
          </cell>
          <cell r="L102">
            <v>44505</v>
          </cell>
          <cell r="M102">
            <v>44509</v>
          </cell>
        </row>
        <row r="103">
          <cell r="E103" t="str">
            <v>45</v>
          </cell>
          <cell r="F103">
            <v>44308</v>
          </cell>
          <cell r="J103">
            <v>45</v>
          </cell>
          <cell r="K103">
            <v>44506</v>
          </cell>
          <cell r="L103">
            <v>44512</v>
          </cell>
          <cell r="M103">
            <v>44517</v>
          </cell>
        </row>
        <row r="104">
          <cell r="E104" t="str">
            <v>46</v>
          </cell>
          <cell r="F104">
            <v>44309</v>
          </cell>
          <cell r="J104">
            <v>46</v>
          </cell>
          <cell r="K104">
            <v>44513</v>
          </cell>
          <cell r="L104">
            <v>44519</v>
          </cell>
          <cell r="M104">
            <v>44523</v>
          </cell>
        </row>
        <row r="105">
          <cell r="E105" t="str">
            <v>47</v>
          </cell>
          <cell r="F105">
            <v>44309</v>
          </cell>
          <cell r="J105">
            <v>47</v>
          </cell>
          <cell r="K105">
            <v>44520</v>
          </cell>
          <cell r="L105">
            <v>44526</v>
          </cell>
          <cell r="M105">
            <v>44530</v>
          </cell>
        </row>
        <row r="106">
          <cell r="E106" t="str">
            <v>48</v>
          </cell>
          <cell r="F106">
            <v>44309</v>
          </cell>
          <cell r="J106">
            <v>48</v>
          </cell>
          <cell r="K106">
            <v>44527</v>
          </cell>
          <cell r="L106">
            <v>44533</v>
          </cell>
          <cell r="M106">
            <v>44537</v>
          </cell>
        </row>
        <row r="107">
          <cell r="E107" t="str">
            <v>49</v>
          </cell>
          <cell r="F107">
            <v>44309</v>
          </cell>
          <cell r="J107">
            <v>49</v>
          </cell>
          <cell r="K107">
            <v>44534</v>
          </cell>
          <cell r="L107">
            <v>44540</v>
          </cell>
          <cell r="M107">
            <v>44544</v>
          </cell>
        </row>
        <row r="108">
          <cell r="E108" t="str">
            <v>50</v>
          </cell>
          <cell r="F108">
            <v>44309</v>
          </cell>
          <cell r="J108">
            <v>50</v>
          </cell>
          <cell r="K108">
            <v>44541</v>
          </cell>
          <cell r="L108">
            <v>44547</v>
          </cell>
          <cell r="M108">
            <v>44551</v>
          </cell>
        </row>
        <row r="109">
          <cell r="E109" t="str">
            <v>51</v>
          </cell>
          <cell r="F109">
            <v>44312</v>
          </cell>
          <cell r="J109">
            <v>51</v>
          </cell>
          <cell r="K109">
            <v>44548</v>
          </cell>
          <cell r="L109">
            <v>44554</v>
          </cell>
          <cell r="M109">
            <v>44558</v>
          </cell>
        </row>
        <row r="110">
          <cell r="E110" t="str">
            <v>52</v>
          </cell>
          <cell r="F110">
            <v>44312</v>
          </cell>
          <cell r="J110">
            <v>52</v>
          </cell>
          <cell r="K110">
            <v>44555</v>
          </cell>
          <cell r="L110">
            <v>44561</v>
          </cell>
          <cell r="M110">
            <v>44565</v>
          </cell>
        </row>
        <row r="111">
          <cell r="E111" t="str">
            <v>53</v>
          </cell>
          <cell r="F111">
            <v>44312</v>
          </cell>
        </row>
        <row r="112">
          <cell r="E112" t="str">
            <v>54</v>
          </cell>
          <cell r="F112">
            <v>44312</v>
          </cell>
        </row>
        <row r="113">
          <cell r="E113" t="str">
            <v>55</v>
          </cell>
          <cell r="F113">
            <v>44312</v>
          </cell>
        </row>
        <row r="114">
          <cell r="E114" t="str">
            <v>56</v>
          </cell>
          <cell r="F114">
            <v>44313</v>
          </cell>
        </row>
        <row r="115">
          <cell r="E115" t="str">
            <v>57</v>
          </cell>
          <cell r="F115">
            <v>44313</v>
          </cell>
        </row>
        <row r="116">
          <cell r="E116" t="str">
            <v>58</v>
          </cell>
          <cell r="F116">
            <v>44313</v>
          </cell>
        </row>
        <row r="117">
          <cell r="E117" t="str">
            <v>59</v>
          </cell>
          <cell r="F117">
            <v>44313</v>
          </cell>
        </row>
        <row r="118">
          <cell r="E118" t="str">
            <v>60</v>
          </cell>
          <cell r="F118">
            <v>44313</v>
          </cell>
        </row>
        <row r="119">
          <cell r="E119" t="str">
            <v>61</v>
          </cell>
          <cell r="F119">
            <v>44314</v>
          </cell>
        </row>
        <row r="120">
          <cell r="E120" t="str">
            <v>62</v>
          </cell>
          <cell r="F120">
            <v>44314</v>
          </cell>
        </row>
        <row r="121">
          <cell r="E121" t="str">
            <v>63</v>
          </cell>
          <cell r="F121">
            <v>44314</v>
          </cell>
        </row>
        <row r="122">
          <cell r="E122" t="str">
            <v>64</v>
          </cell>
          <cell r="F122">
            <v>44314</v>
          </cell>
        </row>
        <row r="123">
          <cell r="E123" t="str">
            <v>65</v>
          </cell>
          <cell r="F123">
            <v>44314</v>
          </cell>
        </row>
        <row r="124">
          <cell r="E124" t="str">
            <v>66</v>
          </cell>
          <cell r="F124">
            <v>44315</v>
          </cell>
        </row>
        <row r="125">
          <cell r="E125" t="str">
            <v>67</v>
          </cell>
          <cell r="F125">
            <v>44315</v>
          </cell>
        </row>
        <row r="126">
          <cell r="E126" t="str">
            <v>68</v>
          </cell>
          <cell r="F126">
            <v>44315</v>
          </cell>
        </row>
        <row r="127">
          <cell r="E127" t="str">
            <v>69</v>
          </cell>
          <cell r="F127">
            <v>44315</v>
          </cell>
        </row>
        <row r="128">
          <cell r="E128" t="str">
            <v>70</v>
          </cell>
          <cell r="F128">
            <v>44315</v>
          </cell>
        </row>
        <row r="129">
          <cell r="E129" t="str">
            <v>71</v>
          </cell>
          <cell r="F129">
            <v>44316</v>
          </cell>
        </row>
        <row r="130">
          <cell r="E130" t="str">
            <v>72</v>
          </cell>
          <cell r="F130">
            <v>44316</v>
          </cell>
        </row>
        <row r="131">
          <cell r="E131" t="str">
            <v>73</v>
          </cell>
          <cell r="F131">
            <v>44316</v>
          </cell>
        </row>
        <row r="132">
          <cell r="E132" t="str">
            <v>74</v>
          </cell>
          <cell r="F132">
            <v>44316</v>
          </cell>
        </row>
        <row r="133">
          <cell r="E133" t="str">
            <v>75</v>
          </cell>
          <cell r="F133">
            <v>44316</v>
          </cell>
        </row>
        <row r="134">
          <cell r="E134" t="str">
            <v>76</v>
          </cell>
          <cell r="F134">
            <v>44319</v>
          </cell>
        </row>
        <row r="135">
          <cell r="E135" t="str">
            <v>77</v>
          </cell>
          <cell r="F135">
            <v>44319</v>
          </cell>
        </row>
        <row r="136">
          <cell r="E136" t="str">
            <v>78</v>
          </cell>
          <cell r="F136">
            <v>44319</v>
          </cell>
        </row>
        <row r="137">
          <cell r="E137" t="str">
            <v>79</v>
          </cell>
          <cell r="F137">
            <v>44319</v>
          </cell>
        </row>
        <row r="138">
          <cell r="E138" t="str">
            <v>80</v>
          </cell>
          <cell r="F138">
            <v>44319</v>
          </cell>
        </row>
        <row r="139">
          <cell r="E139" t="str">
            <v>81</v>
          </cell>
          <cell r="F139">
            <v>44320</v>
          </cell>
        </row>
        <row r="140">
          <cell r="E140" t="str">
            <v>82</v>
          </cell>
          <cell r="F140">
            <v>44320</v>
          </cell>
        </row>
        <row r="141">
          <cell r="E141" t="str">
            <v>83</v>
          </cell>
          <cell r="F141">
            <v>44320</v>
          </cell>
        </row>
        <row r="142">
          <cell r="E142" t="str">
            <v>84</v>
          </cell>
          <cell r="F142">
            <v>44320</v>
          </cell>
        </row>
        <row r="143">
          <cell r="E143" t="str">
            <v>85</v>
          </cell>
          <cell r="F143">
            <v>44320</v>
          </cell>
        </row>
        <row r="144">
          <cell r="E144" t="str">
            <v>86</v>
          </cell>
          <cell r="F144">
            <v>44321</v>
          </cell>
        </row>
        <row r="145">
          <cell r="E145" t="str">
            <v>87</v>
          </cell>
          <cell r="F145">
            <v>44321</v>
          </cell>
        </row>
        <row r="146">
          <cell r="E146" t="str">
            <v>88</v>
          </cell>
          <cell r="F146">
            <v>44321</v>
          </cell>
        </row>
        <row r="147">
          <cell r="E147" t="str">
            <v>89</v>
          </cell>
          <cell r="F147">
            <v>44321</v>
          </cell>
        </row>
        <row r="148">
          <cell r="E148" t="str">
            <v>90</v>
          </cell>
          <cell r="F148">
            <v>44321</v>
          </cell>
        </row>
        <row r="149">
          <cell r="E149" t="str">
            <v>91</v>
          </cell>
          <cell r="F149">
            <v>44322</v>
          </cell>
        </row>
        <row r="150">
          <cell r="E150" t="str">
            <v>92</v>
          </cell>
          <cell r="F150">
            <v>44322</v>
          </cell>
        </row>
        <row r="151">
          <cell r="E151" t="str">
            <v>93</v>
          </cell>
          <cell r="F151">
            <v>44322</v>
          </cell>
        </row>
        <row r="152">
          <cell r="E152" t="str">
            <v>94</v>
          </cell>
          <cell r="F152">
            <v>44322</v>
          </cell>
        </row>
        <row r="153">
          <cell r="E153" t="str">
            <v>95</v>
          </cell>
          <cell r="F153">
            <v>44322</v>
          </cell>
        </row>
        <row r="154">
          <cell r="E154" t="str">
            <v>96</v>
          </cell>
          <cell r="F154">
            <v>44323</v>
          </cell>
        </row>
        <row r="155">
          <cell r="E155" t="str">
            <v>97</v>
          </cell>
          <cell r="F155">
            <v>44323</v>
          </cell>
        </row>
        <row r="156">
          <cell r="E156" t="str">
            <v>98</v>
          </cell>
          <cell r="F156">
            <v>44323</v>
          </cell>
        </row>
        <row r="157">
          <cell r="E157" t="str">
            <v>99</v>
          </cell>
          <cell r="F157">
            <v>44323</v>
          </cell>
        </row>
        <row r="158">
          <cell r="E158" t="str">
            <v>00</v>
          </cell>
          <cell r="F158">
            <v>44323</v>
          </cell>
        </row>
        <row r="162">
          <cell r="E162" t="str">
            <v>01</v>
          </cell>
          <cell r="F162">
            <v>44418</v>
          </cell>
          <cell r="J162" t="str">
            <v>01</v>
          </cell>
          <cell r="K162">
            <v>44341</v>
          </cell>
          <cell r="N162">
            <v>1</v>
          </cell>
          <cell r="O162">
            <v>44313</v>
          </cell>
        </row>
        <row r="163">
          <cell r="E163" t="str">
            <v>02</v>
          </cell>
          <cell r="F163">
            <v>44418</v>
          </cell>
          <cell r="J163" t="str">
            <v>02</v>
          </cell>
          <cell r="K163">
            <v>44341</v>
          </cell>
          <cell r="N163">
            <v>2</v>
          </cell>
          <cell r="O163">
            <v>44314</v>
          </cell>
        </row>
        <row r="164">
          <cell r="E164" t="str">
            <v>03</v>
          </cell>
          <cell r="F164">
            <v>44419</v>
          </cell>
          <cell r="J164" t="str">
            <v>03</v>
          </cell>
          <cell r="K164">
            <v>44341</v>
          </cell>
          <cell r="N164">
            <v>3</v>
          </cell>
          <cell r="O164">
            <v>44315</v>
          </cell>
        </row>
        <row r="165">
          <cell r="E165" t="str">
            <v>04</v>
          </cell>
          <cell r="F165">
            <v>44419</v>
          </cell>
          <cell r="J165" t="str">
            <v>04</v>
          </cell>
          <cell r="K165">
            <v>44341</v>
          </cell>
          <cell r="N165">
            <v>4</v>
          </cell>
          <cell r="O165">
            <v>44316</v>
          </cell>
        </row>
        <row r="166">
          <cell r="E166" t="str">
            <v>05</v>
          </cell>
          <cell r="F166">
            <v>44420</v>
          </cell>
          <cell r="J166" t="str">
            <v>05</v>
          </cell>
          <cell r="K166">
            <v>44341</v>
          </cell>
          <cell r="N166">
            <v>5</v>
          </cell>
          <cell r="O166">
            <v>44319</v>
          </cell>
        </row>
        <row r="167">
          <cell r="E167" t="str">
            <v>06</v>
          </cell>
          <cell r="F167">
            <v>44420</v>
          </cell>
          <cell r="J167" t="str">
            <v>06</v>
          </cell>
          <cell r="K167">
            <v>44341</v>
          </cell>
          <cell r="N167">
            <v>6</v>
          </cell>
          <cell r="O167">
            <v>44320</v>
          </cell>
        </row>
        <row r="168">
          <cell r="E168" t="str">
            <v>07</v>
          </cell>
          <cell r="F168">
            <v>44421</v>
          </cell>
          <cell r="J168" t="str">
            <v>07</v>
          </cell>
          <cell r="K168">
            <v>44342</v>
          </cell>
          <cell r="N168">
            <v>7</v>
          </cell>
          <cell r="O168">
            <v>44321</v>
          </cell>
        </row>
        <row r="169">
          <cell r="E169" t="str">
            <v>08</v>
          </cell>
          <cell r="F169">
            <v>44421</v>
          </cell>
          <cell r="J169" t="str">
            <v>08</v>
          </cell>
          <cell r="K169">
            <v>44342</v>
          </cell>
          <cell r="N169">
            <v>8</v>
          </cell>
          <cell r="O169">
            <v>44322</v>
          </cell>
        </row>
        <row r="170">
          <cell r="E170" t="str">
            <v>09</v>
          </cell>
          <cell r="F170">
            <v>44425</v>
          </cell>
          <cell r="J170" t="str">
            <v>09</v>
          </cell>
          <cell r="K170">
            <v>44342</v>
          </cell>
          <cell r="N170">
            <v>9</v>
          </cell>
          <cell r="O170">
            <v>44323</v>
          </cell>
        </row>
        <row r="171">
          <cell r="E171" t="str">
            <v>10</v>
          </cell>
          <cell r="F171">
            <v>44425</v>
          </cell>
          <cell r="J171" t="str">
            <v>10</v>
          </cell>
          <cell r="K171">
            <v>44342</v>
          </cell>
          <cell r="N171">
            <v>0</v>
          </cell>
          <cell r="O171">
            <v>44326</v>
          </cell>
        </row>
        <row r="172">
          <cell r="E172" t="str">
            <v>11</v>
          </cell>
          <cell r="F172">
            <v>44426</v>
          </cell>
          <cell r="J172" t="str">
            <v>11</v>
          </cell>
          <cell r="K172">
            <v>44342</v>
          </cell>
        </row>
        <row r="173">
          <cell r="E173" t="str">
            <v>12</v>
          </cell>
          <cell r="F173">
            <v>44426</v>
          </cell>
          <cell r="J173" t="str">
            <v>12</v>
          </cell>
          <cell r="K173">
            <v>44342</v>
          </cell>
        </row>
        <row r="174">
          <cell r="E174" t="str">
            <v>13</v>
          </cell>
          <cell r="F174">
            <v>44427</v>
          </cell>
          <cell r="J174" t="str">
            <v>13</v>
          </cell>
          <cell r="K174">
            <v>44343</v>
          </cell>
        </row>
        <row r="175">
          <cell r="E175" t="str">
            <v>14</v>
          </cell>
          <cell r="F175">
            <v>44427</v>
          </cell>
          <cell r="J175" t="str">
            <v>14</v>
          </cell>
          <cell r="K175">
            <v>44343</v>
          </cell>
        </row>
        <row r="176">
          <cell r="E176" t="str">
            <v>15</v>
          </cell>
          <cell r="F176">
            <v>44428</v>
          </cell>
          <cell r="J176" t="str">
            <v>15</v>
          </cell>
          <cell r="K176">
            <v>44343</v>
          </cell>
        </row>
        <row r="177">
          <cell r="E177" t="str">
            <v>16</v>
          </cell>
          <cell r="F177">
            <v>44428</v>
          </cell>
          <cell r="J177" t="str">
            <v>16</v>
          </cell>
          <cell r="K177">
            <v>44343</v>
          </cell>
        </row>
        <row r="178">
          <cell r="E178" t="str">
            <v>17</v>
          </cell>
          <cell r="F178">
            <v>44431</v>
          </cell>
          <cell r="J178" t="str">
            <v>17</v>
          </cell>
          <cell r="K178">
            <v>44343</v>
          </cell>
        </row>
        <row r="179">
          <cell r="E179" t="str">
            <v>18</v>
          </cell>
          <cell r="F179">
            <v>44431</v>
          </cell>
          <cell r="J179" t="str">
            <v>18</v>
          </cell>
          <cell r="K179">
            <v>44343</v>
          </cell>
        </row>
        <row r="180">
          <cell r="E180" t="str">
            <v>19</v>
          </cell>
          <cell r="F180">
            <v>44432</v>
          </cell>
          <cell r="J180" t="str">
            <v>19</v>
          </cell>
          <cell r="K180">
            <v>44344</v>
          </cell>
        </row>
        <row r="181">
          <cell r="E181" t="str">
            <v>20</v>
          </cell>
          <cell r="F181">
            <v>44432</v>
          </cell>
          <cell r="J181" t="str">
            <v>20</v>
          </cell>
          <cell r="K181">
            <v>44344</v>
          </cell>
        </row>
        <row r="182">
          <cell r="E182" t="str">
            <v>21</v>
          </cell>
          <cell r="F182">
            <v>44433</v>
          </cell>
          <cell r="J182" t="str">
            <v>21</v>
          </cell>
          <cell r="K182">
            <v>44344</v>
          </cell>
        </row>
        <row r="183">
          <cell r="E183" t="str">
            <v>22</v>
          </cell>
          <cell r="F183">
            <v>44433</v>
          </cell>
          <cell r="J183" t="str">
            <v>22</v>
          </cell>
          <cell r="K183">
            <v>44344</v>
          </cell>
        </row>
        <row r="184">
          <cell r="E184" t="str">
            <v>23</v>
          </cell>
          <cell r="F184">
            <v>44434</v>
          </cell>
          <cell r="J184" t="str">
            <v>23</v>
          </cell>
          <cell r="K184">
            <v>44344</v>
          </cell>
        </row>
        <row r="185">
          <cell r="E185" t="str">
            <v>24</v>
          </cell>
          <cell r="F185">
            <v>44434</v>
          </cell>
          <cell r="J185" t="str">
            <v>24</v>
          </cell>
          <cell r="K185">
            <v>44344</v>
          </cell>
        </row>
        <row r="186">
          <cell r="E186" t="str">
            <v>25</v>
          </cell>
          <cell r="F186">
            <v>44435</v>
          </cell>
          <cell r="J186" t="str">
            <v>25</v>
          </cell>
          <cell r="K186">
            <v>44347</v>
          </cell>
        </row>
        <row r="187">
          <cell r="E187" t="str">
            <v>26</v>
          </cell>
          <cell r="F187">
            <v>44435</v>
          </cell>
          <cell r="J187" t="str">
            <v>26</v>
          </cell>
          <cell r="K187">
            <v>44347</v>
          </cell>
        </row>
        <row r="188">
          <cell r="E188" t="str">
            <v>27</v>
          </cell>
          <cell r="F188">
            <v>44438</v>
          </cell>
          <cell r="J188" t="str">
            <v>27</v>
          </cell>
          <cell r="K188">
            <v>44347</v>
          </cell>
        </row>
        <row r="189">
          <cell r="E189" t="str">
            <v>28</v>
          </cell>
          <cell r="F189">
            <v>44438</v>
          </cell>
          <cell r="J189" t="str">
            <v>28</v>
          </cell>
          <cell r="K189">
            <v>44347</v>
          </cell>
        </row>
        <row r="190">
          <cell r="E190" t="str">
            <v>29</v>
          </cell>
          <cell r="F190">
            <v>44439</v>
          </cell>
          <cell r="J190" t="str">
            <v>29</v>
          </cell>
          <cell r="K190">
            <v>44347</v>
          </cell>
        </row>
        <row r="191">
          <cell r="E191" t="str">
            <v>30</v>
          </cell>
          <cell r="F191">
            <v>44439</v>
          </cell>
          <cell r="J191" t="str">
            <v>30</v>
          </cell>
          <cell r="K191">
            <v>44347</v>
          </cell>
        </row>
        <row r="192">
          <cell r="E192" t="str">
            <v>31</v>
          </cell>
          <cell r="F192">
            <v>44440</v>
          </cell>
          <cell r="J192" t="str">
            <v>31</v>
          </cell>
          <cell r="K192">
            <v>44348</v>
          </cell>
        </row>
        <row r="193">
          <cell r="E193" t="str">
            <v>32</v>
          </cell>
          <cell r="F193">
            <v>44440</v>
          </cell>
          <cell r="J193" t="str">
            <v>32</v>
          </cell>
          <cell r="K193">
            <v>44348</v>
          </cell>
        </row>
        <row r="194">
          <cell r="E194" t="str">
            <v>33</v>
          </cell>
          <cell r="F194">
            <v>44441</v>
          </cell>
          <cell r="J194" t="str">
            <v>33</v>
          </cell>
          <cell r="K194">
            <v>44348</v>
          </cell>
        </row>
        <row r="195">
          <cell r="E195" t="str">
            <v>34</v>
          </cell>
          <cell r="F195">
            <v>44441</v>
          </cell>
          <cell r="J195" t="str">
            <v>34</v>
          </cell>
          <cell r="K195">
            <v>44348</v>
          </cell>
        </row>
        <row r="196">
          <cell r="E196" t="str">
            <v>35</v>
          </cell>
          <cell r="F196">
            <v>44442</v>
          </cell>
          <cell r="J196" t="str">
            <v>35</v>
          </cell>
          <cell r="K196">
            <v>44348</v>
          </cell>
        </row>
        <row r="197">
          <cell r="E197" t="str">
            <v>36</v>
          </cell>
          <cell r="F197">
            <v>44442</v>
          </cell>
          <cell r="J197" t="str">
            <v>36</v>
          </cell>
          <cell r="K197">
            <v>44348</v>
          </cell>
        </row>
        <row r="198">
          <cell r="E198" t="str">
            <v>37</v>
          </cell>
          <cell r="F198">
            <v>44445</v>
          </cell>
          <cell r="J198" t="str">
            <v>37</v>
          </cell>
          <cell r="K198">
            <v>44348</v>
          </cell>
        </row>
        <row r="199">
          <cell r="E199" t="str">
            <v>38</v>
          </cell>
          <cell r="F199">
            <v>44445</v>
          </cell>
          <cell r="J199" t="str">
            <v>38</v>
          </cell>
          <cell r="K199">
            <v>44349</v>
          </cell>
        </row>
        <row r="200">
          <cell r="E200" t="str">
            <v>39</v>
          </cell>
          <cell r="F200">
            <v>44446</v>
          </cell>
          <cell r="J200" t="str">
            <v>39</v>
          </cell>
          <cell r="K200">
            <v>44349</v>
          </cell>
        </row>
        <row r="201">
          <cell r="E201" t="str">
            <v>40</v>
          </cell>
          <cell r="F201">
            <v>44446</v>
          </cell>
          <cell r="J201" t="str">
            <v>40</v>
          </cell>
          <cell r="K201">
            <v>44349</v>
          </cell>
        </row>
        <row r="202">
          <cell r="E202" t="str">
            <v>41</v>
          </cell>
          <cell r="F202">
            <v>44447</v>
          </cell>
          <cell r="J202" t="str">
            <v>41</v>
          </cell>
          <cell r="K202">
            <v>44349</v>
          </cell>
        </row>
        <row r="203">
          <cell r="E203" t="str">
            <v>42</v>
          </cell>
          <cell r="F203">
            <v>44447</v>
          </cell>
          <cell r="J203" t="str">
            <v>42</v>
          </cell>
          <cell r="K203">
            <v>44349</v>
          </cell>
        </row>
        <row r="204">
          <cell r="E204" t="str">
            <v>43</v>
          </cell>
          <cell r="F204">
            <v>44448</v>
          </cell>
          <cell r="J204" t="str">
            <v>43</v>
          </cell>
          <cell r="K204">
            <v>44349</v>
          </cell>
        </row>
        <row r="205">
          <cell r="E205" t="str">
            <v>44</v>
          </cell>
          <cell r="F205">
            <v>44448</v>
          </cell>
          <cell r="J205" t="str">
            <v>44</v>
          </cell>
          <cell r="K205">
            <v>44349</v>
          </cell>
        </row>
        <row r="206">
          <cell r="E206" t="str">
            <v>45</v>
          </cell>
          <cell r="F206">
            <v>44449</v>
          </cell>
          <cell r="J206" t="str">
            <v>45</v>
          </cell>
          <cell r="K206">
            <v>44350</v>
          </cell>
        </row>
        <row r="207">
          <cell r="E207" t="str">
            <v>46</v>
          </cell>
          <cell r="F207">
            <v>44449</v>
          </cell>
          <cell r="J207" t="str">
            <v>46</v>
          </cell>
          <cell r="K207">
            <v>44350</v>
          </cell>
        </row>
        <row r="208">
          <cell r="E208" t="str">
            <v>47</v>
          </cell>
          <cell r="F208">
            <v>44452</v>
          </cell>
          <cell r="J208" t="str">
            <v>47</v>
          </cell>
          <cell r="K208">
            <v>44350</v>
          </cell>
        </row>
        <row r="209">
          <cell r="E209" t="str">
            <v>48</v>
          </cell>
          <cell r="F209">
            <v>44452</v>
          </cell>
          <cell r="J209" t="str">
            <v>48</v>
          </cell>
          <cell r="K209">
            <v>44350</v>
          </cell>
        </row>
        <row r="210">
          <cell r="E210" t="str">
            <v>49</v>
          </cell>
          <cell r="F210">
            <v>44453</v>
          </cell>
          <cell r="J210" t="str">
            <v>49</v>
          </cell>
          <cell r="K210">
            <v>44350</v>
          </cell>
        </row>
        <row r="211">
          <cell r="E211" t="str">
            <v>50</v>
          </cell>
          <cell r="F211">
            <v>44453</v>
          </cell>
          <cell r="J211" t="str">
            <v>50</v>
          </cell>
          <cell r="K211">
            <v>44350</v>
          </cell>
        </row>
        <row r="212">
          <cell r="E212" t="str">
            <v>51</v>
          </cell>
          <cell r="F212">
            <v>44454</v>
          </cell>
          <cell r="J212" t="str">
            <v>51</v>
          </cell>
          <cell r="K212">
            <v>44350</v>
          </cell>
        </row>
        <row r="213">
          <cell r="E213" t="str">
            <v>52</v>
          </cell>
          <cell r="F213">
            <v>44454</v>
          </cell>
          <cell r="J213" t="str">
            <v>52</v>
          </cell>
          <cell r="K213">
            <v>44351</v>
          </cell>
        </row>
        <row r="214">
          <cell r="E214" t="str">
            <v>53</v>
          </cell>
          <cell r="F214">
            <v>44455</v>
          </cell>
          <cell r="J214" t="str">
            <v>53</v>
          </cell>
          <cell r="K214">
            <v>44351</v>
          </cell>
        </row>
        <row r="215">
          <cell r="E215" t="str">
            <v>54</v>
          </cell>
          <cell r="F215">
            <v>44455</v>
          </cell>
          <cell r="J215" t="str">
            <v>54</v>
          </cell>
          <cell r="K215">
            <v>44351</v>
          </cell>
        </row>
        <row r="216">
          <cell r="E216" t="str">
            <v>55</v>
          </cell>
          <cell r="F216">
            <v>44456</v>
          </cell>
          <cell r="J216" t="str">
            <v>55</v>
          </cell>
          <cell r="K216">
            <v>44351</v>
          </cell>
        </row>
        <row r="217">
          <cell r="E217" t="str">
            <v>56</v>
          </cell>
          <cell r="F217">
            <v>44456</v>
          </cell>
          <cell r="J217" t="str">
            <v>56</v>
          </cell>
          <cell r="K217">
            <v>44351</v>
          </cell>
        </row>
        <row r="218">
          <cell r="E218" t="str">
            <v>57</v>
          </cell>
          <cell r="F218">
            <v>44459</v>
          </cell>
          <cell r="J218" t="str">
            <v>57</v>
          </cell>
          <cell r="K218">
            <v>44351</v>
          </cell>
        </row>
        <row r="219">
          <cell r="E219" t="str">
            <v>58</v>
          </cell>
          <cell r="F219">
            <v>44459</v>
          </cell>
          <cell r="J219" t="str">
            <v>58</v>
          </cell>
          <cell r="K219">
            <v>44351</v>
          </cell>
        </row>
        <row r="220">
          <cell r="E220" t="str">
            <v>59</v>
          </cell>
          <cell r="F220">
            <v>44460</v>
          </cell>
          <cell r="J220" t="str">
            <v>59</v>
          </cell>
          <cell r="K220">
            <v>44355</v>
          </cell>
        </row>
        <row r="221">
          <cell r="E221" t="str">
            <v>60</v>
          </cell>
          <cell r="F221">
            <v>44460</v>
          </cell>
          <cell r="J221" t="str">
            <v>60</v>
          </cell>
          <cell r="K221">
            <v>44355</v>
          </cell>
        </row>
        <row r="222">
          <cell r="E222" t="str">
            <v>61</v>
          </cell>
          <cell r="F222">
            <v>43730</v>
          </cell>
          <cell r="J222" t="str">
            <v>61</v>
          </cell>
          <cell r="K222">
            <v>44355</v>
          </cell>
        </row>
        <row r="223">
          <cell r="E223" t="str">
            <v>62</v>
          </cell>
          <cell r="F223">
            <v>44461</v>
          </cell>
          <cell r="J223" t="str">
            <v>62</v>
          </cell>
          <cell r="K223">
            <v>44355</v>
          </cell>
        </row>
        <row r="224">
          <cell r="E224" t="str">
            <v>63</v>
          </cell>
          <cell r="F224">
            <v>44462</v>
          </cell>
          <cell r="J224" t="str">
            <v>63</v>
          </cell>
          <cell r="K224">
            <v>44355</v>
          </cell>
        </row>
        <row r="225">
          <cell r="E225" t="str">
            <v>64</v>
          </cell>
          <cell r="F225">
            <v>44462</v>
          </cell>
          <cell r="J225" t="str">
            <v>64</v>
          </cell>
          <cell r="K225">
            <v>44355</v>
          </cell>
        </row>
        <row r="226">
          <cell r="E226" t="str">
            <v>65</v>
          </cell>
          <cell r="F226">
            <v>44463</v>
          </cell>
          <cell r="J226" t="str">
            <v>65</v>
          </cell>
          <cell r="K226">
            <v>44355</v>
          </cell>
        </row>
        <row r="227">
          <cell r="E227" t="str">
            <v>66</v>
          </cell>
          <cell r="F227">
            <v>44463</v>
          </cell>
          <cell r="J227" t="str">
            <v>66</v>
          </cell>
          <cell r="K227">
            <v>44356</v>
          </cell>
        </row>
        <row r="228">
          <cell r="E228" t="str">
            <v>67</v>
          </cell>
          <cell r="F228">
            <v>44466</v>
          </cell>
          <cell r="J228" t="str">
            <v>67</v>
          </cell>
          <cell r="K228">
            <v>44356</v>
          </cell>
        </row>
        <row r="229">
          <cell r="E229" t="str">
            <v>68</v>
          </cell>
          <cell r="F229">
            <v>44466</v>
          </cell>
          <cell r="J229" t="str">
            <v>68</v>
          </cell>
          <cell r="K229">
            <v>44356</v>
          </cell>
        </row>
        <row r="230">
          <cell r="E230" t="str">
            <v>69</v>
          </cell>
          <cell r="F230">
            <v>44467</v>
          </cell>
          <cell r="J230" t="str">
            <v>69</v>
          </cell>
          <cell r="K230">
            <v>44356</v>
          </cell>
        </row>
        <row r="231">
          <cell r="E231" t="str">
            <v>70</v>
          </cell>
          <cell r="F231">
            <v>44467</v>
          </cell>
          <cell r="J231" t="str">
            <v>70</v>
          </cell>
          <cell r="K231">
            <v>44356</v>
          </cell>
        </row>
        <row r="232">
          <cell r="E232" t="str">
            <v>71</v>
          </cell>
          <cell r="F232">
            <v>44468</v>
          </cell>
          <cell r="J232" t="str">
            <v>71</v>
          </cell>
          <cell r="K232">
            <v>44356</v>
          </cell>
        </row>
        <row r="233">
          <cell r="E233" t="str">
            <v>72</v>
          </cell>
          <cell r="F233">
            <v>44468</v>
          </cell>
          <cell r="J233" t="str">
            <v>72</v>
          </cell>
          <cell r="K233">
            <v>44356</v>
          </cell>
        </row>
        <row r="234">
          <cell r="E234" t="str">
            <v>73</v>
          </cell>
          <cell r="F234">
            <v>44469</v>
          </cell>
          <cell r="J234" t="str">
            <v>73</v>
          </cell>
          <cell r="K234">
            <v>44357</v>
          </cell>
        </row>
        <row r="235">
          <cell r="E235" t="str">
            <v>74</v>
          </cell>
          <cell r="F235">
            <v>44469</v>
          </cell>
          <cell r="J235" t="str">
            <v>74</v>
          </cell>
          <cell r="K235">
            <v>44357</v>
          </cell>
        </row>
        <row r="236">
          <cell r="E236" t="str">
            <v>75</v>
          </cell>
          <cell r="F236">
            <v>44470</v>
          </cell>
          <cell r="J236" t="str">
            <v>75</v>
          </cell>
          <cell r="K236">
            <v>44357</v>
          </cell>
        </row>
        <row r="237">
          <cell r="E237" t="str">
            <v>76</v>
          </cell>
          <cell r="F237">
            <v>44470</v>
          </cell>
          <cell r="J237" t="str">
            <v>76</v>
          </cell>
          <cell r="K237">
            <v>44357</v>
          </cell>
        </row>
        <row r="238">
          <cell r="E238" t="str">
            <v>77</v>
          </cell>
          <cell r="F238">
            <v>44473</v>
          </cell>
          <cell r="J238" t="str">
            <v>77</v>
          </cell>
          <cell r="K238">
            <v>44357</v>
          </cell>
        </row>
        <row r="239">
          <cell r="E239" t="str">
            <v>78</v>
          </cell>
          <cell r="F239">
            <v>44473</v>
          </cell>
          <cell r="J239" t="str">
            <v>78</v>
          </cell>
          <cell r="K239">
            <v>44357</v>
          </cell>
        </row>
        <row r="240">
          <cell r="E240" t="str">
            <v>79</v>
          </cell>
          <cell r="F240">
            <v>44474</v>
          </cell>
          <cell r="J240" t="str">
            <v>79</v>
          </cell>
          <cell r="K240">
            <v>44357</v>
          </cell>
        </row>
        <row r="241">
          <cell r="E241" t="str">
            <v>80</v>
          </cell>
          <cell r="F241">
            <v>44474</v>
          </cell>
          <cell r="J241" t="str">
            <v>80</v>
          </cell>
          <cell r="K241">
            <v>44358</v>
          </cell>
        </row>
        <row r="242">
          <cell r="E242" t="str">
            <v>81</v>
          </cell>
          <cell r="F242">
            <v>44475</v>
          </cell>
          <cell r="J242" t="str">
            <v>81</v>
          </cell>
          <cell r="K242">
            <v>44358</v>
          </cell>
        </row>
        <row r="243">
          <cell r="E243" t="str">
            <v>82</v>
          </cell>
          <cell r="F243">
            <v>44475</v>
          </cell>
          <cell r="J243" t="str">
            <v>82</v>
          </cell>
          <cell r="K243">
            <v>44358</v>
          </cell>
        </row>
        <row r="244">
          <cell r="E244" t="str">
            <v>83</v>
          </cell>
          <cell r="F244">
            <v>44476</v>
          </cell>
          <cell r="J244" t="str">
            <v>83</v>
          </cell>
          <cell r="K244">
            <v>44358</v>
          </cell>
        </row>
        <row r="245">
          <cell r="E245" t="str">
            <v>84</v>
          </cell>
          <cell r="F245">
            <v>44476</v>
          </cell>
          <cell r="J245" t="str">
            <v>84</v>
          </cell>
          <cell r="K245">
            <v>44358</v>
          </cell>
        </row>
        <row r="246">
          <cell r="E246" t="str">
            <v>85</v>
          </cell>
          <cell r="F246">
            <v>44477</v>
          </cell>
          <cell r="J246" t="str">
            <v>85</v>
          </cell>
          <cell r="K246">
            <v>44358</v>
          </cell>
        </row>
        <row r="247">
          <cell r="E247" t="str">
            <v>86</v>
          </cell>
          <cell r="F247">
            <v>44477</v>
          </cell>
          <cell r="J247" t="str">
            <v>86</v>
          </cell>
          <cell r="K247">
            <v>44358</v>
          </cell>
        </row>
        <row r="248">
          <cell r="E248" t="str">
            <v>87</v>
          </cell>
          <cell r="F248">
            <v>44480</v>
          </cell>
          <cell r="J248" t="str">
            <v>87</v>
          </cell>
          <cell r="K248">
            <v>44362</v>
          </cell>
        </row>
        <row r="249">
          <cell r="E249" t="str">
            <v>88</v>
          </cell>
          <cell r="F249">
            <v>44480</v>
          </cell>
          <cell r="J249" t="str">
            <v>88</v>
          </cell>
          <cell r="K249">
            <v>44362</v>
          </cell>
        </row>
        <row r="250">
          <cell r="E250" t="str">
            <v>89</v>
          </cell>
          <cell r="F250">
            <v>44481</v>
          </cell>
          <cell r="J250" t="str">
            <v>89</v>
          </cell>
          <cell r="K250">
            <v>44362</v>
          </cell>
        </row>
        <row r="251">
          <cell r="E251" t="str">
            <v>90</v>
          </cell>
          <cell r="F251">
            <v>44481</v>
          </cell>
          <cell r="J251" t="str">
            <v>90</v>
          </cell>
          <cell r="K251">
            <v>44362</v>
          </cell>
        </row>
        <row r="252">
          <cell r="E252" t="str">
            <v>91</v>
          </cell>
          <cell r="F252">
            <v>44482</v>
          </cell>
          <cell r="J252" t="str">
            <v>91</v>
          </cell>
          <cell r="K252">
            <v>44362</v>
          </cell>
        </row>
        <row r="253">
          <cell r="E253" t="str">
            <v>92</v>
          </cell>
          <cell r="F253">
            <v>44482</v>
          </cell>
          <cell r="J253" t="str">
            <v>92</v>
          </cell>
          <cell r="K253">
            <v>44362</v>
          </cell>
        </row>
        <row r="254">
          <cell r="E254" t="str">
            <v>93</v>
          </cell>
          <cell r="F254">
            <v>44483</v>
          </cell>
          <cell r="J254" t="str">
            <v>93</v>
          </cell>
          <cell r="K254">
            <v>44362</v>
          </cell>
        </row>
        <row r="255">
          <cell r="E255" t="str">
            <v>94</v>
          </cell>
          <cell r="F255">
            <v>44483</v>
          </cell>
          <cell r="J255" t="str">
            <v>94</v>
          </cell>
          <cell r="K255">
            <v>44363</v>
          </cell>
        </row>
        <row r="256">
          <cell r="E256" t="str">
            <v>95</v>
          </cell>
          <cell r="F256">
            <v>44484</v>
          </cell>
          <cell r="J256" t="str">
            <v>95</v>
          </cell>
          <cell r="K256">
            <v>44363</v>
          </cell>
        </row>
        <row r="257">
          <cell r="E257" t="str">
            <v>96</v>
          </cell>
          <cell r="F257">
            <v>44484</v>
          </cell>
          <cell r="J257" t="str">
            <v>96</v>
          </cell>
          <cell r="K257">
            <v>44363</v>
          </cell>
        </row>
        <row r="258">
          <cell r="E258" t="str">
            <v>97</v>
          </cell>
          <cell r="F258">
            <v>44488</v>
          </cell>
          <cell r="J258" t="str">
            <v>97</v>
          </cell>
          <cell r="K258">
            <v>44363</v>
          </cell>
        </row>
        <row r="259">
          <cell r="E259" t="str">
            <v>98</v>
          </cell>
          <cell r="F259">
            <v>44488</v>
          </cell>
          <cell r="J259" t="str">
            <v>98</v>
          </cell>
          <cell r="K259">
            <v>44363</v>
          </cell>
        </row>
        <row r="260">
          <cell r="E260" t="str">
            <v>99</v>
          </cell>
          <cell r="F260">
            <v>44489</v>
          </cell>
          <cell r="J260" t="str">
            <v>99</v>
          </cell>
          <cell r="K260">
            <v>44363</v>
          </cell>
        </row>
        <row r="261">
          <cell r="E261" t="str">
            <v>00</v>
          </cell>
          <cell r="F261">
            <v>44489</v>
          </cell>
          <cell r="J261" t="str">
            <v>00</v>
          </cell>
          <cell r="K261">
            <v>44363</v>
          </cell>
        </row>
        <row r="265">
          <cell r="E265" t="str">
            <v>01</v>
          </cell>
          <cell r="F265">
            <v>44298</v>
          </cell>
          <cell r="J265" t="str">
            <v>01</v>
          </cell>
          <cell r="K265">
            <v>44334</v>
          </cell>
        </row>
        <row r="266">
          <cell r="E266" t="str">
            <v>02</v>
          </cell>
          <cell r="F266">
            <v>44298</v>
          </cell>
          <cell r="J266" t="str">
            <v>02</v>
          </cell>
          <cell r="K266">
            <v>44334</v>
          </cell>
        </row>
        <row r="267">
          <cell r="E267" t="str">
            <v>03</v>
          </cell>
          <cell r="F267">
            <v>44298</v>
          </cell>
          <cell r="J267" t="str">
            <v>03</v>
          </cell>
          <cell r="K267">
            <v>44334</v>
          </cell>
        </row>
        <row r="268">
          <cell r="E268" t="str">
            <v>04</v>
          </cell>
          <cell r="F268">
            <v>44298</v>
          </cell>
          <cell r="J268" t="str">
            <v>04</v>
          </cell>
          <cell r="K268">
            <v>44334</v>
          </cell>
        </row>
        <row r="269">
          <cell r="E269" t="str">
            <v>05</v>
          </cell>
          <cell r="F269">
            <v>44298</v>
          </cell>
          <cell r="J269" t="str">
            <v>05</v>
          </cell>
          <cell r="K269">
            <v>44334</v>
          </cell>
        </row>
        <row r="270">
          <cell r="E270" t="str">
            <v>06</v>
          </cell>
          <cell r="F270">
            <v>44299</v>
          </cell>
          <cell r="J270" t="str">
            <v>06</v>
          </cell>
          <cell r="K270">
            <v>44334</v>
          </cell>
        </row>
        <row r="271">
          <cell r="E271" t="str">
            <v>07</v>
          </cell>
          <cell r="F271">
            <v>44299</v>
          </cell>
          <cell r="J271" t="str">
            <v>07</v>
          </cell>
          <cell r="K271">
            <v>44334</v>
          </cell>
        </row>
        <row r="272">
          <cell r="E272" t="str">
            <v>08</v>
          </cell>
          <cell r="F272">
            <v>44299</v>
          </cell>
          <cell r="J272" t="str">
            <v>08</v>
          </cell>
          <cell r="K272">
            <v>44334</v>
          </cell>
        </row>
        <row r="273">
          <cell r="E273" t="str">
            <v>09</v>
          </cell>
          <cell r="F273">
            <v>44299</v>
          </cell>
          <cell r="J273" t="str">
            <v>09</v>
          </cell>
          <cell r="K273">
            <v>44334</v>
          </cell>
        </row>
        <row r="274">
          <cell r="E274" t="str">
            <v>10</v>
          </cell>
          <cell r="F274">
            <v>44299</v>
          </cell>
          <cell r="J274" t="str">
            <v>10</v>
          </cell>
          <cell r="K274">
            <v>44334</v>
          </cell>
        </row>
        <row r="275">
          <cell r="E275" t="str">
            <v>11</v>
          </cell>
          <cell r="F275">
            <v>44300</v>
          </cell>
          <cell r="J275" t="str">
            <v>11</v>
          </cell>
          <cell r="K275">
            <v>44335</v>
          </cell>
        </row>
        <row r="276">
          <cell r="E276" t="str">
            <v>12</v>
          </cell>
          <cell r="F276">
            <v>44300</v>
          </cell>
          <cell r="J276" t="str">
            <v>12</v>
          </cell>
          <cell r="K276">
            <v>44335</v>
          </cell>
        </row>
        <row r="277">
          <cell r="E277" t="str">
            <v>13</v>
          </cell>
          <cell r="F277">
            <v>44300</v>
          </cell>
          <cell r="J277" t="str">
            <v>13</v>
          </cell>
          <cell r="K277">
            <v>44335</v>
          </cell>
        </row>
        <row r="278">
          <cell r="E278" t="str">
            <v>14</v>
          </cell>
          <cell r="F278">
            <v>44300</v>
          </cell>
          <cell r="J278" t="str">
            <v>14</v>
          </cell>
          <cell r="K278">
            <v>44335</v>
          </cell>
        </row>
        <row r="279">
          <cell r="E279" t="str">
            <v>15</v>
          </cell>
          <cell r="F279">
            <v>44300</v>
          </cell>
          <cell r="J279" t="str">
            <v>15</v>
          </cell>
          <cell r="K279">
            <v>44335</v>
          </cell>
        </row>
        <row r="280">
          <cell r="E280" t="str">
            <v>16</v>
          </cell>
          <cell r="F280">
            <v>44301</v>
          </cell>
          <cell r="J280" t="str">
            <v>16</v>
          </cell>
          <cell r="K280">
            <v>44335</v>
          </cell>
        </row>
        <row r="281">
          <cell r="E281" t="str">
            <v>17</v>
          </cell>
          <cell r="F281">
            <v>44301</v>
          </cell>
          <cell r="J281" t="str">
            <v>17</v>
          </cell>
          <cell r="K281">
            <v>44335</v>
          </cell>
        </row>
        <row r="282">
          <cell r="E282" t="str">
            <v>18</v>
          </cell>
          <cell r="F282">
            <v>44301</v>
          </cell>
          <cell r="J282" t="str">
            <v>18</v>
          </cell>
          <cell r="K282">
            <v>44335</v>
          </cell>
        </row>
        <row r="283">
          <cell r="E283" t="str">
            <v>19</v>
          </cell>
          <cell r="F283">
            <v>44301</v>
          </cell>
          <cell r="J283" t="str">
            <v>19</v>
          </cell>
          <cell r="K283">
            <v>44335</v>
          </cell>
        </row>
        <row r="284">
          <cell r="E284" t="str">
            <v>20</v>
          </cell>
          <cell r="F284">
            <v>44301</v>
          </cell>
          <cell r="J284" t="str">
            <v>20</v>
          </cell>
          <cell r="K284">
            <v>44335</v>
          </cell>
        </row>
        <row r="285">
          <cell r="E285" t="str">
            <v>21</v>
          </cell>
          <cell r="F285">
            <v>44302</v>
          </cell>
          <cell r="J285" t="str">
            <v>21</v>
          </cell>
          <cell r="K285">
            <v>44336</v>
          </cell>
        </row>
        <row r="286">
          <cell r="E286" t="str">
            <v>22</v>
          </cell>
          <cell r="F286">
            <v>44302</v>
          </cell>
          <cell r="J286" t="str">
            <v>22</v>
          </cell>
          <cell r="K286">
            <v>44336</v>
          </cell>
        </row>
        <row r="287">
          <cell r="E287" t="str">
            <v>23</v>
          </cell>
          <cell r="F287">
            <v>44302</v>
          </cell>
          <cell r="J287" t="str">
            <v>23</v>
          </cell>
          <cell r="K287">
            <v>44336</v>
          </cell>
        </row>
        <row r="288">
          <cell r="E288" t="str">
            <v>24</v>
          </cell>
          <cell r="F288">
            <v>44302</v>
          </cell>
          <cell r="J288" t="str">
            <v>24</v>
          </cell>
          <cell r="K288">
            <v>44336</v>
          </cell>
        </row>
        <row r="289">
          <cell r="E289" t="str">
            <v>25</v>
          </cell>
          <cell r="F289">
            <v>44302</v>
          </cell>
          <cell r="J289" t="str">
            <v>25</v>
          </cell>
          <cell r="K289">
            <v>44336</v>
          </cell>
        </row>
        <row r="290">
          <cell r="E290" t="str">
            <v>26</v>
          </cell>
          <cell r="F290">
            <v>44305</v>
          </cell>
          <cell r="J290" t="str">
            <v>26</v>
          </cell>
          <cell r="K290">
            <v>44336</v>
          </cell>
        </row>
        <row r="291">
          <cell r="E291" t="str">
            <v>27</v>
          </cell>
          <cell r="F291">
            <v>44305</v>
          </cell>
          <cell r="J291" t="str">
            <v>27</v>
          </cell>
          <cell r="K291">
            <v>44336</v>
          </cell>
        </row>
        <row r="292">
          <cell r="E292" t="str">
            <v>28</v>
          </cell>
          <cell r="F292">
            <v>44305</v>
          </cell>
          <cell r="J292" t="str">
            <v>28</v>
          </cell>
          <cell r="K292">
            <v>44336</v>
          </cell>
        </row>
        <row r="293">
          <cell r="E293" t="str">
            <v>29</v>
          </cell>
          <cell r="F293">
            <v>44305</v>
          </cell>
          <cell r="J293" t="str">
            <v>29</v>
          </cell>
          <cell r="K293">
            <v>44336</v>
          </cell>
        </row>
        <row r="294">
          <cell r="E294" t="str">
            <v>30</v>
          </cell>
          <cell r="F294">
            <v>44305</v>
          </cell>
          <cell r="J294" t="str">
            <v>30</v>
          </cell>
          <cell r="K294">
            <v>44336</v>
          </cell>
        </row>
        <row r="295">
          <cell r="E295" t="str">
            <v>31</v>
          </cell>
          <cell r="F295">
            <v>44306</v>
          </cell>
          <cell r="J295" t="str">
            <v>31</v>
          </cell>
          <cell r="K295">
            <v>44337</v>
          </cell>
        </row>
        <row r="296">
          <cell r="E296" t="str">
            <v>32</v>
          </cell>
          <cell r="F296">
            <v>44306</v>
          </cell>
          <cell r="J296" t="str">
            <v>32</v>
          </cell>
          <cell r="K296">
            <v>44337</v>
          </cell>
        </row>
        <row r="297">
          <cell r="E297" t="str">
            <v>33</v>
          </cell>
          <cell r="F297">
            <v>44306</v>
          </cell>
          <cell r="J297" t="str">
            <v>33</v>
          </cell>
          <cell r="K297">
            <v>44337</v>
          </cell>
        </row>
        <row r="298">
          <cell r="E298" t="str">
            <v>34</v>
          </cell>
          <cell r="F298">
            <v>44306</v>
          </cell>
          <cell r="J298" t="str">
            <v>34</v>
          </cell>
          <cell r="K298">
            <v>44337</v>
          </cell>
        </row>
        <row r="299">
          <cell r="E299" t="str">
            <v>35</v>
          </cell>
          <cell r="F299">
            <v>44306</v>
          </cell>
          <cell r="J299" t="str">
            <v>35</v>
          </cell>
          <cell r="K299">
            <v>44337</v>
          </cell>
        </row>
        <row r="300">
          <cell r="E300" t="str">
            <v>36</v>
          </cell>
          <cell r="F300">
            <v>44307</v>
          </cell>
          <cell r="J300" t="str">
            <v>36</v>
          </cell>
          <cell r="K300">
            <v>44337</v>
          </cell>
        </row>
        <row r="301">
          <cell r="E301" t="str">
            <v>37</v>
          </cell>
          <cell r="F301">
            <v>44307</v>
          </cell>
          <cell r="J301" t="str">
            <v>37</v>
          </cell>
          <cell r="K301">
            <v>44337</v>
          </cell>
        </row>
        <row r="302">
          <cell r="E302" t="str">
            <v>38</v>
          </cell>
          <cell r="F302">
            <v>44307</v>
          </cell>
          <cell r="J302" t="str">
            <v>38</v>
          </cell>
          <cell r="K302">
            <v>44337</v>
          </cell>
        </row>
        <row r="303">
          <cell r="E303" t="str">
            <v>39</v>
          </cell>
          <cell r="F303">
            <v>44307</v>
          </cell>
          <cell r="J303" t="str">
            <v>39</v>
          </cell>
          <cell r="K303">
            <v>44337</v>
          </cell>
        </row>
        <row r="304">
          <cell r="E304" t="str">
            <v>40</v>
          </cell>
          <cell r="F304">
            <v>44307</v>
          </cell>
          <cell r="J304" t="str">
            <v>40</v>
          </cell>
          <cell r="K304">
            <v>44337</v>
          </cell>
        </row>
        <row r="305">
          <cell r="E305" t="str">
            <v>41</v>
          </cell>
          <cell r="F305">
            <v>44308</v>
          </cell>
          <cell r="J305" t="str">
            <v>41</v>
          </cell>
          <cell r="K305">
            <v>44340</v>
          </cell>
        </row>
        <row r="306">
          <cell r="E306" t="str">
            <v>42</v>
          </cell>
          <cell r="F306">
            <v>44308</v>
          </cell>
          <cell r="J306" t="str">
            <v>42</v>
          </cell>
          <cell r="K306">
            <v>44340</v>
          </cell>
        </row>
        <row r="307">
          <cell r="E307" t="str">
            <v>43</v>
          </cell>
          <cell r="F307">
            <v>44308</v>
          </cell>
          <cell r="J307" t="str">
            <v>43</v>
          </cell>
          <cell r="K307">
            <v>44340</v>
          </cell>
        </row>
        <row r="308">
          <cell r="E308" t="str">
            <v>44</v>
          </cell>
          <cell r="F308">
            <v>44308</v>
          </cell>
          <cell r="J308" t="str">
            <v>44</v>
          </cell>
          <cell r="K308">
            <v>44340</v>
          </cell>
        </row>
        <row r="309">
          <cell r="E309" t="str">
            <v>45</v>
          </cell>
          <cell r="F309">
            <v>44308</v>
          </cell>
          <cell r="J309" t="str">
            <v>45</v>
          </cell>
          <cell r="K309">
            <v>44340</v>
          </cell>
        </row>
        <row r="310">
          <cell r="E310" t="str">
            <v>46</v>
          </cell>
          <cell r="F310">
            <v>44309</v>
          </cell>
          <cell r="J310" t="str">
            <v>46</v>
          </cell>
          <cell r="K310">
            <v>44340</v>
          </cell>
        </row>
        <row r="311">
          <cell r="E311" t="str">
            <v>47</v>
          </cell>
          <cell r="F311">
            <v>44309</v>
          </cell>
          <cell r="J311" t="str">
            <v>47</v>
          </cell>
          <cell r="K311">
            <v>44340</v>
          </cell>
        </row>
        <row r="312">
          <cell r="E312" t="str">
            <v>48</v>
          </cell>
          <cell r="F312">
            <v>44309</v>
          </cell>
          <cell r="J312" t="str">
            <v>48</v>
          </cell>
          <cell r="K312">
            <v>44340</v>
          </cell>
        </row>
        <row r="313">
          <cell r="E313" t="str">
            <v>49</v>
          </cell>
          <cell r="F313">
            <v>44309</v>
          </cell>
          <cell r="J313" t="str">
            <v>49</v>
          </cell>
          <cell r="K313">
            <v>44340</v>
          </cell>
        </row>
        <row r="314">
          <cell r="E314" t="str">
            <v>50</v>
          </cell>
          <cell r="F314">
            <v>44309</v>
          </cell>
          <cell r="J314" t="str">
            <v>50</v>
          </cell>
          <cell r="K314">
            <v>44340</v>
          </cell>
        </row>
        <row r="315">
          <cell r="E315" t="str">
            <v>51</v>
          </cell>
          <cell r="F315">
            <v>44312</v>
          </cell>
          <cell r="J315" t="str">
            <v>51</v>
          </cell>
          <cell r="K315">
            <v>44341</v>
          </cell>
        </row>
        <row r="316">
          <cell r="E316" t="str">
            <v>52</v>
          </cell>
          <cell r="F316">
            <v>44312</v>
          </cell>
          <cell r="J316" t="str">
            <v>52</v>
          </cell>
          <cell r="K316">
            <v>44341</v>
          </cell>
        </row>
        <row r="317">
          <cell r="E317" t="str">
            <v>53</v>
          </cell>
          <cell r="F317">
            <v>44312</v>
          </cell>
          <cell r="J317" t="str">
            <v>53</v>
          </cell>
          <cell r="K317">
            <v>44341</v>
          </cell>
        </row>
        <row r="318">
          <cell r="E318" t="str">
            <v>54</v>
          </cell>
          <cell r="F318">
            <v>44312</v>
          </cell>
          <cell r="J318" t="str">
            <v>54</v>
          </cell>
          <cell r="K318">
            <v>44341</v>
          </cell>
        </row>
        <row r="319">
          <cell r="E319" t="str">
            <v>55</v>
          </cell>
          <cell r="F319">
            <v>44312</v>
          </cell>
          <cell r="J319" t="str">
            <v>55</v>
          </cell>
          <cell r="K319">
            <v>44341</v>
          </cell>
        </row>
        <row r="320">
          <cell r="E320" t="str">
            <v>56</v>
          </cell>
          <cell r="F320">
            <v>44313</v>
          </cell>
          <cell r="J320" t="str">
            <v>56</v>
          </cell>
          <cell r="K320">
            <v>44341</v>
          </cell>
        </row>
        <row r="321">
          <cell r="E321" t="str">
            <v>57</v>
          </cell>
          <cell r="F321">
            <v>44313</v>
          </cell>
          <cell r="J321" t="str">
            <v>57</v>
          </cell>
          <cell r="K321">
            <v>44341</v>
          </cell>
        </row>
        <row r="322">
          <cell r="E322" t="str">
            <v>58</v>
          </cell>
          <cell r="F322">
            <v>44313</v>
          </cell>
          <cell r="J322" t="str">
            <v>58</v>
          </cell>
          <cell r="K322">
            <v>44341</v>
          </cell>
        </row>
        <row r="323">
          <cell r="E323" t="str">
            <v>59</v>
          </cell>
          <cell r="F323">
            <v>44313</v>
          </cell>
          <cell r="J323" t="str">
            <v>59</v>
          </cell>
          <cell r="K323">
            <v>44341</v>
          </cell>
        </row>
        <row r="324">
          <cell r="E324" t="str">
            <v>60</v>
          </cell>
          <cell r="F324">
            <v>44313</v>
          </cell>
          <cell r="J324" t="str">
            <v>60</v>
          </cell>
          <cell r="K324">
            <v>44341</v>
          </cell>
        </row>
        <row r="325">
          <cell r="E325" t="str">
            <v>61</v>
          </cell>
          <cell r="F325">
            <v>44314</v>
          </cell>
          <cell r="J325" t="str">
            <v>61</v>
          </cell>
          <cell r="K325">
            <v>44342</v>
          </cell>
        </row>
        <row r="326">
          <cell r="E326" t="str">
            <v>62</v>
          </cell>
          <cell r="F326">
            <v>44314</v>
          </cell>
          <cell r="J326" t="str">
            <v>62</v>
          </cell>
          <cell r="K326">
            <v>44342</v>
          </cell>
        </row>
        <row r="327">
          <cell r="E327" t="str">
            <v>63</v>
          </cell>
          <cell r="F327">
            <v>44314</v>
          </cell>
          <cell r="J327" t="str">
            <v>63</v>
          </cell>
          <cell r="K327">
            <v>44342</v>
          </cell>
        </row>
        <row r="328">
          <cell r="E328" t="str">
            <v>64</v>
          </cell>
          <cell r="F328">
            <v>44314</v>
          </cell>
          <cell r="J328" t="str">
            <v>64</v>
          </cell>
          <cell r="K328">
            <v>44342</v>
          </cell>
        </row>
        <row r="329">
          <cell r="E329" t="str">
            <v>65</v>
          </cell>
          <cell r="F329">
            <v>44314</v>
          </cell>
          <cell r="J329" t="str">
            <v>65</v>
          </cell>
          <cell r="K329">
            <v>44342</v>
          </cell>
        </row>
        <row r="330">
          <cell r="E330" t="str">
            <v>66</v>
          </cell>
          <cell r="F330">
            <v>44315</v>
          </cell>
          <cell r="J330" t="str">
            <v>66</v>
          </cell>
          <cell r="K330">
            <v>44342</v>
          </cell>
        </row>
        <row r="331">
          <cell r="E331" t="str">
            <v>67</v>
          </cell>
          <cell r="F331">
            <v>44315</v>
          </cell>
          <cell r="J331" t="str">
            <v>67</v>
          </cell>
          <cell r="K331">
            <v>44342</v>
          </cell>
        </row>
        <row r="332">
          <cell r="E332" t="str">
            <v>68</v>
          </cell>
          <cell r="F332">
            <v>44315</v>
          </cell>
          <cell r="J332" t="str">
            <v>68</v>
          </cell>
          <cell r="K332">
            <v>44342</v>
          </cell>
        </row>
        <row r="333">
          <cell r="E333" t="str">
            <v>69</v>
          </cell>
          <cell r="F333">
            <v>44315</v>
          </cell>
          <cell r="J333" t="str">
            <v>69</v>
          </cell>
          <cell r="K333">
            <v>44342</v>
          </cell>
        </row>
        <row r="334">
          <cell r="E334" t="str">
            <v>70</v>
          </cell>
          <cell r="F334">
            <v>44315</v>
          </cell>
          <cell r="J334" t="str">
            <v>70</v>
          </cell>
          <cell r="K334">
            <v>44342</v>
          </cell>
        </row>
        <row r="335">
          <cell r="E335" t="str">
            <v>71</v>
          </cell>
          <cell r="F335">
            <v>44316</v>
          </cell>
          <cell r="J335" t="str">
            <v>71</v>
          </cell>
          <cell r="K335">
            <v>44343</v>
          </cell>
        </row>
        <row r="336">
          <cell r="E336" t="str">
            <v>72</v>
          </cell>
          <cell r="F336">
            <v>44316</v>
          </cell>
          <cell r="J336" t="str">
            <v>72</v>
          </cell>
          <cell r="K336">
            <v>44343</v>
          </cell>
        </row>
        <row r="337">
          <cell r="E337" t="str">
            <v>73</v>
          </cell>
          <cell r="F337">
            <v>44316</v>
          </cell>
          <cell r="J337" t="str">
            <v>73</v>
          </cell>
          <cell r="K337">
            <v>44343</v>
          </cell>
        </row>
        <row r="338">
          <cell r="E338" t="str">
            <v>74</v>
          </cell>
          <cell r="F338">
            <v>44316</v>
          </cell>
          <cell r="J338" t="str">
            <v>74</v>
          </cell>
          <cell r="K338">
            <v>44343</v>
          </cell>
        </row>
        <row r="339">
          <cell r="E339" t="str">
            <v>75</v>
          </cell>
          <cell r="F339">
            <v>44316</v>
          </cell>
          <cell r="J339" t="str">
            <v>75</v>
          </cell>
          <cell r="K339">
            <v>44343</v>
          </cell>
        </row>
        <row r="340">
          <cell r="E340" t="str">
            <v>76</v>
          </cell>
          <cell r="F340">
            <v>44319</v>
          </cell>
          <cell r="J340" t="str">
            <v>76</v>
          </cell>
          <cell r="K340">
            <v>44343</v>
          </cell>
        </row>
        <row r="341">
          <cell r="E341" t="str">
            <v>77</v>
          </cell>
          <cell r="F341">
            <v>44319</v>
          </cell>
          <cell r="J341" t="str">
            <v>77</v>
          </cell>
          <cell r="K341">
            <v>44343</v>
          </cell>
        </row>
        <row r="342">
          <cell r="E342" t="str">
            <v>78</v>
          </cell>
          <cell r="F342">
            <v>44319</v>
          </cell>
          <cell r="J342" t="str">
            <v>78</v>
          </cell>
          <cell r="K342">
            <v>44343</v>
          </cell>
        </row>
        <row r="343">
          <cell r="E343" t="str">
            <v>79</v>
          </cell>
          <cell r="F343">
            <v>44319</v>
          </cell>
          <cell r="J343" t="str">
            <v>79</v>
          </cell>
          <cell r="K343">
            <v>44343</v>
          </cell>
        </row>
        <row r="344">
          <cell r="E344" t="str">
            <v>80</v>
          </cell>
          <cell r="F344">
            <v>44319</v>
          </cell>
          <cell r="J344" t="str">
            <v>80</v>
          </cell>
          <cell r="K344">
            <v>44343</v>
          </cell>
        </row>
        <row r="345">
          <cell r="E345" t="str">
            <v>81</v>
          </cell>
          <cell r="F345">
            <v>44320</v>
          </cell>
          <cell r="J345" t="str">
            <v>81</v>
          </cell>
          <cell r="K345">
            <v>44344</v>
          </cell>
        </row>
        <row r="346">
          <cell r="E346" t="str">
            <v>82</v>
          </cell>
          <cell r="F346">
            <v>44320</v>
          </cell>
          <cell r="J346" t="str">
            <v>82</v>
          </cell>
          <cell r="K346">
            <v>44344</v>
          </cell>
        </row>
        <row r="347">
          <cell r="E347" t="str">
            <v>83</v>
          </cell>
          <cell r="F347">
            <v>44320</v>
          </cell>
          <cell r="J347" t="str">
            <v>83</v>
          </cell>
          <cell r="K347">
            <v>44344</v>
          </cell>
        </row>
        <row r="348">
          <cell r="E348" t="str">
            <v>84</v>
          </cell>
          <cell r="F348">
            <v>44320</v>
          </cell>
          <cell r="J348" t="str">
            <v>84</v>
          </cell>
          <cell r="K348">
            <v>44344</v>
          </cell>
        </row>
        <row r="349">
          <cell r="E349" t="str">
            <v>85</v>
          </cell>
          <cell r="F349">
            <v>44320</v>
          </cell>
          <cell r="J349" t="str">
            <v>85</v>
          </cell>
          <cell r="K349">
            <v>44344</v>
          </cell>
        </row>
        <row r="350">
          <cell r="E350" t="str">
            <v>86</v>
          </cell>
          <cell r="F350">
            <v>44321</v>
          </cell>
          <cell r="J350" t="str">
            <v>86</v>
          </cell>
          <cell r="K350">
            <v>44344</v>
          </cell>
        </row>
        <row r="351">
          <cell r="E351" t="str">
            <v>87</v>
          </cell>
          <cell r="F351">
            <v>44321</v>
          </cell>
          <cell r="J351" t="str">
            <v>87</v>
          </cell>
          <cell r="K351">
            <v>44344</v>
          </cell>
        </row>
        <row r="352">
          <cell r="E352" t="str">
            <v>88</v>
          </cell>
          <cell r="F352">
            <v>44321</v>
          </cell>
          <cell r="J352" t="str">
            <v>88</v>
          </cell>
          <cell r="K352">
            <v>44344</v>
          </cell>
        </row>
        <row r="353">
          <cell r="E353" t="str">
            <v>89</v>
          </cell>
          <cell r="F353">
            <v>44321</v>
          </cell>
          <cell r="J353" t="str">
            <v>89</v>
          </cell>
          <cell r="K353">
            <v>44344</v>
          </cell>
        </row>
        <row r="354">
          <cell r="E354" t="str">
            <v>90</v>
          </cell>
          <cell r="F354">
            <v>44321</v>
          </cell>
          <cell r="J354" t="str">
            <v>90</v>
          </cell>
          <cell r="K354">
            <v>44344</v>
          </cell>
        </row>
        <row r="355">
          <cell r="E355" t="str">
            <v>91</v>
          </cell>
          <cell r="F355">
            <v>44322</v>
          </cell>
          <cell r="J355" t="str">
            <v>91</v>
          </cell>
          <cell r="K355">
            <v>44347</v>
          </cell>
        </row>
        <row r="356">
          <cell r="E356" t="str">
            <v>92</v>
          </cell>
          <cell r="F356">
            <v>44322</v>
          </cell>
          <cell r="J356" t="str">
            <v>92</v>
          </cell>
          <cell r="K356">
            <v>44347</v>
          </cell>
        </row>
        <row r="357">
          <cell r="E357" t="str">
            <v>93</v>
          </cell>
          <cell r="F357">
            <v>44322</v>
          </cell>
          <cell r="J357" t="str">
            <v>93</v>
          </cell>
          <cell r="K357">
            <v>44347</v>
          </cell>
        </row>
        <row r="358">
          <cell r="E358" t="str">
            <v>94</v>
          </cell>
          <cell r="F358">
            <v>44322</v>
          </cell>
          <cell r="J358" t="str">
            <v>94</v>
          </cell>
          <cell r="K358">
            <v>44347</v>
          </cell>
        </row>
        <row r="359">
          <cell r="E359" t="str">
            <v>95</v>
          </cell>
          <cell r="F359">
            <v>44322</v>
          </cell>
          <cell r="J359" t="str">
            <v>95</v>
          </cell>
          <cell r="K359">
            <v>44347</v>
          </cell>
        </row>
        <row r="360">
          <cell r="E360" t="str">
            <v>96</v>
          </cell>
          <cell r="F360">
            <v>44323</v>
          </cell>
          <cell r="J360" t="str">
            <v>96</v>
          </cell>
          <cell r="K360">
            <v>44347</v>
          </cell>
        </row>
        <row r="361">
          <cell r="E361" t="str">
            <v>97</v>
          </cell>
          <cell r="F361">
            <v>44323</v>
          </cell>
          <cell r="J361" t="str">
            <v>97</v>
          </cell>
          <cell r="K361">
            <v>44347</v>
          </cell>
        </row>
        <row r="362">
          <cell r="E362" t="str">
            <v>98</v>
          </cell>
          <cell r="F362">
            <v>44323</v>
          </cell>
          <cell r="J362" t="str">
            <v>98</v>
          </cell>
          <cell r="K362">
            <v>44347</v>
          </cell>
        </row>
        <row r="363">
          <cell r="E363" t="str">
            <v>99</v>
          </cell>
          <cell r="F363">
            <v>44323</v>
          </cell>
          <cell r="J363" t="str">
            <v>99</v>
          </cell>
          <cell r="K363">
            <v>44347</v>
          </cell>
        </row>
        <row r="364">
          <cell r="E364" t="str">
            <v>00</v>
          </cell>
          <cell r="F364">
            <v>44323</v>
          </cell>
          <cell r="J364" t="str">
            <v>00</v>
          </cell>
          <cell r="K364">
            <v>44347</v>
          </cell>
        </row>
        <row r="368">
          <cell r="E368" t="str">
            <v>01</v>
          </cell>
          <cell r="F368">
            <v>44351</v>
          </cell>
          <cell r="J368" t="str">
            <v>01</v>
          </cell>
          <cell r="K368">
            <v>44368</v>
          </cell>
        </row>
        <row r="369">
          <cell r="E369" t="str">
            <v>02</v>
          </cell>
          <cell r="F369">
            <v>44351</v>
          </cell>
          <cell r="J369" t="str">
            <v>02</v>
          </cell>
          <cell r="K369">
            <v>44368</v>
          </cell>
        </row>
        <row r="370">
          <cell r="E370" t="str">
            <v>03</v>
          </cell>
          <cell r="F370">
            <v>44351</v>
          </cell>
          <cell r="J370" t="str">
            <v>03</v>
          </cell>
          <cell r="K370">
            <v>44368</v>
          </cell>
        </row>
        <row r="371">
          <cell r="E371" t="str">
            <v>04</v>
          </cell>
          <cell r="F371">
            <v>44351</v>
          </cell>
          <cell r="J371" t="str">
            <v>04</v>
          </cell>
          <cell r="K371">
            <v>44368</v>
          </cell>
        </row>
        <row r="372">
          <cell r="E372" t="str">
            <v>05</v>
          </cell>
          <cell r="F372">
            <v>44351</v>
          </cell>
          <cell r="J372" t="str">
            <v>05</v>
          </cell>
          <cell r="K372">
            <v>44368</v>
          </cell>
        </row>
        <row r="373">
          <cell r="E373" t="str">
            <v>06</v>
          </cell>
          <cell r="F373">
            <v>44351</v>
          </cell>
          <cell r="J373" t="str">
            <v>06</v>
          </cell>
          <cell r="K373">
            <v>44368</v>
          </cell>
        </row>
        <row r="374">
          <cell r="E374" t="str">
            <v>07</v>
          </cell>
          <cell r="F374">
            <v>44351</v>
          </cell>
          <cell r="J374" t="str">
            <v>07</v>
          </cell>
          <cell r="K374">
            <v>44368</v>
          </cell>
        </row>
        <row r="375">
          <cell r="E375" t="str">
            <v>08</v>
          </cell>
          <cell r="F375">
            <v>44351</v>
          </cell>
          <cell r="J375" t="str">
            <v>08</v>
          </cell>
          <cell r="K375">
            <v>44368</v>
          </cell>
        </row>
        <row r="376">
          <cell r="E376" t="str">
            <v>09</v>
          </cell>
          <cell r="F376">
            <v>44351</v>
          </cell>
          <cell r="J376" t="str">
            <v>09</v>
          </cell>
          <cell r="K376">
            <v>44368</v>
          </cell>
        </row>
        <row r="377">
          <cell r="E377" t="str">
            <v>10</v>
          </cell>
          <cell r="F377">
            <v>44351</v>
          </cell>
          <cell r="J377" t="str">
            <v>10</v>
          </cell>
          <cell r="K377">
            <v>44368</v>
          </cell>
        </row>
        <row r="378">
          <cell r="E378" t="str">
            <v>11</v>
          </cell>
          <cell r="F378">
            <v>44351</v>
          </cell>
          <cell r="J378" t="str">
            <v>11</v>
          </cell>
          <cell r="K378">
            <v>44368</v>
          </cell>
        </row>
        <row r="379">
          <cell r="E379" t="str">
            <v>12</v>
          </cell>
          <cell r="F379">
            <v>44351</v>
          </cell>
          <cell r="J379" t="str">
            <v>12</v>
          </cell>
          <cell r="K379">
            <v>44368</v>
          </cell>
        </row>
        <row r="380">
          <cell r="E380" t="str">
            <v>13</v>
          </cell>
          <cell r="F380">
            <v>44351</v>
          </cell>
          <cell r="J380" t="str">
            <v>13</v>
          </cell>
          <cell r="K380">
            <v>44368</v>
          </cell>
        </row>
        <row r="381">
          <cell r="E381" t="str">
            <v>14</v>
          </cell>
          <cell r="F381">
            <v>44351</v>
          </cell>
          <cell r="J381" t="str">
            <v>14</v>
          </cell>
          <cell r="K381">
            <v>44368</v>
          </cell>
        </row>
        <row r="382">
          <cell r="E382" t="str">
            <v>15</v>
          </cell>
          <cell r="F382">
            <v>44351</v>
          </cell>
          <cell r="J382" t="str">
            <v>15</v>
          </cell>
          <cell r="K382">
            <v>44368</v>
          </cell>
        </row>
        <row r="383">
          <cell r="E383" t="str">
            <v>16</v>
          </cell>
          <cell r="F383">
            <v>44351</v>
          </cell>
          <cell r="J383" t="str">
            <v>16</v>
          </cell>
          <cell r="K383">
            <v>44368</v>
          </cell>
        </row>
        <row r="384">
          <cell r="E384" t="str">
            <v>17</v>
          </cell>
          <cell r="F384">
            <v>44351</v>
          </cell>
          <cell r="J384" t="str">
            <v>17</v>
          </cell>
          <cell r="K384">
            <v>44368</v>
          </cell>
        </row>
        <row r="385">
          <cell r="E385" t="str">
            <v>18</v>
          </cell>
          <cell r="F385">
            <v>44351</v>
          </cell>
          <cell r="J385" t="str">
            <v>18</v>
          </cell>
          <cell r="K385">
            <v>44368</v>
          </cell>
        </row>
        <row r="386">
          <cell r="E386" t="str">
            <v>19</v>
          </cell>
          <cell r="F386">
            <v>44351</v>
          </cell>
          <cell r="J386" t="str">
            <v>19</v>
          </cell>
          <cell r="K386">
            <v>44368</v>
          </cell>
        </row>
        <row r="387">
          <cell r="E387" t="str">
            <v>20</v>
          </cell>
          <cell r="F387">
            <v>44351</v>
          </cell>
          <cell r="J387" t="str">
            <v>20</v>
          </cell>
          <cell r="K387">
            <v>44368</v>
          </cell>
        </row>
        <row r="388">
          <cell r="E388" t="str">
            <v>21</v>
          </cell>
          <cell r="F388">
            <v>44355</v>
          </cell>
          <cell r="J388" t="str">
            <v>21</v>
          </cell>
          <cell r="K388">
            <v>44369</v>
          </cell>
        </row>
        <row r="389">
          <cell r="E389" t="str">
            <v>22</v>
          </cell>
          <cell r="F389">
            <v>44355</v>
          </cell>
          <cell r="J389" t="str">
            <v>22</v>
          </cell>
          <cell r="K389">
            <v>44369</v>
          </cell>
        </row>
        <row r="390">
          <cell r="E390" t="str">
            <v>23</v>
          </cell>
          <cell r="F390">
            <v>44355</v>
          </cell>
          <cell r="J390" t="str">
            <v>23</v>
          </cell>
          <cell r="K390">
            <v>44369</v>
          </cell>
        </row>
        <row r="391">
          <cell r="E391" t="str">
            <v>24</v>
          </cell>
          <cell r="F391">
            <v>44355</v>
          </cell>
          <cell r="J391" t="str">
            <v>24</v>
          </cell>
          <cell r="K391">
            <v>44369</v>
          </cell>
        </row>
        <row r="392">
          <cell r="E392" t="str">
            <v>25</v>
          </cell>
          <cell r="F392">
            <v>44355</v>
          </cell>
          <cell r="J392" t="str">
            <v>25</v>
          </cell>
          <cell r="K392">
            <v>44369</v>
          </cell>
        </row>
        <row r="393">
          <cell r="E393" t="str">
            <v>26</v>
          </cell>
          <cell r="F393">
            <v>44355</v>
          </cell>
          <cell r="J393" t="str">
            <v>26</v>
          </cell>
          <cell r="K393">
            <v>44369</v>
          </cell>
        </row>
        <row r="394">
          <cell r="E394" t="str">
            <v>27</v>
          </cell>
          <cell r="F394">
            <v>44355</v>
          </cell>
          <cell r="J394" t="str">
            <v>27</v>
          </cell>
          <cell r="K394">
            <v>44369</v>
          </cell>
        </row>
        <row r="395">
          <cell r="E395" t="str">
            <v>28</v>
          </cell>
          <cell r="F395">
            <v>44355</v>
          </cell>
          <cell r="J395" t="str">
            <v>28</v>
          </cell>
          <cell r="K395">
            <v>44369</v>
          </cell>
        </row>
        <row r="396">
          <cell r="E396" t="str">
            <v>29</v>
          </cell>
          <cell r="F396">
            <v>44355</v>
          </cell>
          <cell r="J396" t="str">
            <v>29</v>
          </cell>
          <cell r="K396">
            <v>44369</v>
          </cell>
        </row>
        <row r="397">
          <cell r="E397" t="str">
            <v>30</v>
          </cell>
          <cell r="F397">
            <v>44355</v>
          </cell>
          <cell r="J397" t="str">
            <v>30</v>
          </cell>
          <cell r="K397">
            <v>44369</v>
          </cell>
        </row>
        <row r="398">
          <cell r="E398" t="str">
            <v>31</v>
          </cell>
          <cell r="F398">
            <v>44355</v>
          </cell>
          <cell r="J398" t="str">
            <v>31</v>
          </cell>
          <cell r="K398">
            <v>44369</v>
          </cell>
        </row>
        <row r="399">
          <cell r="E399" t="str">
            <v>32</v>
          </cell>
          <cell r="F399">
            <v>44355</v>
          </cell>
          <cell r="J399" t="str">
            <v>32</v>
          </cell>
          <cell r="K399">
            <v>44369</v>
          </cell>
        </row>
        <row r="400">
          <cell r="E400" t="str">
            <v>33</v>
          </cell>
          <cell r="F400">
            <v>44355</v>
          </cell>
          <cell r="J400" t="str">
            <v>33</v>
          </cell>
          <cell r="K400">
            <v>44369</v>
          </cell>
        </row>
        <row r="401">
          <cell r="E401" t="str">
            <v>34</v>
          </cell>
          <cell r="F401">
            <v>44355</v>
          </cell>
          <cell r="J401" t="str">
            <v>34</v>
          </cell>
          <cell r="K401">
            <v>44369</v>
          </cell>
        </row>
        <row r="402">
          <cell r="E402" t="str">
            <v>35</v>
          </cell>
          <cell r="F402">
            <v>44355</v>
          </cell>
          <cell r="J402" t="str">
            <v>35</v>
          </cell>
          <cell r="K402">
            <v>44369</v>
          </cell>
        </row>
        <row r="403">
          <cell r="E403" t="str">
            <v>36</v>
          </cell>
          <cell r="F403">
            <v>44355</v>
          </cell>
          <cell r="J403" t="str">
            <v>36</v>
          </cell>
          <cell r="K403">
            <v>44369</v>
          </cell>
        </row>
        <row r="404">
          <cell r="E404" t="str">
            <v>37</v>
          </cell>
          <cell r="F404">
            <v>44355</v>
          </cell>
          <cell r="J404" t="str">
            <v>37</v>
          </cell>
          <cell r="K404">
            <v>44369</v>
          </cell>
        </row>
        <row r="405">
          <cell r="E405" t="str">
            <v>38</v>
          </cell>
          <cell r="F405">
            <v>44355</v>
          </cell>
          <cell r="J405" t="str">
            <v>38</v>
          </cell>
          <cell r="K405">
            <v>44369</v>
          </cell>
        </row>
        <row r="406">
          <cell r="E406" t="str">
            <v>39</v>
          </cell>
          <cell r="F406">
            <v>44355</v>
          </cell>
          <cell r="J406" t="str">
            <v>39</v>
          </cell>
          <cell r="K406">
            <v>44369</v>
          </cell>
        </row>
        <row r="407">
          <cell r="E407" t="str">
            <v>40</v>
          </cell>
          <cell r="F407">
            <v>44355</v>
          </cell>
          <cell r="J407" t="str">
            <v>40</v>
          </cell>
          <cell r="K407">
            <v>44369</v>
          </cell>
        </row>
        <row r="408">
          <cell r="E408" t="str">
            <v>41</v>
          </cell>
          <cell r="F408">
            <v>44356</v>
          </cell>
          <cell r="J408" t="str">
            <v>41</v>
          </cell>
          <cell r="K408">
            <v>44370</v>
          </cell>
        </row>
        <row r="409">
          <cell r="E409" t="str">
            <v>42</v>
          </cell>
          <cell r="F409">
            <v>44356</v>
          </cell>
          <cell r="J409" t="str">
            <v>42</v>
          </cell>
          <cell r="K409">
            <v>44370</v>
          </cell>
        </row>
        <row r="410">
          <cell r="E410" t="str">
            <v>43</v>
          </cell>
          <cell r="F410">
            <v>44356</v>
          </cell>
          <cell r="J410" t="str">
            <v>43</v>
          </cell>
          <cell r="K410">
            <v>44370</v>
          </cell>
        </row>
        <row r="411">
          <cell r="E411" t="str">
            <v>44</v>
          </cell>
          <cell r="F411">
            <v>44356</v>
          </cell>
          <cell r="J411" t="str">
            <v>44</v>
          </cell>
          <cell r="K411">
            <v>44370</v>
          </cell>
        </row>
        <row r="412">
          <cell r="E412" t="str">
            <v>45</v>
          </cell>
          <cell r="F412">
            <v>44356</v>
          </cell>
          <cell r="J412" t="str">
            <v>45</v>
          </cell>
          <cell r="K412">
            <v>44370</v>
          </cell>
        </row>
        <row r="413">
          <cell r="E413" t="str">
            <v>46</v>
          </cell>
          <cell r="F413">
            <v>44356</v>
          </cell>
          <cell r="J413" t="str">
            <v>46</v>
          </cell>
          <cell r="K413">
            <v>44370</v>
          </cell>
        </row>
        <row r="414">
          <cell r="E414" t="str">
            <v>47</v>
          </cell>
          <cell r="F414">
            <v>44356</v>
          </cell>
          <cell r="J414" t="str">
            <v>47</v>
          </cell>
          <cell r="K414">
            <v>44370</v>
          </cell>
        </row>
        <row r="415">
          <cell r="E415" t="str">
            <v>48</v>
          </cell>
          <cell r="F415">
            <v>44356</v>
          </cell>
          <cell r="J415" t="str">
            <v>48</v>
          </cell>
          <cell r="K415">
            <v>44370</v>
          </cell>
        </row>
        <row r="416">
          <cell r="E416" t="str">
            <v>49</v>
          </cell>
          <cell r="F416">
            <v>44356</v>
          </cell>
          <cell r="J416" t="str">
            <v>49</v>
          </cell>
          <cell r="K416">
            <v>44370</v>
          </cell>
        </row>
        <row r="417">
          <cell r="E417" t="str">
            <v>50</v>
          </cell>
          <cell r="F417">
            <v>44356</v>
          </cell>
          <cell r="J417" t="str">
            <v>50</v>
          </cell>
          <cell r="K417">
            <v>44370</v>
          </cell>
        </row>
        <row r="418">
          <cell r="E418" t="str">
            <v>51</v>
          </cell>
          <cell r="F418">
            <v>44356</v>
          </cell>
          <cell r="J418" t="str">
            <v>51</v>
          </cell>
          <cell r="K418">
            <v>44370</v>
          </cell>
        </row>
        <row r="419">
          <cell r="E419" t="str">
            <v>52</v>
          </cell>
          <cell r="F419">
            <v>44356</v>
          </cell>
          <cell r="J419" t="str">
            <v>52</v>
          </cell>
          <cell r="K419">
            <v>44370</v>
          </cell>
        </row>
        <row r="420">
          <cell r="E420" t="str">
            <v>53</v>
          </cell>
          <cell r="F420">
            <v>44356</v>
          </cell>
          <cell r="J420" t="str">
            <v>53</v>
          </cell>
          <cell r="K420">
            <v>44370</v>
          </cell>
        </row>
        <row r="421">
          <cell r="E421" t="str">
            <v>54</v>
          </cell>
          <cell r="F421">
            <v>44356</v>
          </cell>
          <cell r="J421" t="str">
            <v>54</v>
          </cell>
          <cell r="K421">
            <v>44370</v>
          </cell>
        </row>
        <row r="422">
          <cell r="E422" t="str">
            <v>55</v>
          </cell>
          <cell r="F422">
            <v>44356</v>
          </cell>
          <cell r="J422" t="str">
            <v>55</v>
          </cell>
          <cell r="K422">
            <v>44370</v>
          </cell>
        </row>
        <row r="423">
          <cell r="E423" t="str">
            <v>56</v>
          </cell>
          <cell r="F423">
            <v>44356</v>
          </cell>
          <cell r="J423" t="str">
            <v>56</v>
          </cell>
          <cell r="K423">
            <v>44370</v>
          </cell>
        </row>
        <row r="424">
          <cell r="E424" t="str">
            <v>57</v>
          </cell>
          <cell r="F424">
            <v>44356</v>
          </cell>
          <cell r="J424" t="str">
            <v>57</v>
          </cell>
          <cell r="K424">
            <v>44370</v>
          </cell>
        </row>
        <row r="425">
          <cell r="E425" t="str">
            <v>58</v>
          </cell>
          <cell r="F425">
            <v>44356</v>
          </cell>
          <cell r="J425" t="str">
            <v>58</v>
          </cell>
          <cell r="K425">
            <v>44370</v>
          </cell>
        </row>
        <row r="426">
          <cell r="E426" t="str">
            <v>59</v>
          </cell>
          <cell r="F426">
            <v>44356</v>
          </cell>
          <cell r="J426" t="str">
            <v>59</v>
          </cell>
          <cell r="K426">
            <v>44370</v>
          </cell>
        </row>
        <row r="427">
          <cell r="E427" t="str">
            <v>60</v>
          </cell>
          <cell r="F427">
            <v>44356</v>
          </cell>
          <cell r="J427" t="str">
            <v>60</v>
          </cell>
          <cell r="K427">
            <v>44370</v>
          </cell>
        </row>
        <row r="428">
          <cell r="E428" t="str">
            <v>61</v>
          </cell>
          <cell r="F428">
            <v>44357</v>
          </cell>
          <cell r="J428" t="str">
            <v>61</v>
          </cell>
          <cell r="K428">
            <v>44371</v>
          </cell>
        </row>
        <row r="429">
          <cell r="E429" t="str">
            <v>62</v>
          </cell>
          <cell r="F429">
            <v>44357</v>
          </cell>
          <cell r="J429" t="str">
            <v>62</v>
          </cell>
          <cell r="K429">
            <v>44371</v>
          </cell>
        </row>
        <row r="430">
          <cell r="E430" t="str">
            <v>63</v>
          </cell>
          <cell r="F430">
            <v>44357</v>
          </cell>
          <cell r="J430" t="str">
            <v>63</v>
          </cell>
          <cell r="K430">
            <v>44371</v>
          </cell>
        </row>
        <row r="431">
          <cell r="E431" t="str">
            <v>64</v>
          </cell>
          <cell r="F431">
            <v>44357</v>
          </cell>
          <cell r="J431" t="str">
            <v>64</v>
          </cell>
          <cell r="K431">
            <v>44371</v>
          </cell>
        </row>
        <row r="432">
          <cell r="E432" t="str">
            <v>65</v>
          </cell>
          <cell r="F432">
            <v>44357</v>
          </cell>
          <cell r="J432" t="str">
            <v>65</v>
          </cell>
          <cell r="K432">
            <v>44371</v>
          </cell>
        </row>
        <row r="433">
          <cell r="E433" t="str">
            <v>66</v>
          </cell>
          <cell r="F433">
            <v>44357</v>
          </cell>
          <cell r="J433" t="str">
            <v>66</v>
          </cell>
          <cell r="K433">
            <v>44371</v>
          </cell>
        </row>
        <row r="434">
          <cell r="E434" t="str">
            <v>67</v>
          </cell>
          <cell r="F434">
            <v>44357</v>
          </cell>
          <cell r="J434" t="str">
            <v>67</v>
          </cell>
          <cell r="K434">
            <v>44371</v>
          </cell>
        </row>
        <row r="435">
          <cell r="E435" t="str">
            <v>68</v>
          </cell>
          <cell r="F435">
            <v>44357</v>
          </cell>
          <cell r="J435" t="str">
            <v>68</v>
          </cell>
          <cell r="K435">
            <v>44371</v>
          </cell>
        </row>
        <row r="436">
          <cell r="E436" t="str">
            <v>69</v>
          </cell>
          <cell r="F436">
            <v>44357</v>
          </cell>
          <cell r="J436" t="str">
            <v>69</v>
          </cell>
          <cell r="K436">
            <v>44371</v>
          </cell>
        </row>
        <row r="437">
          <cell r="E437" t="str">
            <v>70</v>
          </cell>
          <cell r="F437">
            <v>44357</v>
          </cell>
          <cell r="J437" t="str">
            <v>70</v>
          </cell>
          <cell r="K437">
            <v>44371</v>
          </cell>
        </row>
        <row r="438">
          <cell r="E438" t="str">
            <v>71</v>
          </cell>
          <cell r="F438">
            <v>44357</v>
          </cell>
          <cell r="J438" t="str">
            <v>71</v>
          </cell>
          <cell r="K438">
            <v>44371</v>
          </cell>
        </row>
        <row r="439">
          <cell r="E439" t="str">
            <v>72</v>
          </cell>
          <cell r="F439">
            <v>44357</v>
          </cell>
          <cell r="J439" t="str">
            <v>72</v>
          </cell>
          <cell r="K439">
            <v>44371</v>
          </cell>
        </row>
        <row r="440">
          <cell r="E440" t="str">
            <v>73</v>
          </cell>
          <cell r="F440">
            <v>44357</v>
          </cell>
          <cell r="J440" t="str">
            <v>73</v>
          </cell>
          <cell r="K440">
            <v>44371</v>
          </cell>
        </row>
        <row r="441">
          <cell r="E441" t="str">
            <v>74</v>
          </cell>
          <cell r="F441">
            <v>44357</v>
          </cell>
          <cell r="J441" t="str">
            <v>74</v>
          </cell>
          <cell r="K441">
            <v>44371</v>
          </cell>
        </row>
        <row r="442">
          <cell r="E442" t="str">
            <v>75</v>
          </cell>
          <cell r="F442">
            <v>44357</v>
          </cell>
          <cell r="J442" t="str">
            <v>75</v>
          </cell>
          <cell r="K442">
            <v>44371</v>
          </cell>
        </row>
        <row r="443">
          <cell r="E443" t="str">
            <v>76</v>
          </cell>
          <cell r="F443">
            <v>44357</v>
          </cell>
          <cell r="J443" t="str">
            <v>76</v>
          </cell>
          <cell r="K443">
            <v>44371</v>
          </cell>
        </row>
        <row r="444">
          <cell r="E444" t="str">
            <v>77</v>
          </cell>
          <cell r="F444">
            <v>44357</v>
          </cell>
          <cell r="J444" t="str">
            <v>77</v>
          </cell>
          <cell r="K444">
            <v>44371</v>
          </cell>
        </row>
        <row r="445">
          <cell r="E445" t="str">
            <v>78</v>
          </cell>
          <cell r="F445">
            <v>44357</v>
          </cell>
          <cell r="J445" t="str">
            <v>78</v>
          </cell>
          <cell r="K445">
            <v>44371</v>
          </cell>
        </row>
        <row r="446">
          <cell r="E446" t="str">
            <v>79</v>
          </cell>
          <cell r="F446">
            <v>44357</v>
          </cell>
          <cell r="J446" t="str">
            <v>79</v>
          </cell>
          <cell r="K446">
            <v>44371</v>
          </cell>
        </row>
        <row r="447">
          <cell r="E447" t="str">
            <v>80</v>
          </cell>
          <cell r="F447">
            <v>44357</v>
          </cell>
          <cell r="J447" t="str">
            <v>80</v>
          </cell>
          <cell r="K447">
            <v>44371</v>
          </cell>
        </row>
        <row r="448">
          <cell r="E448" t="str">
            <v>81</v>
          </cell>
          <cell r="F448">
            <v>44358</v>
          </cell>
          <cell r="J448" t="str">
            <v>81</v>
          </cell>
          <cell r="K448">
            <v>44372</v>
          </cell>
        </row>
        <row r="449">
          <cell r="E449" t="str">
            <v>82</v>
          </cell>
          <cell r="F449">
            <v>44358</v>
          </cell>
          <cell r="J449" t="str">
            <v>82</v>
          </cell>
          <cell r="K449">
            <v>44372</v>
          </cell>
        </row>
        <row r="450">
          <cell r="E450" t="str">
            <v>83</v>
          </cell>
          <cell r="F450">
            <v>44358</v>
          </cell>
          <cell r="J450" t="str">
            <v>83</v>
          </cell>
          <cell r="K450">
            <v>44372</v>
          </cell>
        </row>
        <row r="451">
          <cell r="E451" t="str">
            <v>84</v>
          </cell>
          <cell r="F451">
            <v>44358</v>
          </cell>
          <cell r="J451" t="str">
            <v>84</v>
          </cell>
          <cell r="K451">
            <v>44372</v>
          </cell>
        </row>
        <row r="452">
          <cell r="E452" t="str">
            <v>85</v>
          </cell>
          <cell r="F452">
            <v>44358</v>
          </cell>
          <cell r="J452" t="str">
            <v>85</v>
          </cell>
          <cell r="K452">
            <v>44372</v>
          </cell>
        </row>
        <row r="453">
          <cell r="E453" t="str">
            <v>86</v>
          </cell>
          <cell r="F453">
            <v>44358</v>
          </cell>
          <cell r="J453" t="str">
            <v>86</v>
          </cell>
          <cell r="K453">
            <v>44372</v>
          </cell>
        </row>
        <row r="454">
          <cell r="E454" t="str">
            <v>87</v>
          </cell>
          <cell r="F454">
            <v>44358</v>
          </cell>
          <cell r="J454" t="str">
            <v>87</v>
          </cell>
          <cell r="K454">
            <v>44372</v>
          </cell>
        </row>
        <row r="455">
          <cell r="E455" t="str">
            <v>88</v>
          </cell>
          <cell r="F455">
            <v>44358</v>
          </cell>
          <cell r="J455" t="str">
            <v>88</v>
          </cell>
          <cell r="K455">
            <v>44372</v>
          </cell>
        </row>
        <row r="456">
          <cell r="E456" t="str">
            <v>89</v>
          </cell>
          <cell r="F456">
            <v>44358</v>
          </cell>
          <cell r="J456" t="str">
            <v>89</v>
          </cell>
          <cell r="K456">
            <v>44372</v>
          </cell>
        </row>
        <row r="457">
          <cell r="E457" t="str">
            <v>90</v>
          </cell>
          <cell r="F457">
            <v>44358</v>
          </cell>
          <cell r="J457" t="str">
            <v>90</v>
          </cell>
          <cell r="K457">
            <v>44372</v>
          </cell>
        </row>
        <row r="458">
          <cell r="E458" t="str">
            <v>91</v>
          </cell>
          <cell r="F458">
            <v>44358</v>
          </cell>
          <cell r="J458" t="str">
            <v>91</v>
          </cell>
          <cell r="K458">
            <v>44372</v>
          </cell>
        </row>
        <row r="459">
          <cell r="E459" t="str">
            <v>92</v>
          </cell>
          <cell r="F459">
            <v>44358</v>
          </cell>
          <cell r="J459" t="str">
            <v>92</v>
          </cell>
          <cell r="K459">
            <v>44372</v>
          </cell>
        </row>
        <row r="460">
          <cell r="E460" t="str">
            <v>93</v>
          </cell>
          <cell r="F460">
            <v>44358</v>
          </cell>
          <cell r="J460" t="str">
            <v>93</v>
          </cell>
          <cell r="K460">
            <v>44372</v>
          </cell>
        </row>
        <row r="461">
          <cell r="E461" t="str">
            <v>94</v>
          </cell>
          <cell r="F461">
            <v>44358</v>
          </cell>
          <cell r="J461" t="str">
            <v>94</v>
          </cell>
          <cell r="K461">
            <v>44372</v>
          </cell>
        </row>
        <row r="462">
          <cell r="E462" t="str">
            <v>95</v>
          </cell>
          <cell r="F462">
            <v>44358</v>
          </cell>
          <cell r="J462" t="str">
            <v>95</v>
          </cell>
          <cell r="K462">
            <v>44372</v>
          </cell>
        </row>
        <row r="463">
          <cell r="E463" t="str">
            <v>96</v>
          </cell>
          <cell r="F463">
            <v>44358</v>
          </cell>
          <cell r="J463" t="str">
            <v>96</v>
          </cell>
          <cell r="K463">
            <v>44372</v>
          </cell>
        </row>
        <row r="464">
          <cell r="E464" t="str">
            <v>97</v>
          </cell>
          <cell r="F464">
            <v>44358</v>
          </cell>
          <cell r="J464" t="str">
            <v>97</v>
          </cell>
          <cell r="K464">
            <v>44372</v>
          </cell>
        </row>
        <row r="465">
          <cell r="E465" t="str">
            <v>98</v>
          </cell>
          <cell r="F465">
            <v>44358</v>
          </cell>
          <cell r="J465" t="str">
            <v>98</v>
          </cell>
          <cell r="K465">
            <v>44372</v>
          </cell>
        </row>
        <row r="466">
          <cell r="E466" t="str">
            <v>99</v>
          </cell>
          <cell r="F466">
            <v>44358</v>
          </cell>
          <cell r="J466" t="str">
            <v>99</v>
          </cell>
          <cell r="K466">
            <v>44372</v>
          </cell>
        </row>
        <row r="467">
          <cell r="E467" t="str">
            <v>00</v>
          </cell>
          <cell r="F467">
            <v>44358</v>
          </cell>
          <cell r="J467" t="str">
            <v>00</v>
          </cell>
          <cell r="K467">
            <v>44372</v>
          </cell>
        </row>
      </sheetData>
      <sheetData sheetId="6" refreshError="1"/>
      <sheetData sheetId="7" refreshError="1"/>
      <sheetData sheetId="8" refreshError="1"/>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os"/>
      <sheetName val="Inicio"/>
      <sheetName val="Indicadores"/>
      <sheetName val="PUC_Comerciantes_Gral."/>
      <sheetName val="BP_Año_2"/>
      <sheetName val="BP_Año_1"/>
      <sheetName val="BCE_GRAL"/>
      <sheetName val="PYG"/>
      <sheetName val="Variaciones"/>
      <sheetName val="Capital_Trabajo"/>
      <sheetName val="Flujo_Efectivo"/>
      <sheetName val="Cambios_Patrimonio"/>
      <sheetName val="Conciliacion_Patrimonio"/>
      <sheetName val="Notas_Estados_Financieros"/>
      <sheetName val="Certificacion"/>
      <sheetName val="Inf_ContableFinanciero"/>
      <sheetName val="PUC_NIIF"/>
      <sheetName val="BP_Diciembre"/>
      <sheetName val="Notas"/>
      <sheetName val="Presupuesto_Base"/>
      <sheetName val="PPTO_Proyect"/>
      <sheetName val="Parámetros"/>
      <sheetName val="Hoja_Indicadores"/>
      <sheetName val="KPI"/>
      <sheetName val="CMI"/>
      <sheetName val="Tendencias"/>
      <sheetName val="Ind_Gestion"/>
      <sheetName val="Indices Financieros"/>
      <sheetName val="IndicesDinámicos"/>
      <sheetName val="Indices de Liquidez"/>
      <sheetName val="Capital de Trabajo"/>
      <sheetName val="Razón Corriente"/>
      <sheetName val="Prueba Acida"/>
      <sheetName val="Rotación de Cuentas x Cobrar"/>
      <sheetName val="Rotación de Activo Total"/>
      <sheetName val="Rotación de Activos Fijos"/>
      <sheetName val="Rotación de Inventarios"/>
      <sheetName val="Edad de la Cartera"/>
      <sheetName val="Edad de los Inventarios"/>
      <sheetName val="Rotación Cuentas por Pagar"/>
      <sheetName val="Edad Cuentas por Pagar"/>
      <sheetName val="Indices de Endeudamiento"/>
      <sheetName val="Endeudamiento"/>
      <sheetName val="Propiedad de los Socios"/>
      <sheetName val="Relación Deuda a Patrimonio"/>
      <sheetName val="Rel. Deuda Largo Pzo a Patrimon"/>
      <sheetName val="Indices de Rentabilidad"/>
      <sheetName val="Indice Natural de Utilidad"/>
      <sheetName val="Indice Utilidad de Operación"/>
      <sheetName val="Indice Utilidad por Accion"/>
      <sheetName val="Rendimiento del Activo Total"/>
      <sheetName val="Rendimiento del Activo Fijo"/>
      <sheetName val="Rentabilidad del Patrimonio"/>
      <sheetName val="Rentabilidad Capital de Trabajo"/>
      <sheetName val="Fórmula de Dupont"/>
      <sheetName val="Dividendos por Acción"/>
      <sheetName val="Indices de Cobertura"/>
      <sheetName val="Cobertura de Intereses"/>
      <sheetName val="Cubrimiento Financiero"/>
      <sheetName val="Posición Defensiva"/>
      <sheetName val="Ana. Cuentas"/>
      <sheetName val="Analisis Gerencial"/>
      <sheetName val="Resumen General"/>
      <sheetName val="Resumen General Mes"/>
      <sheetName val="Plan de Cuentas (Colombia)"/>
      <sheetName val="Balance General AH"/>
      <sheetName val="Balance General AV"/>
      <sheetName val="Pérdidas y Ganancias AH"/>
      <sheetName val="Pérdidas y Ganancias AV"/>
      <sheetName val="PyG Mes Acumulado AH"/>
      <sheetName val="PyG Mes Acumulado AV"/>
      <sheetName val="Balance General Anual"/>
      <sheetName val="PyG Anual"/>
      <sheetName val="Estado de Cambio SF"/>
      <sheetName val="Flujo de Efectivos"/>
      <sheetName val="Estado de Cambio PT"/>
    </sheetNames>
    <sheetDataSet>
      <sheetData sheetId="0">
        <row r="12">
          <cell r="D12" t="str">
            <v xml:space="preserve">L_ Indices_ de_ Liquidez </v>
          </cell>
        </row>
        <row r="13">
          <cell r="D13" t="str">
            <v>E_Indices_de_Endeudamiento</v>
          </cell>
        </row>
        <row r="14">
          <cell r="D14" t="str">
            <v>R_Indices_de_Rentabilidad</v>
          </cell>
        </row>
        <row r="15">
          <cell r="D15" t="str">
            <v>C_Indices_de_Cobertura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artsDataSheet"/>
      <sheetName val="Datos"/>
      <sheetName val="DASHBOARD"/>
      <sheetName val="Calc"/>
      <sheetName val="Estado de Resultados"/>
    </sheetNames>
    <sheetDataSet>
      <sheetData sheetId="0"/>
      <sheetData sheetId="1">
        <row r="36">
          <cell r="C36" t="str">
            <v>ENERO</v>
          </cell>
        </row>
        <row r="37">
          <cell r="C37" t="str">
            <v>FEBRERO</v>
          </cell>
        </row>
        <row r="38">
          <cell r="C38" t="str">
            <v>MARZO</v>
          </cell>
        </row>
        <row r="39">
          <cell r="C39" t="str">
            <v>ABRIL</v>
          </cell>
        </row>
        <row r="40">
          <cell r="C40" t="str">
            <v>MAYO</v>
          </cell>
        </row>
        <row r="41">
          <cell r="C41" t="str">
            <v>JUNIO</v>
          </cell>
        </row>
        <row r="42">
          <cell r="C42" t="str">
            <v>JULIO</v>
          </cell>
        </row>
        <row r="43">
          <cell r="C43" t="str">
            <v>AGOSTO</v>
          </cell>
        </row>
        <row r="44">
          <cell r="C44" t="str">
            <v>SEPTIEMBRE</v>
          </cell>
        </row>
        <row r="45">
          <cell r="C45" t="str">
            <v>OCTUBRE</v>
          </cell>
        </row>
        <row r="46">
          <cell r="C46" t="str">
            <v>NOVIEMBRE</v>
          </cell>
        </row>
        <row r="47">
          <cell r="C47" t="str">
            <v>DICIEMBRE</v>
          </cell>
        </row>
      </sheetData>
      <sheetData sheetId="2"/>
      <sheetData sheetId="3"/>
      <sheetData sheetId="4"/>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ctualicese.com/vacaciones-laborales-en-colombia/" TargetMode="External"/><Relationship Id="rId13" Type="http://schemas.openxmlformats.org/officeDocument/2006/relationships/hyperlink" Target="https://actualicese.com/calculadora-de-liquidacion-de-vacaciones/" TargetMode="External"/><Relationship Id="rId3" Type="http://schemas.openxmlformats.org/officeDocument/2006/relationships/hyperlink" Target="http://www.secretariasenado.gov.co/senado/basedoc/codigo_sustantivo_trabajo_pr006.html" TargetMode="External"/><Relationship Id="rId7" Type="http://schemas.openxmlformats.org/officeDocument/2006/relationships/hyperlink" Target="https://actualicese.com/liquidador-de-vacaciones-en-excel-aplicado-a-10-casos-practicos/" TargetMode="External"/><Relationship Id="rId12" Type="http://schemas.openxmlformats.org/officeDocument/2006/relationships/hyperlink" Target="http://www.secretariasenado.gov.co/senado/basedoc/codigo_sustantivo_trabajo_pr006.html" TargetMode="External"/><Relationship Id="rId2" Type="http://schemas.openxmlformats.org/officeDocument/2006/relationships/hyperlink" Target="http://www.secretariasenado.gov.co/senado/basedoc/codigo_sustantivo_trabajo_pr006.html" TargetMode="External"/><Relationship Id="rId1" Type="http://schemas.openxmlformats.org/officeDocument/2006/relationships/hyperlink" Target="https://actualicese.com/vacaciones-laborales-lo-que-debe-conocer-toda-empresa-cuando-las-concede/" TargetMode="External"/><Relationship Id="rId6" Type="http://schemas.openxmlformats.org/officeDocument/2006/relationships/hyperlink" Target="https://actualicese.com/modelo-de-carta-para-notificar-vacaciones-a-empleados/" TargetMode="External"/><Relationship Id="rId11" Type="http://schemas.openxmlformats.org/officeDocument/2006/relationships/hyperlink" Target="https://actualicese.com/formulas-para-liquidacion-de-prestaciones-vacaciones-y-horas-extras/" TargetMode="External"/><Relationship Id="rId5" Type="http://schemas.openxmlformats.org/officeDocument/2006/relationships/hyperlink" Target="http://www.secretariasenado.gov.co/senado/basedoc/codigo_sustantivo_trabajo_pr006.html" TargetMode="External"/><Relationship Id="rId10" Type="http://schemas.openxmlformats.org/officeDocument/2006/relationships/hyperlink" Target="https://actualicese.com/calendario-de-aplicacion-reforma-laboral-ley-2466-de-2025/" TargetMode="External"/><Relationship Id="rId4" Type="http://schemas.openxmlformats.org/officeDocument/2006/relationships/hyperlink" Target="http://www.secretariasenado.gov.co/senado/basedoc/codigo_sustantivo_trabajo_pr006.html" TargetMode="External"/><Relationship Id="rId9" Type="http://schemas.openxmlformats.org/officeDocument/2006/relationships/hyperlink" Target="https://actualicese.com/vacaciones-laborales-en-colombia/" TargetMode="Externa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6DBF4-6145-48CD-A1E9-0F65422A3C84}">
  <dimension ref="B3:B47"/>
  <sheetViews>
    <sheetView showGridLines="0" topLeftCell="A33" zoomScaleNormal="100" workbookViewId="0">
      <selection activeCell="B3" sqref="B3"/>
    </sheetView>
  </sheetViews>
  <sheetFormatPr baseColWidth="10" defaultColWidth="11.44140625" defaultRowHeight="15" x14ac:dyDescent="0.25"/>
  <cols>
    <col min="1" max="1" width="11.44140625" style="6"/>
    <col min="2" max="2" width="172.77734375" style="6" customWidth="1"/>
    <col min="3" max="16384" width="11.44140625" style="6"/>
  </cols>
  <sheetData>
    <row r="3" spans="2:2" ht="24.6" x14ac:dyDescent="0.25">
      <c r="B3" s="29" t="s">
        <v>28</v>
      </c>
    </row>
    <row r="5" spans="2:2" x14ac:dyDescent="0.25">
      <c r="B5" s="21" t="s">
        <v>72</v>
      </c>
    </row>
    <row r="7" spans="2:2" ht="76.5" customHeight="1" x14ac:dyDescent="0.25">
      <c r="B7" s="33" t="s">
        <v>37</v>
      </c>
    </row>
    <row r="8" spans="2:2" ht="28.5" customHeight="1" x14ac:dyDescent="0.25">
      <c r="B8" s="34" t="s">
        <v>38</v>
      </c>
    </row>
    <row r="9" spans="2:2" ht="14.25" customHeight="1" x14ac:dyDescent="0.25">
      <c r="B9" s="34"/>
    </row>
    <row r="10" spans="2:2" ht="14.25" customHeight="1" x14ac:dyDescent="0.25">
      <c r="B10" s="35" t="s">
        <v>65</v>
      </c>
    </row>
    <row r="11" spans="2:2" ht="14.25" customHeight="1" x14ac:dyDescent="0.25">
      <c r="B11" s="35" t="s">
        <v>22</v>
      </c>
    </row>
    <row r="12" spans="2:2" ht="14.25" customHeight="1" x14ac:dyDescent="0.25">
      <c r="B12" s="35" t="s">
        <v>39</v>
      </c>
    </row>
    <row r="13" spans="2:2" ht="14.25" customHeight="1" x14ac:dyDescent="0.25">
      <c r="B13" s="35" t="s">
        <v>40</v>
      </c>
    </row>
    <row r="14" spans="2:2" ht="14.25" customHeight="1" x14ac:dyDescent="0.25">
      <c r="B14" s="35" t="s">
        <v>23</v>
      </c>
    </row>
    <row r="15" spans="2:2" ht="14.25" customHeight="1" x14ac:dyDescent="0.25">
      <c r="B15" s="36" t="s">
        <v>41</v>
      </c>
    </row>
    <row r="16" spans="2:2" ht="14.25" customHeight="1" x14ac:dyDescent="0.25">
      <c r="B16" s="34"/>
    </row>
    <row r="17" spans="2:2" ht="28.5" customHeight="1" x14ac:dyDescent="0.25">
      <c r="B17" s="34" t="s">
        <v>42</v>
      </c>
    </row>
    <row r="18" spans="2:2" x14ac:dyDescent="0.25">
      <c r="B18" s="37"/>
    </row>
    <row r="19" spans="2:2" ht="30.6" x14ac:dyDescent="0.25">
      <c r="B19" s="34" t="s">
        <v>43</v>
      </c>
    </row>
    <row r="20" spans="2:2" x14ac:dyDescent="0.25">
      <c r="B20" s="37"/>
    </row>
    <row r="21" spans="2:2" ht="21" x14ac:dyDescent="0.25">
      <c r="B21" s="38" t="s">
        <v>64</v>
      </c>
    </row>
    <row r="22" spans="2:2" ht="15.6" x14ac:dyDescent="0.25">
      <c r="B22" s="39"/>
    </row>
    <row r="23" spans="2:2" ht="39.75" customHeight="1" x14ac:dyDescent="0.25">
      <c r="B23" s="34" t="s">
        <v>44</v>
      </c>
    </row>
    <row r="24" spans="2:2" x14ac:dyDescent="0.25">
      <c r="B24" s="37"/>
    </row>
    <row r="25" spans="2:2" ht="60.6" x14ac:dyDescent="0.25">
      <c r="B25" s="34" t="s">
        <v>73</v>
      </c>
    </row>
    <row r="26" spans="2:2" x14ac:dyDescent="0.25">
      <c r="B26" s="37"/>
    </row>
    <row r="27" spans="2:2" ht="21" x14ac:dyDescent="0.25">
      <c r="B27" s="38" t="s">
        <v>45</v>
      </c>
    </row>
    <row r="28" spans="2:2" x14ac:dyDescent="0.25">
      <c r="B28" s="37"/>
    </row>
    <row r="29" spans="2:2" ht="30" x14ac:dyDescent="0.25">
      <c r="B29" s="34" t="s">
        <v>46</v>
      </c>
    </row>
    <row r="30" spans="2:2" x14ac:dyDescent="0.25">
      <c r="B30" s="37"/>
    </row>
    <row r="31" spans="2:2" ht="45" x14ac:dyDescent="0.25">
      <c r="B31" s="36" t="s">
        <v>60</v>
      </c>
    </row>
    <row r="32" spans="2:2" x14ac:dyDescent="0.25">
      <c r="B32" s="37"/>
    </row>
    <row r="33" spans="2:2" ht="30" x14ac:dyDescent="0.25">
      <c r="B33" s="36" t="s">
        <v>61</v>
      </c>
    </row>
    <row r="34" spans="2:2" x14ac:dyDescent="0.25">
      <c r="B34" s="34"/>
    </row>
    <row r="35" spans="2:2" x14ac:dyDescent="0.25">
      <c r="B35" s="35" t="s">
        <v>63</v>
      </c>
    </row>
    <row r="36" spans="2:2" x14ac:dyDescent="0.25">
      <c r="B36" s="37"/>
    </row>
    <row r="37" spans="2:2" x14ac:dyDescent="0.25">
      <c r="B37" s="36" t="s">
        <v>62</v>
      </c>
    </row>
    <row r="38" spans="2:2" x14ac:dyDescent="0.25">
      <c r="B38" s="36"/>
    </row>
    <row r="39" spans="2:2" ht="66" customHeight="1" x14ac:dyDescent="0.25">
      <c r="B39" s="41" t="s">
        <v>47</v>
      </c>
    </row>
    <row r="40" spans="2:2" x14ac:dyDescent="0.25">
      <c r="B40" s="40"/>
    </row>
    <row r="41" spans="2:2" ht="21.75" customHeight="1" x14ac:dyDescent="0.25">
      <c r="B41" s="30" t="s">
        <v>24</v>
      </c>
    </row>
    <row r="42" spans="2:2" ht="21.75" customHeight="1" x14ac:dyDescent="0.25">
      <c r="B42" s="31" t="s">
        <v>25</v>
      </c>
    </row>
    <row r="43" spans="2:2" ht="42" customHeight="1" x14ac:dyDescent="0.25">
      <c r="B43" s="32" t="s">
        <v>33</v>
      </c>
    </row>
    <row r="44" spans="2:2" ht="21.75" customHeight="1" x14ac:dyDescent="0.25">
      <c r="B44" s="27" t="s">
        <v>26</v>
      </c>
    </row>
    <row r="45" spans="2:2" ht="42" customHeight="1" x14ac:dyDescent="0.25">
      <c r="B45" s="28" t="s">
        <v>34</v>
      </c>
    </row>
    <row r="46" spans="2:2" ht="21.75" customHeight="1" x14ac:dyDescent="0.25">
      <c r="B46" s="27" t="s">
        <v>35</v>
      </c>
    </row>
    <row r="47" spans="2:2" ht="42" customHeight="1" x14ac:dyDescent="0.25">
      <c r="B47" s="28" t="s">
        <v>36</v>
      </c>
    </row>
  </sheetData>
  <hyperlinks>
    <hyperlink ref="B8" r:id="rId1" xr:uid="{C8A3E5E0-E204-46E4-B3A0-E733265DFF40}"/>
    <hyperlink ref="B15" r:id="rId2" location="190" display="http://www.secretariasenado.gov.co/senado/basedoc/codigo_sustantivo_trabajo_pr006.html - 190" xr:uid="{55EF8BE5-E94A-47D1-A2CD-A846DD979B11}"/>
    <hyperlink ref="B31" r:id="rId3" location="190" display="- Todo empleado debe gozar por lo menos de 6 días hábiles continuos de vacaciones en el año. Los días restantes se pueden acumular hasta por 2 años (artículo 190 del CST). Los trabajadores técnicos, especializados, de confianza, de manejo o de extranjeros que presten sus servicios en lugares distintos a los de la residencia de sus familiares pueden acumular los días restantes hasta por 4 años." xr:uid="{C1F105C4-672F-4D4F-B075-3FE5EDEE64DA}"/>
    <hyperlink ref="B33" r:id="rId4" location="186" display="http://www.secretariasenado.gov.co/senado/basedoc/codigo_sustantivo_trabajo_pr006.html - 186" xr:uid="{20367C27-154C-4E94-A73F-00CCF081F5D0}"/>
    <hyperlink ref="B37" r:id="rId5" location="189" display="http://www.secretariasenado.gov.co/senado/basedoc/codigo_sustantivo_trabajo_pr006.html - 189" xr:uid="{CD8A4F50-B2BD-4485-815A-6D0484843EF5}"/>
    <hyperlink ref="B42" r:id="rId6" display="https://actualicese.com/modelo-de-carta-para-notificar-vacaciones-a-empleados/" xr:uid="{E40147E4-977A-482A-9324-0CAB3D8B2A7F}"/>
    <hyperlink ref="B44" r:id="rId7" display="https://actualicese.com/liquidador-de-vacaciones-en-excel-aplicado-a-10-casos-practicos/" xr:uid="{034EC766-4D98-4BCF-AC83-FE8E46A406E4}"/>
    <hyperlink ref="B46" r:id="rId8" xr:uid="{4CFD2D9E-BD69-4345-84EB-B975BBAB8638}"/>
    <hyperlink ref="B7" location="Vacaciones!A1" display="Vacaciones!A1" xr:uid="{84353B6C-F772-4002-82E8-F2868FC42A71}"/>
    <hyperlink ref="B17" r:id="rId9" xr:uid="{4460C4EE-A8F4-4EBD-8514-4CAE5C48E7CD}"/>
    <hyperlink ref="B19" r:id="rId10" display="Nota: la más reciente Ley de reforma laboral 2466 de junio 25 de 2025 no efectuó cambio alguno en la liquidación, el pago o el disfrute de las vacaciones. Te invitamos a explorar los ajustes realizados a la legislación laboral colombiana y su fecha de entrada en vigor." xr:uid="{365DE675-A446-4308-9E11-4E88D51BA81B}"/>
    <hyperlink ref="B23" r:id="rId11" display="Las vacaciones laborales son un derecho de todos los trabajadores dependientes en Colombia. Por cada año de servicio se conceden 15 días hábiles de descanso remunerado o proporcional al tiempo laborado si fuese inferior a un año. La fórmula es la siguiente:" xr:uid="{1F8FBA72-082F-4A2C-AA20-4E1EA8720998}"/>
    <hyperlink ref="B25" r:id="rId12" location="192" display="http://www.secretariasenado.gov.co/senado/basedoc/codigo_sustantivo_trabajo_pr006.html - 192" xr:uid="{7D4CB657-46B4-440A-B705-8601236F5C0D}"/>
    <hyperlink ref="B29" r:id="rId13" xr:uid="{C11BADCB-93A1-4D32-AFF2-8E7FC0EB019A}"/>
  </hyperlinks>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20D01-9240-4243-9CBA-E46212520056}">
  <sheetPr codeName="Hoja12"/>
  <dimension ref="B3:BD125"/>
  <sheetViews>
    <sheetView showGridLines="0" zoomScale="80" zoomScaleNormal="80" workbookViewId="0">
      <pane ySplit="16" topLeftCell="A17" activePane="bottomLeft" state="frozen"/>
      <selection pane="bottomLeft" activeCell="A17" sqref="A17"/>
    </sheetView>
  </sheetViews>
  <sheetFormatPr baseColWidth="10" defaultColWidth="11.44140625" defaultRowHeight="15" outlineLevelCol="1" x14ac:dyDescent="0.25"/>
  <cols>
    <col min="1" max="1" width="3.44140625" style="6" customWidth="1"/>
    <col min="2" max="2" width="6.21875" style="6" customWidth="1"/>
    <col min="3" max="7" width="20.5546875" style="6" customWidth="1"/>
    <col min="8" max="13" width="17.44140625" style="6" customWidth="1" outlineLevel="1"/>
    <col min="14" max="16" width="15" style="6" customWidth="1"/>
    <col min="17" max="17" width="4.44140625" style="6" customWidth="1" collapsed="1"/>
    <col min="18" max="44" width="4.44140625" style="6" customWidth="1"/>
    <col min="45" max="56" width="13.5546875" style="6" customWidth="1"/>
    <col min="57" max="16384" width="11.44140625" style="6"/>
  </cols>
  <sheetData>
    <row r="3" spans="2:56" ht="24.6" x14ac:dyDescent="0.4">
      <c r="B3" s="92" t="str">
        <f>+Introducción!B3</f>
        <v>Formato para el control de vacaciones en empleados</v>
      </c>
      <c r="C3" s="92"/>
      <c r="D3" s="92"/>
      <c r="E3" s="92"/>
      <c r="F3" s="92"/>
      <c r="G3" s="92"/>
      <c r="H3" s="92"/>
      <c r="I3" s="92"/>
      <c r="J3" s="92"/>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row>
    <row r="5" spans="2:56" x14ac:dyDescent="0.25">
      <c r="B5" s="21"/>
      <c r="C5" s="21" t="str">
        <f>+Introducción!B5</f>
        <v>(Fecha de actualización: mayo 14 de 2026)</v>
      </c>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row>
    <row r="6" spans="2:56" x14ac:dyDescent="0.25">
      <c r="B6" s="21"/>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row>
    <row r="7" spans="2:56" x14ac:dyDescent="0.25">
      <c r="B7" s="21"/>
      <c r="C7" s="22" t="s">
        <v>21</v>
      </c>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row>
    <row r="11" spans="2:56" x14ac:dyDescent="0.25">
      <c r="C11" s="6">
        <v>127</v>
      </c>
      <c r="D11" s="7">
        <f>F12+C11</f>
        <v>46150</v>
      </c>
      <c r="N11" s="7"/>
      <c r="O11" s="7"/>
      <c r="P11" s="7"/>
    </row>
    <row r="12" spans="2:56" ht="27.75" customHeight="1" x14ac:dyDescent="0.25">
      <c r="C12" s="97" t="s">
        <v>19</v>
      </c>
      <c r="D12" s="98"/>
      <c r="E12" s="99"/>
      <c r="F12" s="8">
        <v>46023</v>
      </c>
      <c r="N12" s="7"/>
      <c r="O12" s="7"/>
      <c r="P12" s="7"/>
      <c r="AS12" s="7"/>
      <c r="AT12" s="7"/>
      <c r="AU12" s="7"/>
      <c r="AV12" s="7"/>
      <c r="AW12" s="7"/>
      <c r="AX12" s="7"/>
      <c r="AY12" s="7"/>
      <c r="AZ12" s="7"/>
      <c r="BA12" s="7"/>
      <c r="BB12" s="7"/>
      <c r="BC12" s="7"/>
      <c r="BD12" s="7"/>
    </row>
    <row r="13" spans="2:56" ht="15.6" thickBot="1" x14ac:dyDescent="0.3">
      <c r="N13" s="7"/>
      <c r="O13" s="7"/>
    </row>
    <row r="14" spans="2:56" ht="18" customHeight="1" thickBot="1" x14ac:dyDescent="0.35">
      <c r="H14" s="87" t="s">
        <v>59</v>
      </c>
      <c r="I14" s="88"/>
      <c r="J14" s="88"/>
      <c r="K14" s="88"/>
      <c r="L14" s="88"/>
      <c r="M14" s="89"/>
      <c r="Q14" s="23" t="str">
        <f>IFERROR(VLOOKUP(Q15,Festivos!$B$5:$C$22,2,FALSE),"")</f>
        <v/>
      </c>
      <c r="R14" s="23" t="str">
        <f>IFERROR(VLOOKUP(R15,Festivos!$B$5:$C$22,2,FALSE),"")</f>
        <v/>
      </c>
      <c r="S14" s="23" t="str">
        <f>IFERROR(VLOOKUP(S15,Festivos!$B$5:$C$22,2,FALSE),"")</f>
        <v/>
      </c>
      <c r="T14" s="23" t="str">
        <f>IFERROR(VLOOKUP(T15,Festivos!$B$5:$C$22,2,FALSE),"")</f>
        <v/>
      </c>
      <c r="U14" s="23" t="str">
        <f>IFERROR(VLOOKUP(U15,Festivos!$B$5:$C$22,2,FALSE),"")</f>
        <v/>
      </c>
      <c r="V14" s="23" t="str">
        <f>IFERROR(VLOOKUP(V15,Festivos!$B$5:$C$22,2,FALSE),"")</f>
        <v/>
      </c>
      <c r="W14" s="23" t="str">
        <f>IFERROR(VLOOKUP(W15,Festivos!$B$5:$C$22,2,FALSE),"")</f>
        <v/>
      </c>
      <c r="X14" s="23" t="str">
        <f>IFERROR(VLOOKUP(X15,Festivos!$B$5:$C$22,2,FALSE),"")</f>
        <v/>
      </c>
      <c r="Y14" s="23" t="str">
        <f>IFERROR(VLOOKUP(Y15,Festivos!$B$5:$C$22,2,FALSE),"")</f>
        <v/>
      </c>
      <c r="Z14" s="23" t="str">
        <f>IFERROR(VLOOKUP(Z15,Festivos!$B$5:$C$22,2,FALSE),"")</f>
        <v/>
      </c>
      <c r="AA14" s="23" t="str">
        <f>IFERROR(VLOOKUP(AA15,Festivos!$B$5:$C$22,2,FALSE),"")</f>
        <v>Ascensión de Jesús</v>
      </c>
      <c r="AB14" s="23" t="str">
        <f>IFERROR(VLOOKUP(AB15,Festivos!$B$5:$C$22,2,FALSE),"")</f>
        <v/>
      </c>
      <c r="AC14" s="23" t="str">
        <f>IFERROR(VLOOKUP(AC15,Festivos!$B$5:$C$22,2,FALSE),"")</f>
        <v/>
      </c>
      <c r="AD14" s="23" t="str">
        <f>IFERROR(VLOOKUP(AD15,Festivos!$B$5:$C$22,2,FALSE),"")</f>
        <v/>
      </c>
      <c r="AE14" s="23" t="str">
        <f>IFERROR(VLOOKUP(AE15,Festivos!$B$5:$C$22,2,FALSE),"")</f>
        <v/>
      </c>
      <c r="AF14" s="23" t="str">
        <f>IFERROR(VLOOKUP(AF15,Festivos!$B$5:$C$22,2,FALSE),"")</f>
        <v/>
      </c>
      <c r="AG14" s="23" t="str">
        <f>IFERROR(VLOOKUP(AG15,Festivos!$B$5:$C$22,2,FALSE),"")</f>
        <v/>
      </c>
      <c r="AH14" s="23" t="str">
        <f>IFERROR(VLOOKUP(AH15,Festivos!$B$5:$C$22,2,FALSE),"")</f>
        <v/>
      </c>
      <c r="AI14" s="23" t="str">
        <f>IFERROR(VLOOKUP(AI15,Festivos!$B$5:$C$22,2,FALSE),"")</f>
        <v/>
      </c>
      <c r="AJ14" s="23" t="str">
        <f>IFERROR(VLOOKUP(AJ15,Festivos!$B$5:$C$22,2,FALSE),"")</f>
        <v/>
      </c>
      <c r="AK14" s="23" t="str">
        <f>IFERROR(VLOOKUP(AK15,Festivos!$B$5:$C$22,2,FALSE),"")</f>
        <v/>
      </c>
      <c r="AL14" s="23" t="str">
        <f>IFERROR(VLOOKUP(AL15,Festivos!$B$5:$C$22,2,FALSE),"")</f>
        <v/>
      </c>
      <c r="AM14" s="23" t="str">
        <f>IFERROR(VLOOKUP(AM15,Festivos!$B$5:$C$22,2,FALSE),"")</f>
        <v/>
      </c>
      <c r="AN14" s="23" t="str">
        <f>IFERROR(VLOOKUP(AN15,Festivos!$B$5:$C$22,2,FALSE),"")</f>
        <v/>
      </c>
      <c r="AO14" s="23" t="str">
        <f>IFERROR(VLOOKUP(AO15,Festivos!$B$5:$C$22,2,FALSE),"")</f>
        <v/>
      </c>
      <c r="AP14" s="23" t="str">
        <f>IFERROR(VLOOKUP(AP15,Festivos!$B$5:$C$22,2,FALSE),"")</f>
        <v/>
      </c>
      <c r="AQ14" s="23" t="str">
        <f>IFERROR(VLOOKUP(AQ15,Festivos!$B$5:$C$22,2,FALSE),"")</f>
        <v/>
      </c>
      <c r="AR14" s="23" t="str">
        <f>IFERROR(VLOOKUP(AR15,Festivos!$B$5:$C$22,2,FALSE),"")</f>
        <v/>
      </c>
    </row>
    <row r="15" spans="2:56" s="47" customFormat="1" ht="84" customHeight="1" x14ac:dyDescent="0.25">
      <c r="B15" s="93" t="s">
        <v>15</v>
      </c>
      <c r="C15" s="95" t="s">
        <v>16</v>
      </c>
      <c r="D15" s="95" t="s">
        <v>17</v>
      </c>
      <c r="E15" s="95" t="s">
        <v>18</v>
      </c>
      <c r="F15" s="95" t="s">
        <v>29</v>
      </c>
      <c r="G15" s="85" t="s">
        <v>54</v>
      </c>
      <c r="H15" s="90" t="s">
        <v>30</v>
      </c>
      <c r="I15" s="90" t="s">
        <v>56</v>
      </c>
      <c r="J15" s="90" t="s">
        <v>55</v>
      </c>
      <c r="K15" s="90" t="s">
        <v>31</v>
      </c>
      <c r="L15" s="90" t="s">
        <v>57</v>
      </c>
      <c r="M15" s="90" t="s">
        <v>58</v>
      </c>
      <c r="N15" s="85" t="s">
        <v>20</v>
      </c>
      <c r="O15" s="51" t="s">
        <v>27</v>
      </c>
      <c r="P15" s="83" t="s">
        <v>32</v>
      </c>
      <c r="Q15" s="44">
        <f>+D11</f>
        <v>46150</v>
      </c>
      <c r="R15" s="45">
        <f t="shared" ref="R15:AR15" si="0">+Q15+1</f>
        <v>46151</v>
      </c>
      <c r="S15" s="45">
        <f t="shared" si="0"/>
        <v>46152</v>
      </c>
      <c r="T15" s="45">
        <f t="shared" si="0"/>
        <v>46153</v>
      </c>
      <c r="U15" s="45">
        <f t="shared" si="0"/>
        <v>46154</v>
      </c>
      <c r="V15" s="45">
        <f t="shared" si="0"/>
        <v>46155</v>
      </c>
      <c r="W15" s="46">
        <f t="shared" si="0"/>
        <v>46156</v>
      </c>
      <c r="X15" s="44">
        <f t="shared" si="0"/>
        <v>46157</v>
      </c>
      <c r="Y15" s="45">
        <f t="shared" si="0"/>
        <v>46158</v>
      </c>
      <c r="Z15" s="45">
        <f t="shared" si="0"/>
        <v>46159</v>
      </c>
      <c r="AA15" s="45">
        <f t="shared" si="0"/>
        <v>46160</v>
      </c>
      <c r="AB15" s="45">
        <f t="shared" si="0"/>
        <v>46161</v>
      </c>
      <c r="AC15" s="45">
        <f t="shared" si="0"/>
        <v>46162</v>
      </c>
      <c r="AD15" s="46">
        <f t="shared" si="0"/>
        <v>46163</v>
      </c>
      <c r="AE15" s="44">
        <f t="shared" si="0"/>
        <v>46164</v>
      </c>
      <c r="AF15" s="45">
        <f t="shared" si="0"/>
        <v>46165</v>
      </c>
      <c r="AG15" s="45">
        <f t="shared" si="0"/>
        <v>46166</v>
      </c>
      <c r="AH15" s="45">
        <f t="shared" si="0"/>
        <v>46167</v>
      </c>
      <c r="AI15" s="45">
        <f t="shared" si="0"/>
        <v>46168</v>
      </c>
      <c r="AJ15" s="45">
        <f t="shared" si="0"/>
        <v>46169</v>
      </c>
      <c r="AK15" s="46">
        <f t="shared" si="0"/>
        <v>46170</v>
      </c>
      <c r="AL15" s="44">
        <f t="shared" si="0"/>
        <v>46171</v>
      </c>
      <c r="AM15" s="45">
        <f t="shared" si="0"/>
        <v>46172</v>
      </c>
      <c r="AN15" s="45">
        <f t="shared" si="0"/>
        <v>46173</v>
      </c>
      <c r="AO15" s="45">
        <f t="shared" si="0"/>
        <v>46174</v>
      </c>
      <c r="AP15" s="45">
        <f t="shared" si="0"/>
        <v>46175</v>
      </c>
      <c r="AQ15" s="45">
        <f t="shared" si="0"/>
        <v>46176</v>
      </c>
      <c r="AR15" s="46">
        <f t="shared" si="0"/>
        <v>46177</v>
      </c>
    </row>
    <row r="16" spans="2:56" s="47" customFormat="1" ht="16.5" customHeight="1" thickBot="1" x14ac:dyDescent="0.3">
      <c r="B16" s="94"/>
      <c r="C16" s="96"/>
      <c r="D16" s="96"/>
      <c r="E16" s="96"/>
      <c r="F16" s="96"/>
      <c r="G16" s="86"/>
      <c r="H16" s="91"/>
      <c r="I16" s="91"/>
      <c r="J16" s="91"/>
      <c r="K16" s="91"/>
      <c r="L16" s="91"/>
      <c r="M16" s="91"/>
      <c r="N16" s="86"/>
      <c r="O16" s="70">
        <v>6</v>
      </c>
      <c r="P16" s="84"/>
      <c r="Q16" s="48" t="str">
        <f>LEFT(TEXT(Q15,"ddd"),1)</f>
        <v>v</v>
      </c>
      <c r="R16" s="49" t="str">
        <f t="shared" ref="R16:AR16" si="1">LEFT(TEXT(R15,"ddd"),1)</f>
        <v>s</v>
      </c>
      <c r="S16" s="49" t="str">
        <f t="shared" si="1"/>
        <v>d</v>
      </c>
      <c r="T16" s="49" t="str">
        <f t="shared" si="1"/>
        <v>l</v>
      </c>
      <c r="U16" s="49" t="str">
        <f t="shared" si="1"/>
        <v>m</v>
      </c>
      <c r="V16" s="49" t="str">
        <f t="shared" si="1"/>
        <v>m</v>
      </c>
      <c r="W16" s="50" t="str">
        <f t="shared" si="1"/>
        <v>j</v>
      </c>
      <c r="X16" s="48" t="str">
        <f t="shared" si="1"/>
        <v>v</v>
      </c>
      <c r="Y16" s="49" t="str">
        <f t="shared" si="1"/>
        <v>s</v>
      </c>
      <c r="Z16" s="49" t="str">
        <f t="shared" si="1"/>
        <v>d</v>
      </c>
      <c r="AA16" s="49" t="str">
        <f t="shared" si="1"/>
        <v>l</v>
      </c>
      <c r="AB16" s="49" t="str">
        <f t="shared" si="1"/>
        <v>m</v>
      </c>
      <c r="AC16" s="49" t="str">
        <f t="shared" si="1"/>
        <v>m</v>
      </c>
      <c r="AD16" s="50" t="str">
        <f t="shared" si="1"/>
        <v>j</v>
      </c>
      <c r="AE16" s="48" t="str">
        <f t="shared" si="1"/>
        <v>v</v>
      </c>
      <c r="AF16" s="49" t="str">
        <f t="shared" si="1"/>
        <v>s</v>
      </c>
      <c r="AG16" s="49" t="str">
        <f t="shared" si="1"/>
        <v>d</v>
      </c>
      <c r="AH16" s="49" t="str">
        <f t="shared" si="1"/>
        <v>l</v>
      </c>
      <c r="AI16" s="49" t="str">
        <f t="shared" si="1"/>
        <v>m</v>
      </c>
      <c r="AJ16" s="49" t="str">
        <f t="shared" si="1"/>
        <v>m</v>
      </c>
      <c r="AK16" s="50" t="str">
        <f t="shared" si="1"/>
        <v>j</v>
      </c>
      <c r="AL16" s="48" t="str">
        <f t="shared" si="1"/>
        <v>v</v>
      </c>
      <c r="AM16" s="49" t="str">
        <f t="shared" si="1"/>
        <v>s</v>
      </c>
      <c r="AN16" s="49" t="str">
        <f t="shared" si="1"/>
        <v>d</v>
      </c>
      <c r="AO16" s="49" t="str">
        <f t="shared" si="1"/>
        <v>l</v>
      </c>
      <c r="AP16" s="49" t="str">
        <f t="shared" si="1"/>
        <v>m</v>
      </c>
      <c r="AQ16" s="49" t="str">
        <f t="shared" si="1"/>
        <v>m</v>
      </c>
      <c r="AR16" s="50" t="str">
        <f t="shared" si="1"/>
        <v>j</v>
      </c>
    </row>
    <row r="17" spans="2:44" s="12" customFormat="1" ht="27.75" customHeight="1" x14ac:dyDescent="0.3">
      <c r="B17" s="52">
        <v>1</v>
      </c>
      <c r="C17" s="53" t="s">
        <v>48</v>
      </c>
      <c r="D17" s="54" t="s">
        <v>51</v>
      </c>
      <c r="E17" s="55">
        <v>5</v>
      </c>
      <c r="F17" s="56">
        <v>46235</v>
      </c>
      <c r="G17" s="71">
        <f ca="1">IF(F17="",E17,IF(F17&lt;=TODAY(),E17+15,E17))</f>
        <v>20</v>
      </c>
      <c r="H17" s="55">
        <v>7</v>
      </c>
      <c r="I17" s="56">
        <v>46146</v>
      </c>
      <c r="J17" s="56">
        <v>46152</v>
      </c>
      <c r="K17" s="55"/>
      <c r="L17" s="56"/>
      <c r="M17" s="56"/>
      <c r="N17" s="75">
        <f>H17+K17</f>
        <v>7</v>
      </c>
      <c r="O17" s="24" t="str">
        <f>IF(C17&lt;&gt;"",IF(N17&gt;=6,"Cumple","No cumple"),"")</f>
        <v>Cumple</v>
      </c>
      <c r="P17" s="76">
        <f ca="1">G17-N17</f>
        <v>13</v>
      </c>
      <c r="Q17" s="9"/>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1"/>
    </row>
    <row r="18" spans="2:44" s="12" customFormat="1" ht="27.75" customHeight="1" x14ac:dyDescent="0.3">
      <c r="B18" s="57">
        <v>2</v>
      </c>
      <c r="C18" s="58" t="s">
        <v>49</v>
      </c>
      <c r="D18" s="59" t="s">
        <v>52</v>
      </c>
      <c r="E18" s="60">
        <v>3</v>
      </c>
      <c r="F18" s="61">
        <v>46069</v>
      </c>
      <c r="G18" s="72">
        <f ca="1">IF(F18="",E18,IF(F18&lt;=TODAY(),E18+15,E18))</f>
        <v>18</v>
      </c>
      <c r="H18" s="55">
        <v>3</v>
      </c>
      <c r="I18" s="61">
        <v>46027</v>
      </c>
      <c r="J18" s="61">
        <v>46029</v>
      </c>
      <c r="K18" s="55">
        <v>10</v>
      </c>
      <c r="L18" s="61">
        <v>46069</v>
      </c>
      <c r="M18" s="61">
        <v>46082</v>
      </c>
      <c r="N18" s="77">
        <f>H18+K18</f>
        <v>13</v>
      </c>
      <c r="O18" s="25" t="str">
        <f>IF(C18&lt;&gt;"",IF(N18&gt;=6,"Cumple","No cumple"),"")</f>
        <v>Cumple</v>
      </c>
      <c r="P18" s="78">
        <f ca="1">G18-N18</f>
        <v>5</v>
      </c>
      <c r="Q18" s="13"/>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5"/>
    </row>
    <row r="19" spans="2:44" s="12" customFormat="1" ht="27.75" customHeight="1" x14ac:dyDescent="0.3">
      <c r="B19" s="57">
        <v>3</v>
      </c>
      <c r="C19" s="58" t="s">
        <v>50</v>
      </c>
      <c r="D19" s="59" t="s">
        <v>53</v>
      </c>
      <c r="E19" s="60">
        <v>0</v>
      </c>
      <c r="F19" s="61">
        <v>46086</v>
      </c>
      <c r="G19" s="72">
        <f t="shared" ref="G19:G81" ca="1" si="2">IF(F19="",E19,IF(F19&lt;=TODAY(),E19+15,E19))</f>
        <v>15</v>
      </c>
      <c r="H19" s="55"/>
      <c r="I19" s="61"/>
      <c r="J19" s="61"/>
      <c r="K19" s="55">
        <v>10</v>
      </c>
      <c r="L19" s="61">
        <v>46083</v>
      </c>
      <c r="M19" s="61">
        <v>46094</v>
      </c>
      <c r="N19" s="77">
        <f t="shared" ref="N19:N81" si="3">H19+K19</f>
        <v>10</v>
      </c>
      <c r="O19" s="25" t="str">
        <f t="shared" ref="O19:O81" si="4">IF(C19&lt;&gt;"",IF(N19&gt;=6,"Cumple","No cumple"),"")</f>
        <v>Cumple</v>
      </c>
      <c r="P19" s="78">
        <f t="shared" ref="P19:P81" ca="1" si="5">G19-N19</f>
        <v>5</v>
      </c>
      <c r="Q19" s="13"/>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5"/>
    </row>
    <row r="20" spans="2:44" s="12" customFormat="1" ht="27.75" customHeight="1" x14ac:dyDescent="0.3">
      <c r="B20" s="57">
        <v>4</v>
      </c>
      <c r="C20" s="58" t="s">
        <v>74</v>
      </c>
      <c r="D20" s="59" t="s">
        <v>75</v>
      </c>
      <c r="E20" s="60">
        <v>11</v>
      </c>
      <c r="F20" s="61">
        <v>46164</v>
      </c>
      <c r="G20" s="72">
        <f ca="1">IF(F20="",E20,IF(F20&lt;=TODAY(),E20+15,E20))</f>
        <v>26</v>
      </c>
      <c r="H20" s="55">
        <v>4</v>
      </c>
      <c r="I20" s="61">
        <v>46139</v>
      </c>
      <c r="J20" s="56">
        <v>46145</v>
      </c>
      <c r="K20" s="55"/>
      <c r="L20" s="56"/>
      <c r="M20" s="56"/>
      <c r="N20" s="77">
        <f t="shared" si="3"/>
        <v>4</v>
      </c>
      <c r="O20" s="25" t="str">
        <f t="shared" si="4"/>
        <v>No cumple</v>
      </c>
      <c r="P20" s="78">
        <f t="shared" ca="1" si="5"/>
        <v>22</v>
      </c>
      <c r="Q20" s="13"/>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5"/>
    </row>
    <row r="21" spans="2:44" s="12" customFormat="1" ht="27.75" customHeight="1" x14ac:dyDescent="0.3">
      <c r="B21" s="57">
        <v>5</v>
      </c>
      <c r="C21" s="62"/>
      <c r="D21" s="63"/>
      <c r="E21" s="64"/>
      <c r="F21" s="61"/>
      <c r="G21" s="73">
        <f t="shared" ca="1" si="2"/>
        <v>0</v>
      </c>
      <c r="H21" s="55"/>
      <c r="I21" s="67"/>
      <c r="J21" s="67"/>
      <c r="K21" s="55"/>
      <c r="L21" s="56"/>
      <c r="M21" s="56"/>
      <c r="N21" s="77">
        <f t="shared" si="3"/>
        <v>0</v>
      </c>
      <c r="O21" s="25" t="str">
        <f t="shared" si="4"/>
        <v/>
      </c>
      <c r="P21" s="78">
        <f t="shared" ca="1" si="5"/>
        <v>0</v>
      </c>
      <c r="Q21" s="13"/>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5"/>
    </row>
    <row r="22" spans="2:44" s="12" customFormat="1" ht="27.75" customHeight="1" x14ac:dyDescent="0.3">
      <c r="B22" s="57">
        <v>6</v>
      </c>
      <c r="C22" s="62"/>
      <c r="D22" s="63"/>
      <c r="E22" s="64"/>
      <c r="F22" s="61"/>
      <c r="G22" s="73">
        <f t="shared" ca="1" si="2"/>
        <v>0</v>
      </c>
      <c r="H22" s="55"/>
      <c r="I22" s="67"/>
      <c r="J22" s="67"/>
      <c r="K22" s="55"/>
      <c r="L22" s="56"/>
      <c r="M22" s="56"/>
      <c r="N22" s="77">
        <f t="shared" si="3"/>
        <v>0</v>
      </c>
      <c r="O22" s="25" t="str">
        <f t="shared" si="4"/>
        <v/>
      </c>
      <c r="P22" s="78">
        <f t="shared" ca="1" si="5"/>
        <v>0</v>
      </c>
      <c r="Q22" s="13"/>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5"/>
    </row>
    <row r="23" spans="2:44" s="12" customFormat="1" ht="27.75" customHeight="1" x14ac:dyDescent="0.3">
      <c r="B23" s="57">
        <v>7</v>
      </c>
      <c r="C23" s="62"/>
      <c r="D23" s="62"/>
      <c r="E23" s="62"/>
      <c r="F23" s="61"/>
      <c r="G23" s="73">
        <f t="shared" ca="1" si="2"/>
        <v>0</v>
      </c>
      <c r="H23" s="55"/>
      <c r="I23" s="56"/>
      <c r="J23" s="56"/>
      <c r="K23" s="55"/>
      <c r="L23" s="56"/>
      <c r="M23" s="56"/>
      <c r="N23" s="77">
        <f t="shared" si="3"/>
        <v>0</v>
      </c>
      <c r="O23" s="25" t="str">
        <f t="shared" si="4"/>
        <v/>
      </c>
      <c r="P23" s="78">
        <f t="shared" ca="1" si="5"/>
        <v>0</v>
      </c>
      <c r="Q23" s="13"/>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5"/>
    </row>
    <row r="24" spans="2:44" s="12" customFormat="1" ht="27.75" customHeight="1" x14ac:dyDescent="0.3">
      <c r="B24" s="57">
        <v>8</v>
      </c>
      <c r="C24" s="62"/>
      <c r="D24" s="62"/>
      <c r="E24" s="62"/>
      <c r="F24" s="61"/>
      <c r="G24" s="73">
        <f t="shared" ca="1" si="2"/>
        <v>0</v>
      </c>
      <c r="H24" s="55"/>
      <c r="I24" s="61"/>
      <c r="J24" s="61"/>
      <c r="K24" s="55"/>
      <c r="L24" s="56"/>
      <c r="M24" s="56"/>
      <c r="N24" s="77">
        <f t="shared" si="3"/>
        <v>0</v>
      </c>
      <c r="O24" s="25" t="str">
        <f t="shared" si="4"/>
        <v/>
      </c>
      <c r="P24" s="78">
        <f t="shared" ca="1" si="5"/>
        <v>0</v>
      </c>
      <c r="Q24" s="13"/>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5"/>
    </row>
    <row r="25" spans="2:44" s="12" customFormat="1" ht="27.75" customHeight="1" x14ac:dyDescent="0.3">
      <c r="B25" s="57">
        <v>9</v>
      </c>
      <c r="C25" s="62"/>
      <c r="D25" s="62"/>
      <c r="E25" s="62"/>
      <c r="F25" s="61"/>
      <c r="G25" s="73">
        <f t="shared" ca="1" si="2"/>
        <v>0</v>
      </c>
      <c r="H25" s="55"/>
      <c r="I25" s="61"/>
      <c r="J25" s="61"/>
      <c r="K25" s="55"/>
      <c r="L25" s="56"/>
      <c r="M25" s="56"/>
      <c r="N25" s="77">
        <f t="shared" si="3"/>
        <v>0</v>
      </c>
      <c r="O25" s="25" t="str">
        <f t="shared" si="4"/>
        <v/>
      </c>
      <c r="P25" s="78">
        <f t="shared" ca="1" si="5"/>
        <v>0</v>
      </c>
      <c r="Q25" s="13"/>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5"/>
    </row>
    <row r="26" spans="2:44" s="12" customFormat="1" ht="27.75" customHeight="1" x14ac:dyDescent="0.3">
      <c r="B26" s="57">
        <v>10</v>
      </c>
      <c r="C26" s="62"/>
      <c r="D26" s="62"/>
      <c r="E26" s="62"/>
      <c r="F26" s="61"/>
      <c r="G26" s="73">
        <f t="shared" ca="1" si="2"/>
        <v>0</v>
      </c>
      <c r="H26" s="55"/>
      <c r="I26" s="61"/>
      <c r="J26" s="61"/>
      <c r="K26" s="55"/>
      <c r="L26" s="56"/>
      <c r="M26" s="56"/>
      <c r="N26" s="77">
        <f t="shared" si="3"/>
        <v>0</v>
      </c>
      <c r="O26" s="25" t="str">
        <f t="shared" si="4"/>
        <v/>
      </c>
      <c r="P26" s="78">
        <f t="shared" ca="1" si="5"/>
        <v>0</v>
      </c>
      <c r="Q26" s="13"/>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5"/>
    </row>
    <row r="27" spans="2:44" s="12" customFormat="1" ht="27.75" customHeight="1" x14ac:dyDescent="0.3">
      <c r="B27" s="57">
        <v>11</v>
      </c>
      <c r="C27" s="62"/>
      <c r="D27" s="62"/>
      <c r="E27" s="62"/>
      <c r="F27" s="61"/>
      <c r="G27" s="73">
        <f t="shared" ca="1" si="2"/>
        <v>0</v>
      </c>
      <c r="H27" s="55"/>
      <c r="I27" s="67"/>
      <c r="J27" s="67"/>
      <c r="K27" s="55"/>
      <c r="L27" s="56"/>
      <c r="M27" s="56"/>
      <c r="N27" s="77">
        <f t="shared" si="3"/>
        <v>0</v>
      </c>
      <c r="O27" s="25" t="str">
        <f t="shared" si="4"/>
        <v/>
      </c>
      <c r="P27" s="78">
        <f t="shared" ca="1" si="5"/>
        <v>0</v>
      </c>
      <c r="Q27" s="13"/>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5"/>
    </row>
    <row r="28" spans="2:44" s="12" customFormat="1" ht="27.75" customHeight="1" x14ac:dyDescent="0.3">
      <c r="B28" s="57">
        <v>12</v>
      </c>
      <c r="C28" s="62"/>
      <c r="D28" s="62"/>
      <c r="E28" s="62"/>
      <c r="F28" s="61"/>
      <c r="G28" s="73">
        <f t="shared" ca="1" si="2"/>
        <v>0</v>
      </c>
      <c r="H28" s="55"/>
      <c r="I28" s="67"/>
      <c r="J28" s="67"/>
      <c r="K28" s="55"/>
      <c r="L28" s="56"/>
      <c r="M28" s="56"/>
      <c r="N28" s="77">
        <f t="shared" si="3"/>
        <v>0</v>
      </c>
      <c r="O28" s="25" t="str">
        <f t="shared" si="4"/>
        <v/>
      </c>
      <c r="P28" s="78">
        <f t="shared" ca="1" si="5"/>
        <v>0</v>
      </c>
      <c r="Q28" s="13"/>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5"/>
    </row>
    <row r="29" spans="2:44" s="12" customFormat="1" ht="27.75" customHeight="1" x14ac:dyDescent="0.3">
      <c r="B29" s="57">
        <v>13</v>
      </c>
      <c r="C29" s="62"/>
      <c r="D29" s="62"/>
      <c r="E29" s="62"/>
      <c r="F29" s="61"/>
      <c r="G29" s="73">
        <f t="shared" ca="1" si="2"/>
        <v>0</v>
      </c>
      <c r="H29" s="55"/>
      <c r="I29" s="56"/>
      <c r="J29" s="56"/>
      <c r="K29" s="55"/>
      <c r="L29" s="56"/>
      <c r="M29" s="56"/>
      <c r="N29" s="77">
        <f t="shared" si="3"/>
        <v>0</v>
      </c>
      <c r="O29" s="25" t="str">
        <f t="shared" si="4"/>
        <v/>
      </c>
      <c r="P29" s="78">
        <f t="shared" ca="1" si="5"/>
        <v>0</v>
      </c>
      <c r="Q29" s="13"/>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5"/>
    </row>
    <row r="30" spans="2:44" s="12" customFormat="1" ht="27.75" customHeight="1" x14ac:dyDescent="0.3">
      <c r="B30" s="57">
        <v>14</v>
      </c>
      <c r="C30" s="62"/>
      <c r="D30" s="62"/>
      <c r="E30" s="62"/>
      <c r="F30" s="61"/>
      <c r="G30" s="73">
        <f t="shared" ca="1" si="2"/>
        <v>0</v>
      </c>
      <c r="H30" s="55"/>
      <c r="I30" s="61"/>
      <c r="J30" s="61"/>
      <c r="K30" s="55"/>
      <c r="L30" s="56"/>
      <c r="M30" s="56"/>
      <c r="N30" s="77">
        <f t="shared" si="3"/>
        <v>0</v>
      </c>
      <c r="O30" s="25" t="str">
        <f t="shared" si="4"/>
        <v/>
      </c>
      <c r="P30" s="78">
        <f t="shared" ca="1" si="5"/>
        <v>0</v>
      </c>
      <c r="Q30" s="13"/>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5"/>
    </row>
    <row r="31" spans="2:44" s="12" customFormat="1" ht="27.75" customHeight="1" x14ac:dyDescent="0.3">
      <c r="B31" s="57">
        <v>15</v>
      </c>
      <c r="C31" s="62"/>
      <c r="D31" s="62"/>
      <c r="E31" s="62"/>
      <c r="F31" s="61"/>
      <c r="G31" s="73">
        <f t="shared" ca="1" si="2"/>
        <v>0</v>
      </c>
      <c r="H31" s="55"/>
      <c r="I31" s="61"/>
      <c r="J31" s="61"/>
      <c r="K31" s="55"/>
      <c r="L31" s="56"/>
      <c r="M31" s="56"/>
      <c r="N31" s="77">
        <f t="shared" si="3"/>
        <v>0</v>
      </c>
      <c r="O31" s="25" t="str">
        <f t="shared" si="4"/>
        <v/>
      </c>
      <c r="P31" s="78">
        <f t="shared" ca="1" si="5"/>
        <v>0</v>
      </c>
      <c r="Q31" s="13"/>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5"/>
    </row>
    <row r="32" spans="2:44" s="12" customFormat="1" ht="27.75" customHeight="1" x14ac:dyDescent="0.3">
      <c r="B32" s="57">
        <v>16</v>
      </c>
      <c r="C32" s="62"/>
      <c r="D32" s="62"/>
      <c r="E32" s="62"/>
      <c r="F32" s="61"/>
      <c r="G32" s="73">
        <f t="shared" ca="1" si="2"/>
        <v>0</v>
      </c>
      <c r="H32" s="55"/>
      <c r="I32" s="61"/>
      <c r="J32" s="61"/>
      <c r="K32" s="55"/>
      <c r="L32" s="56"/>
      <c r="M32" s="56"/>
      <c r="N32" s="77">
        <f t="shared" si="3"/>
        <v>0</v>
      </c>
      <c r="O32" s="25" t="str">
        <f t="shared" si="4"/>
        <v/>
      </c>
      <c r="P32" s="78">
        <f t="shared" ca="1" si="5"/>
        <v>0</v>
      </c>
      <c r="Q32" s="13"/>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5"/>
    </row>
    <row r="33" spans="2:44" s="12" customFormat="1" ht="27.75" customHeight="1" x14ac:dyDescent="0.3">
      <c r="B33" s="57">
        <v>17</v>
      </c>
      <c r="C33" s="62"/>
      <c r="D33" s="62"/>
      <c r="E33" s="62"/>
      <c r="F33" s="61"/>
      <c r="G33" s="73">
        <f t="shared" ca="1" si="2"/>
        <v>0</v>
      </c>
      <c r="H33" s="55"/>
      <c r="I33" s="67"/>
      <c r="J33" s="67"/>
      <c r="K33" s="55"/>
      <c r="L33" s="56"/>
      <c r="M33" s="56"/>
      <c r="N33" s="77">
        <f t="shared" si="3"/>
        <v>0</v>
      </c>
      <c r="O33" s="25" t="str">
        <f t="shared" si="4"/>
        <v/>
      </c>
      <c r="P33" s="78">
        <f t="shared" ca="1" si="5"/>
        <v>0</v>
      </c>
      <c r="Q33" s="13"/>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5"/>
    </row>
    <row r="34" spans="2:44" s="12" customFormat="1" ht="27.75" customHeight="1" x14ac:dyDescent="0.3">
      <c r="B34" s="57">
        <v>18</v>
      </c>
      <c r="C34" s="62"/>
      <c r="D34" s="62"/>
      <c r="E34" s="62"/>
      <c r="F34" s="61"/>
      <c r="G34" s="73">
        <f t="shared" ca="1" si="2"/>
        <v>0</v>
      </c>
      <c r="H34" s="55"/>
      <c r="I34" s="67"/>
      <c r="J34" s="67"/>
      <c r="K34" s="55"/>
      <c r="L34" s="56"/>
      <c r="M34" s="56"/>
      <c r="N34" s="77">
        <f t="shared" si="3"/>
        <v>0</v>
      </c>
      <c r="O34" s="25" t="str">
        <f t="shared" si="4"/>
        <v/>
      </c>
      <c r="P34" s="78">
        <f t="shared" ca="1" si="5"/>
        <v>0</v>
      </c>
      <c r="Q34" s="13"/>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5"/>
    </row>
    <row r="35" spans="2:44" s="12" customFormat="1" ht="27.75" customHeight="1" x14ac:dyDescent="0.3">
      <c r="B35" s="57">
        <v>19</v>
      </c>
      <c r="C35" s="62"/>
      <c r="D35" s="62"/>
      <c r="E35" s="62"/>
      <c r="F35" s="61"/>
      <c r="G35" s="73">
        <f t="shared" ca="1" si="2"/>
        <v>0</v>
      </c>
      <c r="H35" s="55"/>
      <c r="I35" s="56"/>
      <c r="J35" s="56"/>
      <c r="K35" s="55"/>
      <c r="L35" s="56"/>
      <c r="M35" s="56"/>
      <c r="N35" s="77">
        <f t="shared" si="3"/>
        <v>0</v>
      </c>
      <c r="O35" s="25" t="str">
        <f t="shared" si="4"/>
        <v/>
      </c>
      <c r="P35" s="78">
        <f t="shared" ca="1" si="5"/>
        <v>0</v>
      </c>
      <c r="Q35" s="13"/>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5"/>
    </row>
    <row r="36" spans="2:44" s="12" customFormat="1" ht="27.75" customHeight="1" x14ac:dyDescent="0.3">
      <c r="B36" s="57">
        <v>20</v>
      </c>
      <c r="C36" s="62"/>
      <c r="D36" s="62"/>
      <c r="E36" s="62"/>
      <c r="F36" s="61"/>
      <c r="G36" s="73">
        <f t="shared" ca="1" si="2"/>
        <v>0</v>
      </c>
      <c r="H36" s="55"/>
      <c r="I36" s="61"/>
      <c r="J36" s="61"/>
      <c r="K36" s="55"/>
      <c r="L36" s="56"/>
      <c r="M36" s="56"/>
      <c r="N36" s="77">
        <f t="shared" si="3"/>
        <v>0</v>
      </c>
      <c r="O36" s="25" t="str">
        <f t="shared" si="4"/>
        <v/>
      </c>
      <c r="P36" s="78">
        <f t="shared" ca="1" si="5"/>
        <v>0</v>
      </c>
      <c r="Q36" s="13"/>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5"/>
    </row>
    <row r="37" spans="2:44" s="12" customFormat="1" ht="27.75" customHeight="1" x14ac:dyDescent="0.3">
      <c r="B37" s="57">
        <v>21</v>
      </c>
      <c r="C37" s="62"/>
      <c r="D37" s="62"/>
      <c r="E37" s="62"/>
      <c r="F37" s="61"/>
      <c r="G37" s="73">
        <f t="shared" ca="1" si="2"/>
        <v>0</v>
      </c>
      <c r="H37" s="55"/>
      <c r="I37" s="61"/>
      <c r="J37" s="61"/>
      <c r="K37" s="55"/>
      <c r="L37" s="56"/>
      <c r="M37" s="56"/>
      <c r="N37" s="77">
        <f t="shared" si="3"/>
        <v>0</v>
      </c>
      <c r="O37" s="25" t="str">
        <f t="shared" si="4"/>
        <v/>
      </c>
      <c r="P37" s="78">
        <f t="shared" ca="1" si="5"/>
        <v>0</v>
      </c>
      <c r="Q37" s="13"/>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5"/>
    </row>
    <row r="38" spans="2:44" s="12" customFormat="1" ht="27.75" customHeight="1" x14ac:dyDescent="0.3">
      <c r="B38" s="57">
        <v>22</v>
      </c>
      <c r="C38" s="62"/>
      <c r="D38" s="62"/>
      <c r="E38" s="62"/>
      <c r="F38" s="61"/>
      <c r="G38" s="73">
        <f t="shared" ca="1" si="2"/>
        <v>0</v>
      </c>
      <c r="H38" s="55"/>
      <c r="I38" s="61"/>
      <c r="J38" s="61"/>
      <c r="K38" s="55"/>
      <c r="L38" s="56"/>
      <c r="M38" s="56"/>
      <c r="N38" s="77">
        <f t="shared" si="3"/>
        <v>0</v>
      </c>
      <c r="O38" s="25" t="str">
        <f t="shared" si="4"/>
        <v/>
      </c>
      <c r="P38" s="78">
        <f t="shared" ca="1" si="5"/>
        <v>0</v>
      </c>
      <c r="Q38" s="13"/>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5"/>
    </row>
    <row r="39" spans="2:44" s="12" customFormat="1" ht="27.75" customHeight="1" x14ac:dyDescent="0.3">
      <c r="B39" s="57">
        <v>23</v>
      </c>
      <c r="C39" s="62"/>
      <c r="D39" s="62"/>
      <c r="E39" s="62"/>
      <c r="F39" s="61"/>
      <c r="G39" s="73">
        <f t="shared" ca="1" si="2"/>
        <v>0</v>
      </c>
      <c r="H39" s="55"/>
      <c r="I39" s="67"/>
      <c r="J39" s="67"/>
      <c r="K39" s="55"/>
      <c r="L39" s="56"/>
      <c r="M39" s="56"/>
      <c r="N39" s="77">
        <f t="shared" si="3"/>
        <v>0</v>
      </c>
      <c r="O39" s="25" t="str">
        <f t="shared" si="4"/>
        <v/>
      </c>
      <c r="P39" s="78">
        <f t="shared" ca="1" si="5"/>
        <v>0</v>
      </c>
      <c r="Q39" s="13"/>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5"/>
    </row>
    <row r="40" spans="2:44" s="12" customFormat="1" ht="27.75" customHeight="1" x14ac:dyDescent="0.3">
      <c r="B40" s="57">
        <v>24</v>
      </c>
      <c r="C40" s="62"/>
      <c r="D40" s="62"/>
      <c r="E40" s="62"/>
      <c r="F40" s="61"/>
      <c r="G40" s="73">
        <f t="shared" ca="1" si="2"/>
        <v>0</v>
      </c>
      <c r="H40" s="55"/>
      <c r="I40" s="67"/>
      <c r="J40" s="67"/>
      <c r="K40" s="55"/>
      <c r="L40" s="56"/>
      <c r="M40" s="56"/>
      <c r="N40" s="77">
        <f t="shared" si="3"/>
        <v>0</v>
      </c>
      <c r="O40" s="25" t="str">
        <f t="shared" si="4"/>
        <v/>
      </c>
      <c r="P40" s="78">
        <f t="shared" ca="1" si="5"/>
        <v>0</v>
      </c>
      <c r="Q40" s="13"/>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5"/>
    </row>
    <row r="41" spans="2:44" s="12" customFormat="1" ht="27.75" customHeight="1" x14ac:dyDescent="0.3">
      <c r="B41" s="57">
        <v>25</v>
      </c>
      <c r="C41" s="62"/>
      <c r="D41" s="62"/>
      <c r="E41" s="62"/>
      <c r="F41" s="61"/>
      <c r="G41" s="73">
        <f t="shared" ca="1" si="2"/>
        <v>0</v>
      </c>
      <c r="H41" s="55"/>
      <c r="I41" s="56"/>
      <c r="J41" s="56"/>
      <c r="K41" s="55"/>
      <c r="L41" s="56"/>
      <c r="M41" s="56"/>
      <c r="N41" s="77">
        <f t="shared" si="3"/>
        <v>0</v>
      </c>
      <c r="O41" s="25" t="str">
        <f t="shared" si="4"/>
        <v/>
      </c>
      <c r="P41" s="78">
        <f t="shared" ca="1" si="5"/>
        <v>0</v>
      </c>
      <c r="Q41" s="13"/>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5"/>
    </row>
    <row r="42" spans="2:44" s="12" customFormat="1" ht="27.75" customHeight="1" x14ac:dyDescent="0.3">
      <c r="B42" s="57">
        <v>26</v>
      </c>
      <c r="C42" s="62"/>
      <c r="D42" s="62"/>
      <c r="E42" s="62"/>
      <c r="F42" s="61"/>
      <c r="G42" s="73">
        <f t="shared" ca="1" si="2"/>
        <v>0</v>
      </c>
      <c r="H42" s="55"/>
      <c r="I42" s="61"/>
      <c r="J42" s="61"/>
      <c r="K42" s="55"/>
      <c r="L42" s="56"/>
      <c r="M42" s="56"/>
      <c r="N42" s="77">
        <f t="shared" si="3"/>
        <v>0</v>
      </c>
      <c r="O42" s="25" t="str">
        <f t="shared" si="4"/>
        <v/>
      </c>
      <c r="P42" s="78">
        <f t="shared" ca="1" si="5"/>
        <v>0</v>
      </c>
      <c r="Q42" s="13"/>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5"/>
    </row>
    <row r="43" spans="2:44" s="12" customFormat="1" ht="27.75" customHeight="1" x14ac:dyDescent="0.3">
      <c r="B43" s="57">
        <v>27</v>
      </c>
      <c r="C43" s="62"/>
      <c r="D43" s="62"/>
      <c r="E43" s="62"/>
      <c r="F43" s="61"/>
      <c r="G43" s="73">
        <f t="shared" ca="1" si="2"/>
        <v>0</v>
      </c>
      <c r="H43" s="55"/>
      <c r="I43" s="61"/>
      <c r="J43" s="61"/>
      <c r="K43" s="55"/>
      <c r="L43" s="56"/>
      <c r="M43" s="56"/>
      <c r="N43" s="77">
        <f t="shared" si="3"/>
        <v>0</v>
      </c>
      <c r="O43" s="25" t="str">
        <f t="shared" si="4"/>
        <v/>
      </c>
      <c r="P43" s="78">
        <f t="shared" ca="1" si="5"/>
        <v>0</v>
      </c>
      <c r="Q43" s="13"/>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5"/>
    </row>
    <row r="44" spans="2:44" s="12" customFormat="1" ht="27.75" customHeight="1" x14ac:dyDescent="0.3">
      <c r="B44" s="57">
        <v>28</v>
      </c>
      <c r="C44" s="62"/>
      <c r="D44" s="62"/>
      <c r="E44" s="62"/>
      <c r="F44" s="61"/>
      <c r="G44" s="73">
        <f t="shared" ca="1" si="2"/>
        <v>0</v>
      </c>
      <c r="H44" s="55"/>
      <c r="I44" s="61"/>
      <c r="J44" s="61"/>
      <c r="K44" s="55"/>
      <c r="L44" s="56"/>
      <c r="M44" s="56"/>
      <c r="N44" s="77">
        <f t="shared" si="3"/>
        <v>0</v>
      </c>
      <c r="O44" s="25" t="str">
        <f t="shared" si="4"/>
        <v/>
      </c>
      <c r="P44" s="78">
        <f t="shared" ca="1" si="5"/>
        <v>0</v>
      </c>
      <c r="Q44" s="13"/>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5"/>
    </row>
    <row r="45" spans="2:44" s="12" customFormat="1" ht="27.75" customHeight="1" x14ac:dyDescent="0.3">
      <c r="B45" s="57">
        <v>29</v>
      </c>
      <c r="C45" s="62"/>
      <c r="D45" s="62"/>
      <c r="E45" s="62"/>
      <c r="F45" s="61"/>
      <c r="G45" s="73">
        <f t="shared" ca="1" si="2"/>
        <v>0</v>
      </c>
      <c r="H45" s="55"/>
      <c r="I45" s="67"/>
      <c r="J45" s="67"/>
      <c r="K45" s="55"/>
      <c r="L45" s="56"/>
      <c r="M45" s="56"/>
      <c r="N45" s="77">
        <f t="shared" si="3"/>
        <v>0</v>
      </c>
      <c r="O45" s="25" t="str">
        <f t="shared" si="4"/>
        <v/>
      </c>
      <c r="P45" s="78">
        <f t="shared" ca="1" si="5"/>
        <v>0</v>
      </c>
      <c r="Q45" s="13"/>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5"/>
    </row>
    <row r="46" spans="2:44" s="12" customFormat="1" ht="27.75" customHeight="1" x14ac:dyDescent="0.3">
      <c r="B46" s="57">
        <v>30</v>
      </c>
      <c r="C46" s="62"/>
      <c r="D46" s="62"/>
      <c r="E46" s="62"/>
      <c r="F46" s="61"/>
      <c r="G46" s="73">
        <f t="shared" ca="1" si="2"/>
        <v>0</v>
      </c>
      <c r="H46" s="55"/>
      <c r="I46" s="67"/>
      <c r="J46" s="67"/>
      <c r="K46" s="55"/>
      <c r="L46" s="56"/>
      <c r="M46" s="56"/>
      <c r="N46" s="77">
        <f t="shared" si="3"/>
        <v>0</v>
      </c>
      <c r="O46" s="25" t="str">
        <f t="shared" si="4"/>
        <v/>
      </c>
      <c r="P46" s="78">
        <f t="shared" ca="1" si="5"/>
        <v>0</v>
      </c>
      <c r="Q46" s="13"/>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5"/>
    </row>
    <row r="47" spans="2:44" s="12" customFormat="1" ht="27.75" customHeight="1" x14ac:dyDescent="0.3">
      <c r="B47" s="57">
        <v>31</v>
      </c>
      <c r="C47" s="62"/>
      <c r="D47" s="62"/>
      <c r="E47" s="62"/>
      <c r="F47" s="61"/>
      <c r="G47" s="73">
        <f t="shared" ca="1" si="2"/>
        <v>0</v>
      </c>
      <c r="H47" s="55"/>
      <c r="I47" s="56"/>
      <c r="J47" s="56"/>
      <c r="K47" s="55"/>
      <c r="L47" s="56"/>
      <c r="M47" s="56"/>
      <c r="N47" s="77">
        <f t="shared" si="3"/>
        <v>0</v>
      </c>
      <c r="O47" s="25" t="str">
        <f t="shared" si="4"/>
        <v/>
      </c>
      <c r="P47" s="78">
        <f t="shared" ca="1" si="5"/>
        <v>0</v>
      </c>
      <c r="Q47" s="13"/>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5"/>
    </row>
    <row r="48" spans="2:44" s="12" customFormat="1" ht="27.75" customHeight="1" x14ac:dyDescent="0.3">
      <c r="B48" s="57">
        <v>32</v>
      </c>
      <c r="C48" s="62"/>
      <c r="D48" s="62"/>
      <c r="E48" s="62"/>
      <c r="F48" s="61"/>
      <c r="G48" s="73">
        <f t="shared" ca="1" si="2"/>
        <v>0</v>
      </c>
      <c r="H48" s="55"/>
      <c r="I48" s="61"/>
      <c r="J48" s="61"/>
      <c r="K48" s="55"/>
      <c r="L48" s="56"/>
      <c r="M48" s="56"/>
      <c r="N48" s="77">
        <f t="shared" si="3"/>
        <v>0</v>
      </c>
      <c r="O48" s="25" t="str">
        <f t="shared" si="4"/>
        <v/>
      </c>
      <c r="P48" s="78">
        <f t="shared" ca="1" si="5"/>
        <v>0</v>
      </c>
      <c r="Q48" s="13"/>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5"/>
    </row>
    <row r="49" spans="2:44" s="12" customFormat="1" ht="27.75" customHeight="1" x14ac:dyDescent="0.3">
      <c r="B49" s="57">
        <v>33</v>
      </c>
      <c r="C49" s="62"/>
      <c r="D49" s="62"/>
      <c r="E49" s="62"/>
      <c r="F49" s="61"/>
      <c r="G49" s="73">
        <f t="shared" ca="1" si="2"/>
        <v>0</v>
      </c>
      <c r="H49" s="55"/>
      <c r="I49" s="61"/>
      <c r="J49" s="61"/>
      <c r="K49" s="55"/>
      <c r="L49" s="56"/>
      <c r="M49" s="56"/>
      <c r="N49" s="77">
        <f t="shared" si="3"/>
        <v>0</v>
      </c>
      <c r="O49" s="25" t="str">
        <f t="shared" si="4"/>
        <v/>
      </c>
      <c r="P49" s="78">
        <f t="shared" ca="1" si="5"/>
        <v>0</v>
      </c>
      <c r="Q49" s="13"/>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5"/>
    </row>
    <row r="50" spans="2:44" s="12" customFormat="1" ht="27.75" customHeight="1" x14ac:dyDescent="0.3">
      <c r="B50" s="57">
        <v>34</v>
      </c>
      <c r="C50" s="62"/>
      <c r="D50" s="62"/>
      <c r="E50" s="62"/>
      <c r="F50" s="61"/>
      <c r="G50" s="73">
        <f t="shared" ca="1" si="2"/>
        <v>0</v>
      </c>
      <c r="H50" s="55"/>
      <c r="I50" s="61"/>
      <c r="J50" s="61"/>
      <c r="K50" s="55"/>
      <c r="L50" s="56"/>
      <c r="M50" s="56"/>
      <c r="N50" s="77">
        <f t="shared" si="3"/>
        <v>0</v>
      </c>
      <c r="O50" s="25" t="str">
        <f t="shared" si="4"/>
        <v/>
      </c>
      <c r="P50" s="78">
        <f t="shared" ca="1" si="5"/>
        <v>0</v>
      </c>
      <c r="Q50" s="13"/>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5"/>
    </row>
    <row r="51" spans="2:44" s="12" customFormat="1" ht="27.75" customHeight="1" x14ac:dyDescent="0.3">
      <c r="B51" s="57">
        <v>35</v>
      </c>
      <c r="C51" s="62"/>
      <c r="D51" s="62"/>
      <c r="E51" s="62"/>
      <c r="F51" s="61"/>
      <c r="G51" s="73">
        <f t="shared" ca="1" si="2"/>
        <v>0</v>
      </c>
      <c r="H51" s="55"/>
      <c r="I51" s="67"/>
      <c r="J51" s="67"/>
      <c r="K51" s="55"/>
      <c r="L51" s="56"/>
      <c r="M51" s="56"/>
      <c r="N51" s="77">
        <f t="shared" si="3"/>
        <v>0</v>
      </c>
      <c r="O51" s="25" t="str">
        <f t="shared" si="4"/>
        <v/>
      </c>
      <c r="P51" s="78">
        <f t="shared" ca="1" si="5"/>
        <v>0</v>
      </c>
      <c r="Q51" s="13"/>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5"/>
    </row>
    <row r="52" spans="2:44" s="12" customFormat="1" ht="27.75" customHeight="1" x14ac:dyDescent="0.3">
      <c r="B52" s="57">
        <v>36</v>
      </c>
      <c r="C52" s="62"/>
      <c r="D52" s="62"/>
      <c r="E52" s="62"/>
      <c r="F52" s="61"/>
      <c r="G52" s="73">
        <f t="shared" ca="1" si="2"/>
        <v>0</v>
      </c>
      <c r="H52" s="55"/>
      <c r="I52" s="67"/>
      <c r="J52" s="67"/>
      <c r="K52" s="55"/>
      <c r="L52" s="56"/>
      <c r="M52" s="56"/>
      <c r="N52" s="77">
        <f t="shared" si="3"/>
        <v>0</v>
      </c>
      <c r="O52" s="25" t="str">
        <f t="shared" si="4"/>
        <v/>
      </c>
      <c r="P52" s="78">
        <f t="shared" ca="1" si="5"/>
        <v>0</v>
      </c>
      <c r="Q52" s="13"/>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5"/>
    </row>
    <row r="53" spans="2:44" s="12" customFormat="1" ht="27.75" customHeight="1" x14ac:dyDescent="0.3">
      <c r="B53" s="57">
        <v>37</v>
      </c>
      <c r="C53" s="62"/>
      <c r="D53" s="62"/>
      <c r="E53" s="62"/>
      <c r="F53" s="61"/>
      <c r="G53" s="73">
        <f t="shared" ca="1" si="2"/>
        <v>0</v>
      </c>
      <c r="H53" s="55"/>
      <c r="I53" s="56"/>
      <c r="J53" s="56"/>
      <c r="K53" s="55"/>
      <c r="L53" s="56"/>
      <c r="M53" s="56"/>
      <c r="N53" s="77">
        <f t="shared" si="3"/>
        <v>0</v>
      </c>
      <c r="O53" s="25" t="str">
        <f t="shared" si="4"/>
        <v/>
      </c>
      <c r="P53" s="78">
        <f t="shared" ca="1" si="5"/>
        <v>0</v>
      </c>
      <c r="Q53" s="13"/>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5"/>
    </row>
    <row r="54" spans="2:44" s="12" customFormat="1" ht="27.75" customHeight="1" x14ac:dyDescent="0.3">
      <c r="B54" s="57">
        <v>38</v>
      </c>
      <c r="C54" s="62"/>
      <c r="D54" s="62"/>
      <c r="E54" s="62"/>
      <c r="F54" s="61"/>
      <c r="G54" s="73">
        <f t="shared" ca="1" si="2"/>
        <v>0</v>
      </c>
      <c r="H54" s="55"/>
      <c r="I54" s="61"/>
      <c r="J54" s="61"/>
      <c r="K54" s="55"/>
      <c r="L54" s="56"/>
      <c r="M54" s="56"/>
      <c r="N54" s="77">
        <f t="shared" si="3"/>
        <v>0</v>
      </c>
      <c r="O54" s="25" t="str">
        <f t="shared" si="4"/>
        <v/>
      </c>
      <c r="P54" s="78">
        <f t="shared" ca="1" si="5"/>
        <v>0</v>
      </c>
      <c r="Q54" s="13"/>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5"/>
    </row>
    <row r="55" spans="2:44" s="12" customFormat="1" ht="27.75" customHeight="1" x14ac:dyDescent="0.3">
      <c r="B55" s="57">
        <v>39</v>
      </c>
      <c r="C55" s="62"/>
      <c r="D55" s="62"/>
      <c r="E55" s="62"/>
      <c r="F55" s="61"/>
      <c r="G55" s="73">
        <f t="shared" ca="1" si="2"/>
        <v>0</v>
      </c>
      <c r="H55" s="55"/>
      <c r="I55" s="61"/>
      <c r="J55" s="61"/>
      <c r="K55" s="55"/>
      <c r="L55" s="56"/>
      <c r="M55" s="56"/>
      <c r="N55" s="77">
        <f t="shared" si="3"/>
        <v>0</v>
      </c>
      <c r="O55" s="25" t="str">
        <f t="shared" si="4"/>
        <v/>
      </c>
      <c r="P55" s="78">
        <f t="shared" ca="1" si="5"/>
        <v>0</v>
      </c>
      <c r="Q55" s="13"/>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5"/>
    </row>
    <row r="56" spans="2:44" s="12" customFormat="1" ht="27.75" customHeight="1" x14ac:dyDescent="0.3">
      <c r="B56" s="57">
        <v>40</v>
      </c>
      <c r="C56" s="62"/>
      <c r="D56" s="62"/>
      <c r="E56" s="62"/>
      <c r="F56" s="61"/>
      <c r="G56" s="73">
        <f t="shared" ca="1" si="2"/>
        <v>0</v>
      </c>
      <c r="H56" s="55"/>
      <c r="I56" s="61"/>
      <c r="J56" s="61"/>
      <c r="K56" s="55"/>
      <c r="L56" s="56"/>
      <c r="M56" s="56"/>
      <c r="N56" s="77">
        <f t="shared" si="3"/>
        <v>0</v>
      </c>
      <c r="O56" s="25" t="str">
        <f t="shared" si="4"/>
        <v/>
      </c>
      <c r="P56" s="78">
        <f t="shared" ca="1" si="5"/>
        <v>0</v>
      </c>
      <c r="Q56" s="13"/>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5"/>
    </row>
    <row r="57" spans="2:44" s="12" customFormat="1" ht="27.75" customHeight="1" x14ac:dyDescent="0.3">
      <c r="B57" s="57">
        <v>41</v>
      </c>
      <c r="C57" s="62"/>
      <c r="D57" s="62"/>
      <c r="E57" s="62"/>
      <c r="F57" s="61"/>
      <c r="G57" s="73">
        <f t="shared" ca="1" si="2"/>
        <v>0</v>
      </c>
      <c r="H57" s="55"/>
      <c r="I57" s="67"/>
      <c r="J57" s="67"/>
      <c r="K57" s="55"/>
      <c r="L57" s="56"/>
      <c r="M57" s="56"/>
      <c r="N57" s="77">
        <f t="shared" si="3"/>
        <v>0</v>
      </c>
      <c r="O57" s="25" t="str">
        <f t="shared" si="4"/>
        <v/>
      </c>
      <c r="P57" s="78">
        <f t="shared" ca="1" si="5"/>
        <v>0</v>
      </c>
      <c r="Q57" s="13"/>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5"/>
    </row>
    <row r="58" spans="2:44" s="12" customFormat="1" ht="27.75" customHeight="1" x14ac:dyDescent="0.3">
      <c r="B58" s="57">
        <v>42</v>
      </c>
      <c r="C58" s="62"/>
      <c r="D58" s="62"/>
      <c r="E58" s="62"/>
      <c r="F58" s="61"/>
      <c r="G58" s="73">
        <f t="shared" ca="1" si="2"/>
        <v>0</v>
      </c>
      <c r="H58" s="55"/>
      <c r="I58" s="67"/>
      <c r="J58" s="67"/>
      <c r="K58" s="55"/>
      <c r="L58" s="56"/>
      <c r="M58" s="56"/>
      <c r="N58" s="77">
        <f t="shared" si="3"/>
        <v>0</v>
      </c>
      <c r="O58" s="25" t="str">
        <f t="shared" si="4"/>
        <v/>
      </c>
      <c r="P58" s="78">
        <f t="shared" ca="1" si="5"/>
        <v>0</v>
      </c>
      <c r="Q58" s="13"/>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5"/>
    </row>
    <row r="59" spans="2:44" s="12" customFormat="1" ht="27.75" customHeight="1" x14ac:dyDescent="0.3">
      <c r="B59" s="57">
        <v>43</v>
      </c>
      <c r="C59" s="62"/>
      <c r="D59" s="62"/>
      <c r="E59" s="62"/>
      <c r="F59" s="61"/>
      <c r="G59" s="73">
        <f t="shared" ca="1" si="2"/>
        <v>0</v>
      </c>
      <c r="H59" s="55"/>
      <c r="I59" s="56"/>
      <c r="J59" s="56"/>
      <c r="K59" s="55"/>
      <c r="L59" s="56"/>
      <c r="M59" s="56"/>
      <c r="N59" s="77">
        <f t="shared" si="3"/>
        <v>0</v>
      </c>
      <c r="O59" s="25" t="str">
        <f t="shared" si="4"/>
        <v/>
      </c>
      <c r="P59" s="78">
        <f t="shared" ca="1" si="5"/>
        <v>0</v>
      </c>
      <c r="Q59" s="13"/>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5"/>
    </row>
    <row r="60" spans="2:44" s="12" customFormat="1" ht="27.75" customHeight="1" x14ac:dyDescent="0.3">
      <c r="B60" s="57">
        <v>44</v>
      </c>
      <c r="C60" s="62"/>
      <c r="D60" s="62"/>
      <c r="E60" s="62"/>
      <c r="F60" s="61"/>
      <c r="G60" s="73">
        <f t="shared" ca="1" si="2"/>
        <v>0</v>
      </c>
      <c r="H60" s="55"/>
      <c r="I60" s="61"/>
      <c r="J60" s="61"/>
      <c r="K60" s="55"/>
      <c r="L60" s="56"/>
      <c r="M60" s="56"/>
      <c r="N60" s="77">
        <f t="shared" si="3"/>
        <v>0</v>
      </c>
      <c r="O60" s="25" t="str">
        <f t="shared" si="4"/>
        <v/>
      </c>
      <c r="P60" s="78">
        <f t="shared" ca="1" si="5"/>
        <v>0</v>
      </c>
      <c r="Q60" s="13"/>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5"/>
    </row>
    <row r="61" spans="2:44" s="12" customFormat="1" ht="27.75" customHeight="1" x14ac:dyDescent="0.3">
      <c r="B61" s="57">
        <v>45</v>
      </c>
      <c r="C61" s="62"/>
      <c r="D61" s="62"/>
      <c r="E61" s="62"/>
      <c r="F61" s="61"/>
      <c r="G61" s="73">
        <f t="shared" ca="1" si="2"/>
        <v>0</v>
      </c>
      <c r="H61" s="55"/>
      <c r="I61" s="61"/>
      <c r="J61" s="61"/>
      <c r="K61" s="55"/>
      <c r="L61" s="56"/>
      <c r="M61" s="56"/>
      <c r="N61" s="77">
        <f t="shared" si="3"/>
        <v>0</v>
      </c>
      <c r="O61" s="25" t="str">
        <f t="shared" si="4"/>
        <v/>
      </c>
      <c r="P61" s="78">
        <f t="shared" ca="1" si="5"/>
        <v>0</v>
      </c>
      <c r="Q61" s="13"/>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5"/>
    </row>
    <row r="62" spans="2:44" s="12" customFormat="1" ht="27.75" customHeight="1" x14ac:dyDescent="0.3">
      <c r="B62" s="57">
        <v>46</v>
      </c>
      <c r="C62" s="62"/>
      <c r="D62" s="62"/>
      <c r="E62" s="62"/>
      <c r="F62" s="61"/>
      <c r="G62" s="73">
        <f t="shared" ca="1" si="2"/>
        <v>0</v>
      </c>
      <c r="H62" s="55"/>
      <c r="I62" s="61"/>
      <c r="J62" s="61"/>
      <c r="K62" s="55"/>
      <c r="L62" s="56"/>
      <c r="M62" s="56"/>
      <c r="N62" s="77">
        <f t="shared" si="3"/>
        <v>0</v>
      </c>
      <c r="O62" s="25" t="str">
        <f t="shared" si="4"/>
        <v/>
      </c>
      <c r="P62" s="78">
        <f t="shared" ca="1" si="5"/>
        <v>0</v>
      </c>
      <c r="Q62" s="13"/>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5"/>
    </row>
    <row r="63" spans="2:44" s="12" customFormat="1" ht="27.75" customHeight="1" x14ac:dyDescent="0.3">
      <c r="B63" s="57">
        <v>47</v>
      </c>
      <c r="C63" s="62"/>
      <c r="D63" s="62"/>
      <c r="E63" s="62"/>
      <c r="F63" s="61"/>
      <c r="G63" s="73">
        <f t="shared" ca="1" si="2"/>
        <v>0</v>
      </c>
      <c r="H63" s="55"/>
      <c r="I63" s="67"/>
      <c r="J63" s="67"/>
      <c r="K63" s="55"/>
      <c r="L63" s="56"/>
      <c r="M63" s="56"/>
      <c r="N63" s="77">
        <f t="shared" si="3"/>
        <v>0</v>
      </c>
      <c r="O63" s="25" t="str">
        <f t="shared" si="4"/>
        <v/>
      </c>
      <c r="P63" s="78">
        <f t="shared" ca="1" si="5"/>
        <v>0</v>
      </c>
      <c r="Q63" s="13"/>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5"/>
    </row>
    <row r="64" spans="2:44" s="12" customFormat="1" ht="27.75" customHeight="1" x14ac:dyDescent="0.3">
      <c r="B64" s="57">
        <v>48</v>
      </c>
      <c r="C64" s="62"/>
      <c r="D64" s="62"/>
      <c r="E64" s="62"/>
      <c r="F64" s="61"/>
      <c r="G64" s="73">
        <f t="shared" ca="1" si="2"/>
        <v>0</v>
      </c>
      <c r="H64" s="55"/>
      <c r="I64" s="67"/>
      <c r="J64" s="67"/>
      <c r="K64" s="55"/>
      <c r="L64" s="56"/>
      <c r="M64" s="56"/>
      <c r="N64" s="77">
        <f t="shared" si="3"/>
        <v>0</v>
      </c>
      <c r="O64" s="25" t="str">
        <f t="shared" si="4"/>
        <v/>
      </c>
      <c r="P64" s="78">
        <f t="shared" ca="1" si="5"/>
        <v>0</v>
      </c>
      <c r="Q64" s="13"/>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5"/>
    </row>
    <row r="65" spans="2:44" s="12" customFormat="1" ht="27.75" customHeight="1" x14ac:dyDescent="0.3">
      <c r="B65" s="57">
        <v>49</v>
      </c>
      <c r="C65" s="62"/>
      <c r="D65" s="62"/>
      <c r="E65" s="62"/>
      <c r="F65" s="61"/>
      <c r="G65" s="73">
        <f t="shared" ca="1" si="2"/>
        <v>0</v>
      </c>
      <c r="H65" s="55"/>
      <c r="I65" s="56"/>
      <c r="J65" s="56"/>
      <c r="K65" s="55"/>
      <c r="L65" s="56"/>
      <c r="M65" s="56"/>
      <c r="N65" s="77">
        <f t="shared" si="3"/>
        <v>0</v>
      </c>
      <c r="O65" s="25" t="str">
        <f t="shared" si="4"/>
        <v/>
      </c>
      <c r="P65" s="78">
        <f t="shared" ca="1" si="5"/>
        <v>0</v>
      </c>
      <c r="Q65" s="13"/>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5"/>
    </row>
    <row r="66" spans="2:44" s="12" customFormat="1" ht="27.75" customHeight="1" x14ac:dyDescent="0.3">
      <c r="B66" s="57">
        <v>50</v>
      </c>
      <c r="C66" s="62"/>
      <c r="D66" s="62"/>
      <c r="E66" s="62"/>
      <c r="F66" s="61"/>
      <c r="G66" s="73">
        <f t="shared" ca="1" si="2"/>
        <v>0</v>
      </c>
      <c r="H66" s="55"/>
      <c r="I66" s="61"/>
      <c r="J66" s="61"/>
      <c r="K66" s="55"/>
      <c r="L66" s="56"/>
      <c r="M66" s="56"/>
      <c r="N66" s="77">
        <f t="shared" si="3"/>
        <v>0</v>
      </c>
      <c r="O66" s="25" t="str">
        <f t="shared" si="4"/>
        <v/>
      </c>
      <c r="P66" s="78">
        <f t="shared" ca="1" si="5"/>
        <v>0</v>
      </c>
      <c r="Q66" s="13"/>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5"/>
    </row>
    <row r="67" spans="2:44" s="12" customFormat="1" ht="27.75" customHeight="1" x14ac:dyDescent="0.3">
      <c r="B67" s="57">
        <v>51</v>
      </c>
      <c r="C67" s="62"/>
      <c r="D67" s="62"/>
      <c r="E67" s="62"/>
      <c r="F67" s="61"/>
      <c r="G67" s="73">
        <f t="shared" ca="1" si="2"/>
        <v>0</v>
      </c>
      <c r="H67" s="55"/>
      <c r="I67" s="61"/>
      <c r="J67" s="61"/>
      <c r="K67" s="55"/>
      <c r="L67" s="56"/>
      <c r="M67" s="56"/>
      <c r="N67" s="77">
        <f t="shared" si="3"/>
        <v>0</v>
      </c>
      <c r="O67" s="25" t="str">
        <f t="shared" si="4"/>
        <v/>
      </c>
      <c r="P67" s="78">
        <f t="shared" ca="1" si="5"/>
        <v>0</v>
      </c>
      <c r="Q67" s="13"/>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5"/>
    </row>
    <row r="68" spans="2:44" s="12" customFormat="1" ht="27.75" customHeight="1" x14ac:dyDescent="0.3">
      <c r="B68" s="57">
        <v>52</v>
      </c>
      <c r="C68" s="62"/>
      <c r="D68" s="62"/>
      <c r="E68" s="62"/>
      <c r="F68" s="61"/>
      <c r="G68" s="73">
        <f t="shared" ca="1" si="2"/>
        <v>0</v>
      </c>
      <c r="H68" s="55"/>
      <c r="I68" s="61"/>
      <c r="J68" s="61"/>
      <c r="K68" s="55"/>
      <c r="L68" s="56"/>
      <c r="M68" s="56"/>
      <c r="N68" s="77">
        <f t="shared" si="3"/>
        <v>0</v>
      </c>
      <c r="O68" s="25" t="str">
        <f t="shared" si="4"/>
        <v/>
      </c>
      <c r="P68" s="78">
        <f t="shared" ca="1" si="5"/>
        <v>0</v>
      </c>
      <c r="Q68" s="13"/>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5"/>
    </row>
    <row r="69" spans="2:44" s="12" customFormat="1" ht="27.75" customHeight="1" x14ac:dyDescent="0.3">
      <c r="B69" s="57">
        <v>53</v>
      </c>
      <c r="C69" s="62"/>
      <c r="D69" s="62"/>
      <c r="E69" s="62"/>
      <c r="F69" s="61"/>
      <c r="G69" s="73">
        <f t="shared" ca="1" si="2"/>
        <v>0</v>
      </c>
      <c r="H69" s="55"/>
      <c r="I69" s="67"/>
      <c r="J69" s="67"/>
      <c r="K69" s="55"/>
      <c r="L69" s="56"/>
      <c r="M69" s="56"/>
      <c r="N69" s="77">
        <f t="shared" si="3"/>
        <v>0</v>
      </c>
      <c r="O69" s="25" t="str">
        <f t="shared" si="4"/>
        <v/>
      </c>
      <c r="P69" s="78">
        <f t="shared" ca="1" si="5"/>
        <v>0</v>
      </c>
      <c r="Q69" s="13"/>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5"/>
    </row>
    <row r="70" spans="2:44" s="12" customFormat="1" ht="27.75" customHeight="1" x14ac:dyDescent="0.3">
      <c r="B70" s="57">
        <v>54</v>
      </c>
      <c r="C70" s="62"/>
      <c r="D70" s="62"/>
      <c r="E70" s="62"/>
      <c r="F70" s="61"/>
      <c r="G70" s="73">
        <f t="shared" ca="1" si="2"/>
        <v>0</v>
      </c>
      <c r="H70" s="55"/>
      <c r="I70" s="67"/>
      <c r="J70" s="67"/>
      <c r="K70" s="55"/>
      <c r="L70" s="56"/>
      <c r="M70" s="56"/>
      <c r="N70" s="77">
        <f t="shared" si="3"/>
        <v>0</v>
      </c>
      <c r="O70" s="25" t="str">
        <f t="shared" si="4"/>
        <v/>
      </c>
      <c r="P70" s="78">
        <f t="shared" ca="1" si="5"/>
        <v>0</v>
      </c>
      <c r="Q70" s="13"/>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5"/>
    </row>
    <row r="71" spans="2:44" s="12" customFormat="1" ht="27.75" customHeight="1" x14ac:dyDescent="0.3">
      <c r="B71" s="57">
        <v>55</v>
      </c>
      <c r="C71" s="62"/>
      <c r="D71" s="62"/>
      <c r="E71" s="62"/>
      <c r="F71" s="61"/>
      <c r="G71" s="73">
        <f t="shared" ca="1" si="2"/>
        <v>0</v>
      </c>
      <c r="H71" s="55"/>
      <c r="I71" s="56"/>
      <c r="J71" s="56"/>
      <c r="K71" s="55"/>
      <c r="L71" s="56"/>
      <c r="M71" s="56"/>
      <c r="N71" s="77">
        <f t="shared" si="3"/>
        <v>0</v>
      </c>
      <c r="O71" s="25" t="str">
        <f t="shared" si="4"/>
        <v/>
      </c>
      <c r="P71" s="78">
        <f t="shared" ca="1" si="5"/>
        <v>0</v>
      </c>
      <c r="Q71" s="13"/>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5"/>
    </row>
    <row r="72" spans="2:44" s="12" customFormat="1" ht="27.75" customHeight="1" x14ac:dyDescent="0.3">
      <c r="B72" s="57">
        <v>56</v>
      </c>
      <c r="C72" s="62"/>
      <c r="D72" s="62"/>
      <c r="E72" s="62"/>
      <c r="F72" s="61"/>
      <c r="G72" s="73">
        <f t="shared" ca="1" si="2"/>
        <v>0</v>
      </c>
      <c r="H72" s="55"/>
      <c r="I72" s="61"/>
      <c r="J72" s="61"/>
      <c r="K72" s="55"/>
      <c r="L72" s="56"/>
      <c r="M72" s="56"/>
      <c r="N72" s="77">
        <f t="shared" si="3"/>
        <v>0</v>
      </c>
      <c r="O72" s="25" t="str">
        <f t="shared" si="4"/>
        <v/>
      </c>
      <c r="P72" s="78">
        <f t="shared" ca="1" si="5"/>
        <v>0</v>
      </c>
      <c r="Q72" s="13"/>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5"/>
    </row>
    <row r="73" spans="2:44" s="12" customFormat="1" ht="27.75" customHeight="1" x14ac:dyDescent="0.3">
      <c r="B73" s="57">
        <v>57</v>
      </c>
      <c r="C73" s="62"/>
      <c r="D73" s="62"/>
      <c r="E73" s="62"/>
      <c r="F73" s="61"/>
      <c r="G73" s="73">
        <f t="shared" ca="1" si="2"/>
        <v>0</v>
      </c>
      <c r="H73" s="55"/>
      <c r="I73" s="61"/>
      <c r="J73" s="61"/>
      <c r="K73" s="55"/>
      <c r="L73" s="56"/>
      <c r="M73" s="56"/>
      <c r="N73" s="77">
        <f t="shared" si="3"/>
        <v>0</v>
      </c>
      <c r="O73" s="25" t="str">
        <f t="shared" si="4"/>
        <v/>
      </c>
      <c r="P73" s="78">
        <f t="shared" ca="1" si="5"/>
        <v>0</v>
      </c>
      <c r="Q73" s="13"/>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5"/>
    </row>
    <row r="74" spans="2:44" s="12" customFormat="1" ht="27.75" customHeight="1" x14ac:dyDescent="0.3">
      <c r="B74" s="57">
        <v>58</v>
      </c>
      <c r="C74" s="62"/>
      <c r="D74" s="62"/>
      <c r="E74" s="62"/>
      <c r="F74" s="61"/>
      <c r="G74" s="73">
        <f t="shared" ca="1" si="2"/>
        <v>0</v>
      </c>
      <c r="H74" s="55"/>
      <c r="I74" s="61"/>
      <c r="J74" s="61"/>
      <c r="K74" s="55"/>
      <c r="L74" s="56"/>
      <c r="M74" s="56"/>
      <c r="N74" s="77">
        <f t="shared" si="3"/>
        <v>0</v>
      </c>
      <c r="O74" s="25" t="str">
        <f t="shared" si="4"/>
        <v/>
      </c>
      <c r="P74" s="78">
        <f t="shared" ca="1" si="5"/>
        <v>0</v>
      </c>
      <c r="Q74" s="13"/>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5"/>
    </row>
    <row r="75" spans="2:44" s="12" customFormat="1" ht="27.75" customHeight="1" x14ac:dyDescent="0.3">
      <c r="B75" s="57">
        <v>59</v>
      </c>
      <c r="C75" s="62"/>
      <c r="D75" s="62"/>
      <c r="E75" s="62"/>
      <c r="F75" s="61"/>
      <c r="G75" s="73">
        <f t="shared" ca="1" si="2"/>
        <v>0</v>
      </c>
      <c r="H75" s="55"/>
      <c r="I75" s="67"/>
      <c r="J75" s="67"/>
      <c r="K75" s="55"/>
      <c r="L75" s="56"/>
      <c r="M75" s="56"/>
      <c r="N75" s="77">
        <f t="shared" si="3"/>
        <v>0</v>
      </c>
      <c r="O75" s="25" t="str">
        <f t="shared" si="4"/>
        <v/>
      </c>
      <c r="P75" s="78">
        <f t="shared" ca="1" si="5"/>
        <v>0</v>
      </c>
      <c r="Q75" s="13"/>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5"/>
    </row>
    <row r="76" spans="2:44" s="12" customFormat="1" ht="27.75" customHeight="1" x14ac:dyDescent="0.3">
      <c r="B76" s="57">
        <v>60</v>
      </c>
      <c r="C76" s="62"/>
      <c r="D76" s="62"/>
      <c r="E76" s="62"/>
      <c r="F76" s="61"/>
      <c r="G76" s="73">
        <f t="shared" ca="1" si="2"/>
        <v>0</v>
      </c>
      <c r="H76" s="55"/>
      <c r="I76" s="67"/>
      <c r="J76" s="67"/>
      <c r="K76" s="55"/>
      <c r="L76" s="56"/>
      <c r="M76" s="56"/>
      <c r="N76" s="77">
        <f t="shared" si="3"/>
        <v>0</v>
      </c>
      <c r="O76" s="25" t="str">
        <f t="shared" si="4"/>
        <v/>
      </c>
      <c r="P76" s="78">
        <f t="shared" ca="1" si="5"/>
        <v>0</v>
      </c>
      <c r="Q76" s="13"/>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5"/>
    </row>
    <row r="77" spans="2:44" s="12" customFormat="1" ht="27.75" customHeight="1" x14ac:dyDescent="0.3">
      <c r="B77" s="57">
        <v>61</v>
      </c>
      <c r="C77" s="62"/>
      <c r="D77" s="62"/>
      <c r="E77" s="62"/>
      <c r="F77" s="61"/>
      <c r="G77" s="73">
        <f t="shared" ca="1" si="2"/>
        <v>0</v>
      </c>
      <c r="H77" s="55"/>
      <c r="I77" s="56"/>
      <c r="J77" s="56"/>
      <c r="K77" s="55"/>
      <c r="L77" s="56"/>
      <c r="M77" s="56"/>
      <c r="N77" s="77">
        <f t="shared" si="3"/>
        <v>0</v>
      </c>
      <c r="O77" s="25" t="str">
        <f t="shared" si="4"/>
        <v/>
      </c>
      <c r="P77" s="78">
        <f t="shared" ca="1" si="5"/>
        <v>0</v>
      </c>
      <c r="Q77" s="13"/>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5"/>
    </row>
    <row r="78" spans="2:44" s="12" customFormat="1" ht="27.75" customHeight="1" x14ac:dyDescent="0.3">
      <c r="B78" s="57">
        <v>62</v>
      </c>
      <c r="C78" s="62"/>
      <c r="D78" s="62"/>
      <c r="E78" s="62"/>
      <c r="F78" s="61"/>
      <c r="G78" s="73">
        <f t="shared" ca="1" si="2"/>
        <v>0</v>
      </c>
      <c r="H78" s="55"/>
      <c r="I78" s="61"/>
      <c r="J78" s="61"/>
      <c r="K78" s="55"/>
      <c r="L78" s="56"/>
      <c r="M78" s="56"/>
      <c r="N78" s="77">
        <f t="shared" si="3"/>
        <v>0</v>
      </c>
      <c r="O78" s="25" t="str">
        <f t="shared" si="4"/>
        <v/>
      </c>
      <c r="P78" s="78">
        <f t="shared" ca="1" si="5"/>
        <v>0</v>
      </c>
      <c r="Q78" s="13"/>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5"/>
    </row>
    <row r="79" spans="2:44" s="12" customFormat="1" ht="27.75" customHeight="1" x14ac:dyDescent="0.3">
      <c r="B79" s="57">
        <v>63</v>
      </c>
      <c r="C79" s="62"/>
      <c r="D79" s="62"/>
      <c r="E79" s="62"/>
      <c r="F79" s="61"/>
      <c r="G79" s="73">
        <f t="shared" ca="1" si="2"/>
        <v>0</v>
      </c>
      <c r="H79" s="55"/>
      <c r="I79" s="61"/>
      <c r="J79" s="61"/>
      <c r="K79" s="55"/>
      <c r="L79" s="56"/>
      <c r="M79" s="56"/>
      <c r="N79" s="77">
        <f t="shared" si="3"/>
        <v>0</v>
      </c>
      <c r="O79" s="25" t="str">
        <f t="shared" si="4"/>
        <v/>
      </c>
      <c r="P79" s="78">
        <f t="shared" ca="1" si="5"/>
        <v>0</v>
      </c>
      <c r="Q79" s="13"/>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5"/>
    </row>
    <row r="80" spans="2:44" s="12" customFormat="1" ht="27.75" customHeight="1" x14ac:dyDescent="0.3">
      <c r="B80" s="57">
        <v>64</v>
      </c>
      <c r="C80" s="62"/>
      <c r="D80" s="62"/>
      <c r="E80" s="62"/>
      <c r="F80" s="61"/>
      <c r="G80" s="73">
        <f t="shared" ca="1" si="2"/>
        <v>0</v>
      </c>
      <c r="H80" s="55"/>
      <c r="I80" s="61"/>
      <c r="J80" s="61"/>
      <c r="K80" s="55"/>
      <c r="L80" s="56"/>
      <c r="M80" s="56"/>
      <c r="N80" s="77">
        <f t="shared" si="3"/>
        <v>0</v>
      </c>
      <c r="O80" s="25" t="str">
        <f t="shared" si="4"/>
        <v/>
      </c>
      <c r="P80" s="78">
        <f t="shared" ca="1" si="5"/>
        <v>0</v>
      </c>
      <c r="Q80" s="13"/>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5"/>
    </row>
    <row r="81" spans="2:44" s="12" customFormat="1" ht="27.75" customHeight="1" x14ac:dyDescent="0.3">
      <c r="B81" s="57">
        <v>65</v>
      </c>
      <c r="C81" s="62"/>
      <c r="D81" s="62"/>
      <c r="E81" s="62"/>
      <c r="F81" s="61"/>
      <c r="G81" s="73">
        <f t="shared" ca="1" si="2"/>
        <v>0</v>
      </c>
      <c r="H81" s="55"/>
      <c r="I81" s="67"/>
      <c r="J81" s="67"/>
      <c r="K81" s="55"/>
      <c r="L81" s="56"/>
      <c r="M81" s="56"/>
      <c r="N81" s="77">
        <f t="shared" si="3"/>
        <v>0</v>
      </c>
      <c r="O81" s="25" t="str">
        <f t="shared" si="4"/>
        <v/>
      </c>
      <c r="P81" s="78">
        <f t="shared" ca="1" si="5"/>
        <v>0</v>
      </c>
      <c r="Q81" s="13"/>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5"/>
    </row>
    <row r="82" spans="2:44" s="12" customFormat="1" ht="27.75" customHeight="1" x14ac:dyDescent="0.3">
      <c r="B82" s="57">
        <v>66</v>
      </c>
      <c r="C82" s="62"/>
      <c r="D82" s="62"/>
      <c r="E82" s="62"/>
      <c r="F82" s="61"/>
      <c r="G82" s="73">
        <f t="shared" ref="G82:G125" ca="1" si="6">IF(F82="",E82,IF(F82&lt;=TODAY(),E82+15,E82))</f>
        <v>0</v>
      </c>
      <c r="H82" s="55"/>
      <c r="I82" s="67"/>
      <c r="J82" s="67"/>
      <c r="K82" s="55"/>
      <c r="L82" s="56"/>
      <c r="M82" s="56"/>
      <c r="N82" s="77">
        <f t="shared" ref="N82:N124" si="7">H82+K82</f>
        <v>0</v>
      </c>
      <c r="O82" s="25" t="str">
        <f t="shared" ref="O82:O125" si="8">IF(C82&lt;&gt;"",IF(N82&gt;=6,"Cumple","No cumple"),"")</f>
        <v/>
      </c>
      <c r="P82" s="78">
        <f t="shared" ref="P82:P125" ca="1" si="9">G82-N82</f>
        <v>0</v>
      </c>
      <c r="Q82" s="13"/>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5"/>
    </row>
    <row r="83" spans="2:44" s="12" customFormat="1" ht="27.75" customHeight="1" x14ac:dyDescent="0.3">
      <c r="B83" s="57">
        <v>67</v>
      </c>
      <c r="C83" s="62"/>
      <c r="D83" s="62"/>
      <c r="E83" s="62"/>
      <c r="F83" s="61"/>
      <c r="G83" s="73">
        <f t="shared" ca="1" si="6"/>
        <v>0</v>
      </c>
      <c r="H83" s="55"/>
      <c r="I83" s="56"/>
      <c r="J83" s="56"/>
      <c r="K83" s="55"/>
      <c r="L83" s="56"/>
      <c r="M83" s="56"/>
      <c r="N83" s="77">
        <f t="shared" si="7"/>
        <v>0</v>
      </c>
      <c r="O83" s="25" t="str">
        <f t="shared" si="8"/>
        <v/>
      </c>
      <c r="P83" s="78">
        <f t="shared" ca="1" si="9"/>
        <v>0</v>
      </c>
      <c r="Q83" s="13"/>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5"/>
    </row>
    <row r="84" spans="2:44" s="12" customFormat="1" ht="27.75" customHeight="1" x14ac:dyDescent="0.3">
      <c r="B84" s="57">
        <v>68</v>
      </c>
      <c r="C84" s="62"/>
      <c r="D84" s="62"/>
      <c r="E84" s="62"/>
      <c r="F84" s="61"/>
      <c r="G84" s="73">
        <f t="shared" ca="1" si="6"/>
        <v>0</v>
      </c>
      <c r="H84" s="55"/>
      <c r="I84" s="61"/>
      <c r="J84" s="61"/>
      <c r="K84" s="55"/>
      <c r="L84" s="56"/>
      <c r="M84" s="56"/>
      <c r="N84" s="77">
        <f t="shared" si="7"/>
        <v>0</v>
      </c>
      <c r="O84" s="25" t="str">
        <f t="shared" si="8"/>
        <v/>
      </c>
      <c r="P84" s="78">
        <f t="shared" ca="1" si="9"/>
        <v>0</v>
      </c>
      <c r="Q84" s="13"/>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5"/>
    </row>
    <row r="85" spans="2:44" s="12" customFormat="1" ht="27.75" customHeight="1" x14ac:dyDescent="0.3">
      <c r="B85" s="57">
        <v>69</v>
      </c>
      <c r="C85" s="62"/>
      <c r="D85" s="62"/>
      <c r="E85" s="62"/>
      <c r="F85" s="61"/>
      <c r="G85" s="73">
        <f t="shared" ca="1" si="6"/>
        <v>0</v>
      </c>
      <c r="H85" s="55"/>
      <c r="I85" s="61"/>
      <c r="J85" s="61"/>
      <c r="K85" s="55"/>
      <c r="L85" s="56"/>
      <c r="M85" s="56"/>
      <c r="N85" s="77">
        <f t="shared" si="7"/>
        <v>0</v>
      </c>
      <c r="O85" s="25" t="str">
        <f t="shared" si="8"/>
        <v/>
      </c>
      <c r="P85" s="78">
        <f t="shared" ca="1" si="9"/>
        <v>0</v>
      </c>
      <c r="Q85" s="13"/>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5"/>
    </row>
    <row r="86" spans="2:44" s="12" customFormat="1" ht="27.75" customHeight="1" x14ac:dyDescent="0.3">
      <c r="B86" s="57">
        <v>70</v>
      </c>
      <c r="C86" s="62"/>
      <c r="D86" s="62"/>
      <c r="E86" s="62"/>
      <c r="F86" s="61"/>
      <c r="G86" s="73">
        <f t="shared" ca="1" si="6"/>
        <v>0</v>
      </c>
      <c r="H86" s="55"/>
      <c r="I86" s="61"/>
      <c r="J86" s="61"/>
      <c r="K86" s="55"/>
      <c r="L86" s="56"/>
      <c r="M86" s="56"/>
      <c r="N86" s="77">
        <f t="shared" si="7"/>
        <v>0</v>
      </c>
      <c r="O86" s="25" t="str">
        <f t="shared" si="8"/>
        <v/>
      </c>
      <c r="P86" s="78">
        <f t="shared" ca="1" si="9"/>
        <v>0</v>
      </c>
      <c r="Q86" s="13"/>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5"/>
    </row>
    <row r="87" spans="2:44" s="12" customFormat="1" ht="27.75" customHeight="1" x14ac:dyDescent="0.3">
      <c r="B87" s="57">
        <v>71</v>
      </c>
      <c r="C87" s="62"/>
      <c r="D87" s="62"/>
      <c r="E87" s="62"/>
      <c r="F87" s="61"/>
      <c r="G87" s="73">
        <f t="shared" ca="1" si="6"/>
        <v>0</v>
      </c>
      <c r="H87" s="55"/>
      <c r="I87" s="67"/>
      <c r="J87" s="67"/>
      <c r="K87" s="55"/>
      <c r="L87" s="56"/>
      <c r="M87" s="56"/>
      <c r="N87" s="77">
        <f t="shared" si="7"/>
        <v>0</v>
      </c>
      <c r="O87" s="25" t="str">
        <f t="shared" si="8"/>
        <v/>
      </c>
      <c r="P87" s="78">
        <f t="shared" ca="1" si="9"/>
        <v>0</v>
      </c>
      <c r="Q87" s="13"/>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5"/>
    </row>
    <row r="88" spans="2:44" s="12" customFormat="1" ht="27.75" customHeight="1" x14ac:dyDescent="0.3">
      <c r="B88" s="57">
        <v>72</v>
      </c>
      <c r="C88" s="62"/>
      <c r="D88" s="62"/>
      <c r="E88" s="62"/>
      <c r="F88" s="61"/>
      <c r="G88" s="73">
        <f t="shared" ca="1" si="6"/>
        <v>0</v>
      </c>
      <c r="H88" s="55"/>
      <c r="I88" s="67"/>
      <c r="J88" s="67"/>
      <c r="K88" s="55"/>
      <c r="L88" s="56"/>
      <c r="M88" s="56"/>
      <c r="N88" s="77">
        <f t="shared" si="7"/>
        <v>0</v>
      </c>
      <c r="O88" s="25" t="str">
        <f t="shared" si="8"/>
        <v/>
      </c>
      <c r="P88" s="78">
        <f t="shared" ca="1" si="9"/>
        <v>0</v>
      </c>
      <c r="Q88" s="13"/>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5"/>
    </row>
    <row r="89" spans="2:44" s="12" customFormat="1" ht="27.75" customHeight="1" x14ac:dyDescent="0.3">
      <c r="B89" s="57">
        <v>73</v>
      </c>
      <c r="C89" s="62"/>
      <c r="D89" s="62"/>
      <c r="E89" s="62"/>
      <c r="F89" s="61"/>
      <c r="G89" s="73">
        <f t="shared" ca="1" si="6"/>
        <v>0</v>
      </c>
      <c r="H89" s="55"/>
      <c r="I89" s="56"/>
      <c r="J89" s="56"/>
      <c r="K89" s="55"/>
      <c r="L89" s="56"/>
      <c r="M89" s="56"/>
      <c r="N89" s="77">
        <f t="shared" si="7"/>
        <v>0</v>
      </c>
      <c r="O89" s="25" t="str">
        <f t="shared" si="8"/>
        <v/>
      </c>
      <c r="P89" s="78">
        <f t="shared" ca="1" si="9"/>
        <v>0</v>
      </c>
      <c r="Q89" s="13"/>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5"/>
    </row>
    <row r="90" spans="2:44" s="12" customFormat="1" ht="27.75" customHeight="1" x14ac:dyDescent="0.3">
      <c r="B90" s="57">
        <v>74</v>
      </c>
      <c r="C90" s="62"/>
      <c r="D90" s="62"/>
      <c r="E90" s="62"/>
      <c r="F90" s="61"/>
      <c r="G90" s="73">
        <f t="shared" ca="1" si="6"/>
        <v>0</v>
      </c>
      <c r="H90" s="55"/>
      <c r="I90" s="61"/>
      <c r="J90" s="61"/>
      <c r="K90" s="55"/>
      <c r="L90" s="56"/>
      <c r="M90" s="56"/>
      <c r="N90" s="77">
        <f t="shared" si="7"/>
        <v>0</v>
      </c>
      <c r="O90" s="25" t="str">
        <f t="shared" si="8"/>
        <v/>
      </c>
      <c r="P90" s="78">
        <f t="shared" ca="1" si="9"/>
        <v>0</v>
      </c>
      <c r="Q90" s="13"/>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5"/>
    </row>
    <row r="91" spans="2:44" s="12" customFormat="1" ht="27.75" customHeight="1" x14ac:dyDescent="0.3">
      <c r="B91" s="57">
        <v>75</v>
      </c>
      <c r="C91" s="62"/>
      <c r="D91" s="62"/>
      <c r="E91" s="62"/>
      <c r="F91" s="61"/>
      <c r="G91" s="73">
        <f t="shared" ca="1" si="6"/>
        <v>0</v>
      </c>
      <c r="H91" s="55"/>
      <c r="I91" s="61"/>
      <c r="J91" s="61"/>
      <c r="K91" s="55"/>
      <c r="L91" s="56"/>
      <c r="M91" s="56"/>
      <c r="N91" s="77">
        <f t="shared" si="7"/>
        <v>0</v>
      </c>
      <c r="O91" s="25" t="str">
        <f t="shared" si="8"/>
        <v/>
      </c>
      <c r="P91" s="78">
        <f t="shared" ca="1" si="9"/>
        <v>0</v>
      </c>
      <c r="Q91" s="13"/>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5"/>
    </row>
    <row r="92" spans="2:44" s="12" customFormat="1" ht="27.75" customHeight="1" x14ac:dyDescent="0.3">
      <c r="B92" s="57">
        <v>76</v>
      </c>
      <c r="C92" s="62"/>
      <c r="D92" s="62"/>
      <c r="E92" s="62"/>
      <c r="F92" s="61"/>
      <c r="G92" s="73">
        <f t="shared" ca="1" si="6"/>
        <v>0</v>
      </c>
      <c r="H92" s="55"/>
      <c r="I92" s="61"/>
      <c r="J92" s="61"/>
      <c r="K92" s="55"/>
      <c r="L92" s="56"/>
      <c r="M92" s="56"/>
      <c r="N92" s="77">
        <f t="shared" si="7"/>
        <v>0</v>
      </c>
      <c r="O92" s="25" t="str">
        <f t="shared" si="8"/>
        <v/>
      </c>
      <c r="P92" s="78">
        <f t="shared" ca="1" si="9"/>
        <v>0</v>
      </c>
      <c r="Q92" s="13"/>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5"/>
    </row>
    <row r="93" spans="2:44" s="12" customFormat="1" ht="27.75" customHeight="1" x14ac:dyDescent="0.3">
      <c r="B93" s="57">
        <v>77</v>
      </c>
      <c r="C93" s="62"/>
      <c r="D93" s="62"/>
      <c r="E93" s="62"/>
      <c r="F93" s="61"/>
      <c r="G93" s="73">
        <f t="shared" ca="1" si="6"/>
        <v>0</v>
      </c>
      <c r="H93" s="55"/>
      <c r="I93" s="67"/>
      <c r="J93" s="67"/>
      <c r="K93" s="55"/>
      <c r="L93" s="56"/>
      <c r="M93" s="56"/>
      <c r="N93" s="77">
        <f t="shared" si="7"/>
        <v>0</v>
      </c>
      <c r="O93" s="25" t="str">
        <f t="shared" si="8"/>
        <v/>
      </c>
      <c r="P93" s="78">
        <f t="shared" ca="1" si="9"/>
        <v>0</v>
      </c>
      <c r="Q93" s="13"/>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5"/>
    </row>
    <row r="94" spans="2:44" s="12" customFormat="1" ht="27.75" customHeight="1" x14ac:dyDescent="0.3">
      <c r="B94" s="57">
        <v>78</v>
      </c>
      <c r="C94" s="62"/>
      <c r="D94" s="62"/>
      <c r="E94" s="62"/>
      <c r="F94" s="61"/>
      <c r="G94" s="73">
        <f t="shared" ca="1" si="6"/>
        <v>0</v>
      </c>
      <c r="H94" s="55"/>
      <c r="I94" s="67"/>
      <c r="J94" s="67"/>
      <c r="K94" s="55"/>
      <c r="L94" s="56"/>
      <c r="M94" s="56"/>
      <c r="N94" s="77">
        <f t="shared" si="7"/>
        <v>0</v>
      </c>
      <c r="O94" s="25" t="str">
        <f t="shared" si="8"/>
        <v/>
      </c>
      <c r="P94" s="78">
        <f t="shared" ca="1" si="9"/>
        <v>0</v>
      </c>
      <c r="Q94" s="13"/>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5"/>
    </row>
    <row r="95" spans="2:44" s="12" customFormat="1" ht="27.75" customHeight="1" x14ac:dyDescent="0.3">
      <c r="B95" s="57">
        <v>79</v>
      </c>
      <c r="C95" s="62"/>
      <c r="D95" s="62"/>
      <c r="E95" s="62"/>
      <c r="F95" s="61"/>
      <c r="G95" s="73">
        <f t="shared" ca="1" si="6"/>
        <v>0</v>
      </c>
      <c r="H95" s="55"/>
      <c r="I95" s="56"/>
      <c r="J95" s="56"/>
      <c r="K95" s="55"/>
      <c r="L95" s="56"/>
      <c r="M95" s="56"/>
      <c r="N95" s="77">
        <f t="shared" si="7"/>
        <v>0</v>
      </c>
      <c r="O95" s="25" t="str">
        <f t="shared" si="8"/>
        <v/>
      </c>
      <c r="P95" s="78">
        <f t="shared" ca="1" si="9"/>
        <v>0</v>
      </c>
      <c r="Q95" s="13"/>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5"/>
    </row>
    <row r="96" spans="2:44" s="12" customFormat="1" ht="27.75" customHeight="1" x14ac:dyDescent="0.3">
      <c r="B96" s="57">
        <v>80</v>
      </c>
      <c r="C96" s="62"/>
      <c r="D96" s="62"/>
      <c r="E96" s="62"/>
      <c r="F96" s="61"/>
      <c r="G96" s="73">
        <f t="shared" ca="1" si="6"/>
        <v>0</v>
      </c>
      <c r="H96" s="55"/>
      <c r="I96" s="61"/>
      <c r="J96" s="61"/>
      <c r="K96" s="55"/>
      <c r="L96" s="56"/>
      <c r="M96" s="56"/>
      <c r="N96" s="77">
        <f t="shared" si="7"/>
        <v>0</v>
      </c>
      <c r="O96" s="25" t="str">
        <f t="shared" si="8"/>
        <v/>
      </c>
      <c r="P96" s="78">
        <f t="shared" ca="1" si="9"/>
        <v>0</v>
      </c>
      <c r="Q96" s="13"/>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5"/>
    </row>
    <row r="97" spans="2:44" s="12" customFormat="1" ht="27.75" customHeight="1" x14ac:dyDescent="0.3">
      <c r="B97" s="57">
        <v>81</v>
      </c>
      <c r="C97" s="62"/>
      <c r="D97" s="62"/>
      <c r="E97" s="62"/>
      <c r="F97" s="61"/>
      <c r="G97" s="73">
        <f t="shared" ca="1" si="6"/>
        <v>0</v>
      </c>
      <c r="H97" s="55"/>
      <c r="I97" s="61"/>
      <c r="J97" s="61"/>
      <c r="K97" s="55"/>
      <c r="L97" s="56"/>
      <c r="M97" s="56"/>
      <c r="N97" s="77">
        <f t="shared" si="7"/>
        <v>0</v>
      </c>
      <c r="O97" s="25" t="str">
        <f t="shared" si="8"/>
        <v/>
      </c>
      <c r="P97" s="78">
        <f t="shared" ca="1" si="9"/>
        <v>0</v>
      </c>
      <c r="Q97" s="13"/>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5"/>
    </row>
    <row r="98" spans="2:44" s="12" customFormat="1" ht="27.75" customHeight="1" x14ac:dyDescent="0.3">
      <c r="B98" s="57">
        <v>82</v>
      </c>
      <c r="C98" s="62"/>
      <c r="D98" s="62"/>
      <c r="E98" s="62"/>
      <c r="F98" s="61"/>
      <c r="G98" s="73">
        <f t="shared" ca="1" si="6"/>
        <v>0</v>
      </c>
      <c r="H98" s="55"/>
      <c r="I98" s="61"/>
      <c r="J98" s="61"/>
      <c r="K98" s="55"/>
      <c r="L98" s="56"/>
      <c r="M98" s="56"/>
      <c r="N98" s="77">
        <f t="shared" si="7"/>
        <v>0</v>
      </c>
      <c r="O98" s="25" t="str">
        <f t="shared" si="8"/>
        <v/>
      </c>
      <c r="P98" s="78">
        <f t="shared" ca="1" si="9"/>
        <v>0</v>
      </c>
      <c r="Q98" s="13"/>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5"/>
    </row>
    <row r="99" spans="2:44" s="12" customFormat="1" ht="27.75" customHeight="1" x14ac:dyDescent="0.3">
      <c r="B99" s="57">
        <v>83</v>
      </c>
      <c r="C99" s="62"/>
      <c r="D99" s="62"/>
      <c r="E99" s="62"/>
      <c r="F99" s="61"/>
      <c r="G99" s="73">
        <f t="shared" ca="1" si="6"/>
        <v>0</v>
      </c>
      <c r="H99" s="55"/>
      <c r="I99" s="67"/>
      <c r="J99" s="67"/>
      <c r="K99" s="55"/>
      <c r="L99" s="56"/>
      <c r="M99" s="56"/>
      <c r="N99" s="77">
        <f t="shared" si="7"/>
        <v>0</v>
      </c>
      <c r="O99" s="25" t="str">
        <f t="shared" si="8"/>
        <v/>
      </c>
      <c r="P99" s="78">
        <f t="shared" ca="1" si="9"/>
        <v>0</v>
      </c>
      <c r="Q99" s="13"/>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5"/>
    </row>
    <row r="100" spans="2:44" s="12" customFormat="1" ht="27.75" customHeight="1" x14ac:dyDescent="0.3">
      <c r="B100" s="57">
        <v>84</v>
      </c>
      <c r="C100" s="62"/>
      <c r="D100" s="62"/>
      <c r="E100" s="62"/>
      <c r="F100" s="61"/>
      <c r="G100" s="73">
        <f t="shared" ca="1" si="6"/>
        <v>0</v>
      </c>
      <c r="H100" s="55"/>
      <c r="I100" s="67"/>
      <c r="J100" s="67"/>
      <c r="K100" s="55"/>
      <c r="L100" s="56"/>
      <c r="M100" s="56"/>
      <c r="N100" s="77">
        <f t="shared" si="7"/>
        <v>0</v>
      </c>
      <c r="O100" s="25" t="str">
        <f t="shared" si="8"/>
        <v/>
      </c>
      <c r="P100" s="78">
        <f t="shared" ca="1" si="9"/>
        <v>0</v>
      </c>
      <c r="Q100" s="13"/>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5"/>
    </row>
    <row r="101" spans="2:44" s="12" customFormat="1" ht="27.75" customHeight="1" x14ac:dyDescent="0.3">
      <c r="B101" s="57">
        <v>85</v>
      </c>
      <c r="C101" s="62"/>
      <c r="D101" s="62"/>
      <c r="E101" s="62"/>
      <c r="F101" s="61"/>
      <c r="G101" s="73">
        <f t="shared" ca="1" si="6"/>
        <v>0</v>
      </c>
      <c r="H101" s="55"/>
      <c r="I101" s="56"/>
      <c r="J101" s="56"/>
      <c r="K101" s="55"/>
      <c r="L101" s="56"/>
      <c r="M101" s="56"/>
      <c r="N101" s="77">
        <f t="shared" si="7"/>
        <v>0</v>
      </c>
      <c r="O101" s="25" t="str">
        <f t="shared" si="8"/>
        <v/>
      </c>
      <c r="P101" s="78">
        <f t="shared" ca="1" si="9"/>
        <v>0</v>
      </c>
      <c r="Q101" s="13"/>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5"/>
    </row>
    <row r="102" spans="2:44" s="12" customFormat="1" ht="27.75" customHeight="1" x14ac:dyDescent="0.3">
      <c r="B102" s="57">
        <v>86</v>
      </c>
      <c r="C102" s="62"/>
      <c r="D102" s="62"/>
      <c r="E102" s="62"/>
      <c r="F102" s="61"/>
      <c r="G102" s="73">
        <f t="shared" ca="1" si="6"/>
        <v>0</v>
      </c>
      <c r="H102" s="55"/>
      <c r="I102" s="61"/>
      <c r="J102" s="61"/>
      <c r="K102" s="55"/>
      <c r="L102" s="56"/>
      <c r="M102" s="56"/>
      <c r="N102" s="77">
        <f t="shared" si="7"/>
        <v>0</v>
      </c>
      <c r="O102" s="25" t="str">
        <f t="shared" si="8"/>
        <v/>
      </c>
      <c r="P102" s="78">
        <f t="shared" ca="1" si="9"/>
        <v>0</v>
      </c>
      <c r="Q102" s="13"/>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5"/>
    </row>
    <row r="103" spans="2:44" s="12" customFormat="1" ht="27.75" customHeight="1" x14ac:dyDescent="0.3">
      <c r="B103" s="57">
        <v>87</v>
      </c>
      <c r="C103" s="62"/>
      <c r="D103" s="62"/>
      <c r="E103" s="62"/>
      <c r="F103" s="61"/>
      <c r="G103" s="73">
        <f t="shared" ca="1" si="6"/>
        <v>0</v>
      </c>
      <c r="H103" s="55"/>
      <c r="I103" s="61"/>
      <c r="J103" s="61"/>
      <c r="K103" s="55"/>
      <c r="L103" s="56"/>
      <c r="M103" s="56"/>
      <c r="N103" s="77">
        <f t="shared" si="7"/>
        <v>0</v>
      </c>
      <c r="O103" s="25" t="str">
        <f t="shared" si="8"/>
        <v/>
      </c>
      <c r="P103" s="78">
        <f t="shared" ca="1" si="9"/>
        <v>0</v>
      </c>
      <c r="Q103" s="13"/>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5"/>
    </row>
    <row r="104" spans="2:44" s="12" customFormat="1" ht="27.75" customHeight="1" x14ac:dyDescent="0.3">
      <c r="B104" s="57">
        <v>88</v>
      </c>
      <c r="C104" s="62"/>
      <c r="D104" s="62"/>
      <c r="E104" s="62"/>
      <c r="F104" s="61"/>
      <c r="G104" s="73">
        <f t="shared" ca="1" si="6"/>
        <v>0</v>
      </c>
      <c r="H104" s="55"/>
      <c r="I104" s="61"/>
      <c r="J104" s="61"/>
      <c r="K104" s="55"/>
      <c r="L104" s="56"/>
      <c r="M104" s="56"/>
      <c r="N104" s="77">
        <f t="shared" si="7"/>
        <v>0</v>
      </c>
      <c r="O104" s="25" t="str">
        <f t="shared" si="8"/>
        <v/>
      </c>
      <c r="P104" s="78">
        <f t="shared" ca="1" si="9"/>
        <v>0</v>
      </c>
      <c r="Q104" s="13"/>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5"/>
    </row>
    <row r="105" spans="2:44" s="12" customFormat="1" ht="27.75" customHeight="1" x14ac:dyDescent="0.3">
      <c r="B105" s="57">
        <v>89</v>
      </c>
      <c r="C105" s="62"/>
      <c r="D105" s="62"/>
      <c r="E105" s="62"/>
      <c r="F105" s="61"/>
      <c r="G105" s="73">
        <f t="shared" ca="1" si="6"/>
        <v>0</v>
      </c>
      <c r="H105" s="55"/>
      <c r="I105" s="67"/>
      <c r="J105" s="67"/>
      <c r="K105" s="55"/>
      <c r="L105" s="56"/>
      <c r="M105" s="56"/>
      <c r="N105" s="77">
        <f t="shared" si="7"/>
        <v>0</v>
      </c>
      <c r="O105" s="25" t="str">
        <f t="shared" si="8"/>
        <v/>
      </c>
      <c r="P105" s="78">
        <f t="shared" ca="1" si="9"/>
        <v>0</v>
      </c>
      <c r="Q105" s="13"/>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5"/>
    </row>
    <row r="106" spans="2:44" s="12" customFormat="1" ht="27.75" customHeight="1" x14ac:dyDescent="0.3">
      <c r="B106" s="57">
        <v>90</v>
      </c>
      <c r="C106" s="62"/>
      <c r="D106" s="62"/>
      <c r="E106" s="62"/>
      <c r="F106" s="61"/>
      <c r="G106" s="73">
        <f t="shared" ca="1" si="6"/>
        <v>0</v>
      </c>
      <c r="H106" s="55"/>
      <c r="I106" s="67"/>
      <c r="J106" s="67"/>
      <c r="K106" s="55"/>
      <c r="L106" s="56"/>
      <c r="M106" s="56"/>
      <c r="N106" s="77">
        <f t="shared" si="7"/>
        <v>0</v>
      </c>
      <c r="O106" s="25" t="str">
        <f t="shared" si="8"/>
        <v/>
      </c>
      <c r="P106" s="78">
        <f t="shared" ca="1" si="9"/>
        <v>0</v>
      </c>
      <c r="Q106" s="13"/>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5"/>
    </row>
    <row r="107" spans="2:44" s="12" customFormat="1" ht="27.75" customHeight="1" x14ac:dyDescent="0.3">
      <c r="B107" s="57">
        <v>91</v>
      </c>
      <c r="C107" s="62"/>
      <c r="D107" s="62"/>
      <c r="E107" s="62"/>
      <c r="F107" s="61"/>
      <c r="G107" s="73">
        <f t="shared" ca="1" si="6"/>
        <v>0</v>
      </c>
      <c r="H107" s="55"/>
      <c r="I107" s="56"/>
      <c r="J107" s="56"/>
      <c r="K107" s="55"/>
      <c r="L107" s="56"/>
      <c r="M107" s="56"/>
      <c r="N107" s="77">
        <f t="shared" si="7"/>
        <v>0</v>
      </c>
      <c r="O107" s="25" t="str">
        <f t="shared" si="8"/>
        <v/>
      </c>
      <c r="P107" s="78">
        <f t="shared" ca="1" si="9"/>
        <v>0</v>
      </c>
      <c r="Q107" s="13"/>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5"/>
    </row>
    <row r="108" spans="2:44" s="12" customFormat="1" ht="27.75" customHeight="1" x14ac:dyDescent="0.3">
      <c r="B108" s="57">
        <v>92</v>
      </c>
      <c r="C108" s="62"/>
      <c r="D108" s="62"/>
      <c r="E108" s="62"/>
      <c r="F108" s="61"/>
      <c r="G108" s="73">
        <f t="shared" ca="1" si="6"/>
        <v>0</v>
      </c>
      <c r="H108" s="55"/>
      <c r="I108" s="61"/>
      <c r="J108" s="61"/>
      <c r="K108" s="55"/>
      <c r="L108" s="56"/>
      <c r="M108" s="56"/>
      <c r="N108" s="77">
        <f t="shared" si="7"/>
        <v>0</v>
      </c>
      <c r="O108" s="25" t="str">
        <f t="shared" si="8"/>
        <v/>
      </c>
      <c r="P108" s="78">
        <f t="shared" ca="1" si="9"/>
        <v>0</v>
      </c>
      <c r="Q108" s="13"/>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5"/>
    </row>
    <row r="109" spans="2:44" s="12" customFormat="1" ht="27.75" customHeight="1" x14ac:dyDescent="0.3">
      <c r="B109" s="57">
        <v>93</v>
      </c>
      <c r="C109" s="62"/>
      <c r="D109" s="62"/>
      <c r="E109" s="62"/>
      <c r="F109" s="61"/>
      <c r="G109" s="73">
        <f t="shared" ca="1" si="6"/>
        <v>0</v>
      </c>
      <c r="H109" s="55"/>
      <c r="I109" s="61"/>
      <c r="J109" s="61"/>
      <c r="K109" s="55"/>
      <c r="L109" s="56"/>
      <c r="M109" s="56"/>
      <c r="N109" s="77">
        <f t="shared" si="7"/>
        <v>0</v>
      </c>
      <c r="O109" s="25" t="str">
        <f t="shared" si="8"/>
        <v/>
      </c>
      <c r="P109" s="78">
        <f t="shared" ca="1" si="9"/>
        <v>0</v>
      </c>
      <c r="Q109" s="13"/>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5"/>
    </row>
    <row r="110" spans="2:44" s="12" customFormat="1" ht="27.75" customHeight="1" x14ac:dyDescent="0.3">
      <c r="B110" s="57">
        <v>94</v>
      </c>
      <c r="C110" s="62"/>
      <c r="D110" s="62"/>
      <c r="E110" s="62"/>
      <c r="F110" s="61"/>
      <c r="G110" s="73">
        <f t="shared" ca="1" si="6"/>
        <v>0</v>
      </c>
      <c r="H110" s="55"/>
      <c r="I110" s="61"/>
      <c r="J110" s="61"/>
      <c r="K110" s="55"/>
      <c r="L110" s="56"/>
      <c r="M110" s="56"/>
      <c r="N110" s="77">
        <f t="shared" si="7"/>
        <v>0</v>
      </c>
      <c r="O110" s="25" t="str">
        <f t="shared" si="8"/>
        <v/>
      </c>
      <c r="P110" s="78">
        <f t="shared" ca="1" si="9"/>
        <v>0</v>
      </c>
      <c r="Q110" s="13"/>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5"/>
    </row>
    <row r="111" spans="2:44" s="12" customFormat="1" ht="27.75" customHeight="1" x14ac:dyDescent="0.3">
      <c r="B111" s="57">
        <v>95</v>
      </c>
      <c r="C111" s="62"/>
      <c r="D111" s="62"/>
      <c r="E111" s="62"/>
      <c r="F111" s="61"/>
      <c r="G111" s="73">
        <f t="shared" ca="1" si="6"/>
        <v>0</v>
      </c>
      <c r="H111" s="55"/>
      <c r="I111" s="67"/>
      <c r="J111" s="67"/>
      <c r="K111" s="55"/>
      <c r="L111" s="56"/>
      <c r="M111" s="56"/>
      <c r="N111" s="77">
        <f t="shared" si="7"/>
        <v>0</v>
      </c>
      <c r="O111" s="25" t="str">
        <f t="shared" si="8"/>
        <v/>
      </c>
      <c r="P111" s="78">
        <f t="shared" ca="1" si="9"/>
        <v>0</v>
      </c>
      <c r="Q111" s="13"/>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5"/>
    </row>
    <row r="112" spans="2:44" s="12" customFormat="1" ht="27.75" customHeight="1" x14ac:dyDescent="0.3">
      <c r="B112" s="57">
        <v>96</v>
      </c>
      <c r="C112" s="62"/>
      <c r="D112" s="62"/>
      <c r="E112" s="62"/>
      <c r="F112" s="61"/>
      <c r="G112" s="73">
        <f t="shared" ca="1" si="6"/>
        <v>0</v>
      </c>
      <c r="H112" s="55"/>
      <c r="I112" s="67"/>
      <c r="J112" s="67"/>
      <c r="K112" s="55"/>
      <c r="L112" s="56"/>
      <c r="M112" s="56"/>
      <c r="N112" s="77">
        <f t="shared" si="7"/>
        <v>0</v>
      </c>
      <c r="O112" s="25" t="str">
        <f t="shared" si="8"/>
        <v/>
      </c>
      <c r="P112" s="78">
        <f t="shared" ca="1" si="9"/>
        <v>0</v>
      </c>
      <c r="Q112" s="13"/>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5"/>
    </row>
    <row r="113" spans="2:44" s="12" customFormat="1" ht="27.75" customHeight="1" x14ac:dyDescent="0.3">
      <c r="B113" s="57">
        <v>97</v>
      </c>
      <c r="C113" s="62"/>
      <c r="D113" s="62"/>
      <c r="E113" s="62"/>
      <c r="F113" s="61"/>
      <c r="G113" s="73">
        <f t="shared" ca="1" si="6"/>
        <v>0</v>
      </c>
      <c r="H113" s="55"/>
      <c r="I113" s="56"/>
      <c r="J113" s="56"/>
      <c r="K113" s="55"/>
      <c r="L113" s="56"/>
      <c r="M113" s="56"/>
      <c r="N113" s="77">
        <f t="shared" si="7"/>
        <v>0</v>
      </c>
      <c r="O113" s="25" t="str">
        <f t="shared" si="8"/>
        <v/>
      </c>
      <c r="P113" s="78">
        <f t="shared" ca="1" si="9"/>
        <v>0</v>
      </c>
      <c r="Q113" s="13"/>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5"/>
    </row>
    <row r="114" spans="2:44" s="12" customFormat="1" ht="27.75" customHeight="1" x14ac:dyDescent="0.3">
      <c r="B114" s="57">
        <v>98</v>
      </c>
      <c r="C114" s="62"/>
      <c r="D114" s="62"/>
      <c r="E114" s="62"/>
      <c r="F114" s="61"/>
      <c r="G114" s="73">
        <f t="shared" ca="1" si="6"/>
        <v>0</v>
      </c>
      <c r="H114" s="55"/>
      <c r="I114" s="61"/>
      <c r="J114" s="61"/>
      <c r="K114" s="55"/>
      <c r="L114" s="56"/>
      <c r="M114" s="56"/>
      <c r="N114" s="77">
        <f t="shared" si="7"/>
        <v>0</v>
      </c>
      <c r="O114" s="25" t="str">
        <f t="shared" si="8"/>
        <v/>
      </c>
      <c r="P114" s="78">
        <f t="shared" ca="1" si="9"/>
        <v>0</v>
      </c>
      <c r="Q114" s="13"/>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5"/>
    </row>
    <row r="115" spans="2:44" s="12" customFormat="1" ht="27.75" customHeight="1" x14ac:dyDescent="0.3">
      <c r="B115" s="57">
        <v>99</v>
      </c>
      <c r="C115" s="62"/>
      <c r="D115" s="62"/>
      <c r="E115" s="62"/>
      <c r="F115" s="61"/>
      <c r="G115" s="73">
        <f t="shared" ca="1" si="6"/>
        <v>0</v>
      </c>
      <c r="H115" s="55"/>
      <c r="I115" s="61"/>
      <c r="J115" s="61"/>
      <c r="K115" s="55"/>
      <c r="L115" s="56"/>
      <c r="M115" s="56"/>
      <c r="N115" s="77">
        <f t="shared" si="7"/>
        <v>0</v>
      </c>
      <c r="O115" s="25" t="str">
        <f t="shared" si="8"/>
        <v/>
      </c>
      <c r="P115" s="78">
        <f t="shared" ca="1" si="9"/>
        <v>0</v>
      </c>
      <c r="Q115" s="13"/>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5"/>
    </row>
    <row r="116" spans="2:44" s="12" customFormat="1" ht="27.75" customHeight="1" x14ac:dyDescent="0.3">
      <c r="B116" s="57">
        <v>100</v>
      </c>
      <c r="C116" s="62"/>
      <c r="D116" s="62"/>
      <c r="E116" s="62"/>
      <c r="F116" s="61"/>
      <c r="G116" s="73">
        <f t="shared" ca="1" si="6"/>
        <v>0</v>
      </c>
      <c r="H116" s="55"/>
      <c r="I116" s="61"/>
      <c r="J116" s="61"/>
      <c r="K116" s="55"/>
      <c r="L116" s="56"/>
      <c r="M116" s="56"/>
      <c r="N116" s="77">
        <f t="shared" si="7"/>
        <v>0</v>
      </c>
      <c r="O116" s="25" t="str">
        <f t="shared" si="8"/>
        <v/>
      </c>
      <c r="P116" s="78">
        <f t="shared" ca="1" si="9"/>
        <v>0</v>
      </c>
      <c r="Q116" s="13"/>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5"/>
    </row>
    <row r="117" spans="2:44" s="12" customFormat="1" ht="27.75" customHeight="1" x14ac:dyDescent="0.3">
      <c r="B117" s="57">
        <v>101</v>
      </c>
      <c r="C117" s="62"/>
      <c r="D117" s="62"/>
      <c r="E117" s="62"/>
      <c r="F117" s="61"/>
      <c r="G117" s="73">
        <f t="shared" ca="1" si="6"/>
        <v>0</v>
      </c>
      <c r="H117" s="55"/>
      <c r="I117" s="67"/>
      <c r="J117" s="67"/>
      <c r="K117" s="55"/>
      <c r="L117" s="56"/>
      <c r="M117" s="56"/>
      <c r="N117" s="77">
        <f t="shared" si="7"/>
        <v>0</v>
      </c>
      <c r="O117" s="25" t="str">
        <f t="shared" si="8"/>
        <v/>
      </c>
      <c r="P117" s="78">
        <f t="shared" ca="1" si="9"/>
        <v>0</v>
      </c>
      <c r="Q117" s="13"/>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5"/>
    </row>
    <row r="118" spans="2:44" s="12" customFormat="1" ht="27.75" customHeight="1" x14ac:dyDescent="0.3">
      <c r="B118" s="57">
        <v>102</v>
      </c>
      <c r="C118" s="62"/>
      <c r="D118" s="62"/>
      <c r="E118" s="62"/>
      <c r="F118" s="61"/>
      <c r="G118" s="73">
        <f t="shared" ca="1" si="6"/>
        <v>0</v>
      </c>
      <c r="H118" s="55"/>
      <c r="I118" s="67"/>
      <c r="J118" s="67"/>
      <c r="K118" s="55"/>
      <c r="L118" s="56"/>
      <c r="M118" s="56"/>
      <c r="N118" s="77">
        <f t="shared" si="7"/>
        <v>0</v>
      </c>
      <c r="O118" s="25" t="str">
        <f t="shared" si="8"/>
        <v/>
      </c>
      <c r="P118" s="78">
        <f t="shared" ca="1" si="9"/>
        <v>0</v>
      </c>
      <c r="Q118" s="13"/>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5"/>
    </row>
    <row r="119" spans="2:44" s="12" customFormat="1" ht="27.75" customHeight="1" x14ac:dyDescent="0.3">
      <c r="B119" s="57">
        <v>103</v>
      </c>
      <c r="C119" s="62"/>
      <c r="D119" s="62"/>
      <c r="E119" s="62"/>
      <c r="F119" s="61"/>
      <c r="G119" s="73">
        <f t="shared" ca="1" si="6"/>
        <v>0</v>
      </c>
      <c r="H119" s="55"/>
      <c r="I119" s="56"/>
      <c r="J119" s="56"/>
      <c r="K119" s="55"/>
      <c r="L119" s="56"/>
      <c r="M119" s="56"/>
      <c r="N119" s="77">
        <f t="shared" si="7"/>
        <v>0</v>
      </c>
      <c r="O119" s="25" t="str">
        <f t="shared" si="8"/>
        <v/>
      </c>
      <c r="P119" s="78">
        <f t="shared" ca="1" si="9"/>
        <v>0</v>
      </c>
      <c r="Q119" s="13"/>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5"/>
    </row>
    <row r="120" spans="2:44" s="12" customFormat="1" ht="27.75" customHeight="1" x14ac:dyDescent="0.3">
      <c r="B120" s="57">
        <v>104</v>
      </c>
      <c r="C120" s="62"/>
      <c r="D120" s="62"/>
      <c r="E120" s="62"/>
      <c r="F120" s="61"/>
      <c r="G120" s="73">
        <f t="shared" ca="1" si="6"/>
        <v>0</v>
      </c>
      <c r="H120" s="55"/>
      <c r="I120" s="61"/>
      <c r="J120" s="61"/>
      <c r="K120" s="55"/>
      <c r="L120" s="56"/>
      <c r="M120" s="56"/>
      <c r="N120" s="77">
        <f t="shared" si="7"/>
        <v>0</v>
      </c>
      <c r="O120" s="25" t="str">
        <f t="shared" si="8"/>
        <v/>
      </c>
      <c r="P120" s="78">
        <f t="shared" ca="1" si="9"/>
        <v>0</v>
      </c>
      <c r="Q120" s="13"/>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5"/>
    </row>
    <row r="121" spans="2:44" s="12" customFormat="1" ht="27.75" customHeight="1" x14ac:dyDescent="0.3">
      <c r="B121" s="57">
        <v>105</v>
      </c>
      <c r="C121" s="62"/>
      <c r="D121" s="62"/>
      <c r="E121" s="62"/>
      <c r="F121" s="61"/>
      <c r="G121" s="73">
        <f t="shared" ca="1" si="6"/>
        <v>0</v>
      </c>
      <c r="H121" s="55"/>
      <c r="I121" s="61"/>
      <c r="J121" s="61"/>
      <c r="K121" s="55"/>
      <c r="L121" s="56"/>
      <c r="M121" s="56"/>
      <c r="N121" s="77">
        <f t="shared" si="7"/>
        <v>0</v>
      </c>
      <c r="O121" s="25" t="str">
        <f t="shared" si="8"/>
        <v/>
      </c>
      <c r="P121" s="78">
        <f t="shared" ca="1" si="9"/>
        <v>0</v>
      </c>
      <c r="Q121" s="13"/>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5"/>
    </row>
    <row r="122" spans="2:44" s="12" customFormat="1" ht="27.75" customHeight="1" x14ac:dyDescent="0.3">
      <c r="B122" s="57">
        <v>106</v>
      </c>
      <c r="C122" s="62"/>
      <c r="D122" s="62"/>
      <c r="E122" s="62"/>
      <c r="F122" s="61"/>
      <c r="G122" s="73">
        <f t="shared" ca="1" si="6"/>
        <v>0</v>
      </c>
      <c r="H122" s="55"/>
      <c r="I122" s="61"/>
      <c r="J122" s="61"/>
      <c r="K122" s="55"/>
      <c r="L122" s="56"/>
      <c r="M122" s="56"/>
      <c r="N122" s="77">
        <f t="shared" si="7"/>
        <v>0</v>
      </c>
      <c r="O122" s="25" t="str">
        <f t="shared" si="8"/>
        <v/>
      </c>
      <c r="P122" s="78">
        <f t="shared" ca="1" si="9"/>
        <v>0</v>
      </c>
      <c r="Q122" s="13"/>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5"/>
    </row>
    <row r="123" spans="2:44" s="12" customFormat="1" ht="27.75" customHeight="1" x14ac:dyDescent="0.3">
      <c r="B123" s="57">
        <v>107</v>
      </c>
      <c r="C123" s="62"/>
      <c r="D123" s="62"/>
      <c r="E123" s="62"/>
      <c r="F123" s="61"/>
      <c r="G123" s="73">
        <f t="shared" ca="1" si="6"/>
        <v>0</v>
      </c>
      <c r="H123" s="55"/>
      <c r="I123" s="67"/>
      <c r="J123" s="67"/>
      <c r="K123" s="55"/>
      <c r="L123" s="56"/>
      <c r="M123" s="56"/>
      <c r="N123" s="77">
        <f t="shared" si="7"/>
        <v>0</v>
      </c>
      <c r="O123" s="25" t="str">
        <f t="shared" si="8"/>
        <v/>
      </c>
      <c r="P123" s="78">
        <f t="shared" ca="1" si="9"/>
        <v>0</v>
      </c>
      <c r="Q123" s="13"/>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5"/>
    </row>
    <row r="124" spans="2:44" s="12" customFormat="1" ht="27.75" customHeight="1" x14ac:dyDescent="0.3">
      <c r="B124" s="57">
        <v>108</v>
      </c>
      <c r="C124" s="62"/>
      <c r="D124" s="62"/>
      <c r="E124" s="62"/>
      <c r="F124" s="61"/>
      <c r="G124" s="73">
        <f t="shared" ca="1" si="6"/>
        <v>0</v>
      </c>
      <c r="H124" s="55"/>
      <c r="I124" s="67"/>
      <c r="J124" s="67"/>
      <c r="K124" s="55"/>
      <c r="L124" s="56"/>
      <c r="M124" s="56"/>
      <c r="N124" s="77">
        <f t="shared" si="7"/>
        <v>0</v>
      </c>
      <c r="O124" s="25" t="str">
        <f t="shared" si="8"/>
        <v/>
      </c>
      <c r="P124" s="78">
        <f t="shared" ca="1" si="9"/>
        <v>0</v>
      </c>
      <c r="Q124" s="13"/>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5"/>
    </row>
    <row r="125" spans="2:44" s="12" customFormat="1" ht="27.75" customHeight="1" thickBot="1" x14ac:dyDescent="0.35">
      <c r="B125" s="65">
        <v>109</v>
      </c>
      <c r="C125" s="66"/>
      <c r="D125" s="66"/>
      <c r="E125" s="66"/>
      <c r="F125" s="81"/>
      <c r="G125" s="74">
        <f t="shared" ca="1" si="6"/>
        <v>0</v>
      </c>
      <c r="H125" s="68"/>
      <c r="I125" s="69"/>
      <c r="J125" s="69"/>
      <c r="K125" s="68"/>
      <c r="L125" s="69"/>
      <c r="M125" s="69"/>
      <c r="N125" s="79">
        <f>H125+K125</f>
        <v>0</v>
      </c>
      <c r="O125" s="26" t="str">
        <f t="shared" si="8"/>
        <v/>
      </c>
      <c r="P125" s="80">
        <f t="shared" ca="1" si="9"/>
        <v>0</v>
      </c>
      <c r="Q125" s="16"/>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8"/>
    </row>
  </sheetData>
  <mergeCells count="17">
    <mergeCell ref="G15:G16"/>
    <mergeCell ref="P15:P16"/>
    <mergeCell ref="N15:N16"/>
    <mergeCell ref="H14:M14"/>
    <mergeCell ref="M15:M16"/>
    <mergeCell ref="B3:J3"/>
    <mergeCell ref="B15:B16"/>
    <mergeCell ref="C15:C16"/>
    <mergeCell ref="K15:K16"/>
    <mergeCell ref="L15:L16"/>
    <mergeCell ref="H15:H16"/>
    <mergeCell ref="I15:I16"/>
    <mergeCell ref="J15:J16"/>
    <mergeCell ref="C12:E12"/>
    <mergeCell ref="D15:D16"/>
    <mergeCell ref="E15:E16"/>
    <mergeCell ref="F15:F16"/>
  </mergeCells>
  <conditionalFormatting sqref="O17:O125">
    <cfRule type="containsText" dxfId="4" priority="1" operator="containsText" text="No cumple">
      <formula>NOT(ISERROR(SEARCH("No cumple",O17)))</formula>
    </cfRule>
    <cfRule type="containsText" dxfId="3" priority="2" operator="containsText" text="Cumple">
      <formula>NOT(ISERROR(SEARCH("Cumple",O17)))</formula>
    </cfRule>
  </conditionalFormatting>
  <conditionalFormatting sqref="Q15:AR15">
    <cfRule type="expression" dxfId="2" priority="3">
      <formula>Q$16="d"</formula>
    </cfRule>
    <cfRule type="expression" dxfId="1" priority="4">
      <formula>Q$14&lt;&gt;""</formula>
    </cfRule>
  </conditionalFormatting>
  <conditionalFormatting sqref="Q17:AR125">
    <cfRule type="expression" dxfId="0" priority="6" stopIfTrue="1">
      <formula>OR(AND(Q$15&gt;=$I17,Q$15&lt;=$J17),AND(Q$15&gt;=$L17,Q$15&lt;=$M17))</formula>
    </cfRule>
  </conditionalFormatting>
  <pageMargins left="0.7" right="0.7" top="0.75" bottom="0.75" header="0.3" footer="0.3"/>
  <pageSetup scale="37" orientation="portrait" r:id="rId1"/>
  <rowBreaks count="1" manualBreakCount="1">
    <brk id="59" min="1" max="33" man="1"/>
  </rowBreaks>
  <drawing r:id="rId2"/>
  <legacyDrawing r:id="rId3"/>
  <mc:AlternateContent xmlns:mc="http://schemas.openxmlformats.org/markup-compatibility/2006">
    <mc:Choice Requires="x14">
      <controls>
        <mc:AlternateContent xmlns:mc="http://schemas.openxmlformats.org/markup-compatibility/2006">
          <mc:Choice Requires="x14">
            <control shapeId="4097" r:id="rId4" name="Scroll Bar 1">
              <controlPr defaultSize="0" autoPict="0">
                <anchor moveWithCells="1">
                  <from>
                    <xdr:col>1</xdr:col>
                    <xdr:colOff>251460</xdr:colOff>
                    <xdr:row>8</xdr:row>
                    <xdr:rowOff>15240</xdr:rowOff>
                  </from>
                  <to>
                    <xdr:col>6</xdr:col>
                    <xdr:colOff>152400</xdr:colOff>
                    <xdr:row>10</xdr:row>
                    <xdr:rowOff>167640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43EBB-9890-4BEE-8502-F17A95A1F28D}">
  <dimension ref="B2:C22"/>
  <sheetViews>
    <sheetView showGridLines="0" tabSelected="1" workbookViewId="0">
      <selection activeCell="B2" sqref="B2:C2"/>
    </sheetView>
  </sheetViews>
  <sheetFormatPr baseColWidth="10" defaultColWidth="11.44140625" defaultRowHeight="15" x14ac:dyDescent="0.25"/>
  <cols>
    <col min="1" max="1" width="12.44140625" style="82" customWidth="1"/>
    <col min="2" max="2" width="16.44140625" style="82" customWidth="1"/>
    <col min="3" max="3" width="35.21875" style="82" bestFit="1" customWidth="1"/>
    <col min="4" max="16384" width="11.44140625" style="82"/>
  </cols>
  <sheetData>
    <row r="2" spans="2:3" ht="44.25" customHeight="1" x14ac:dyDescent="0.25">
      <c r="B2" s="100" t="s">
        <v>0</v>
      </c>
      <c r="C2" s="100"/>
    </row>
    <row r="3" spans="2:3" ht="15.6" thickBot="1" x14ac:dyDescent="0.3"/>
    <row r="4" spans="2:3" ht="16.2" thickBot="1" x14ac:dyDescent="0.35">
      <c r="B4" s="42" t="s">
        <v>1</v>
      </c>
      <c r="C4" s="43" t="s">
        <v>2</v>
      </c>
    </row>
    <row r="5" spans="2:3" x14ac:dyDescent="0.25">
      <c r="B5" s="1">
        <v>46023</v>
      </c>
      <c r="C5" s="2" t="s">
        <v>5</v>
      </c>
    </row>
    <row r="6" spans="2:3" x14ac:dyDescent="0.25">
      <c r="B6" s="1">
        <v>46034</v>
      </c>
      <c r="C6" s="2" t="s">
        <v>6</v>
      </c>
    </row>
    <row r="7" spans="2:3" x14ac:dyDescent="0.25">
      <c r="B7" s="1">
        <v>46104</v>
      </c>
      <c r="C7" s="2" t="s">
        <v>7</v>
      </c>
    </row>
    <row r="8" spans="2:3" x14ac:dyDescent="0.25">
      <c r="B8" s="1">
        <v>46114</v>
      </c>
      <c r="C8" s="2" t="s">
        <v>8</v>
      </c>
    </row>
    <row r="9" spans="2:3" x14ac:dyDescent="0.25">
      <c r="B9" s="1">
        <v>46115</v>
      </c>
      <c r="C9" s="2" t="s">
        <v>9</v>
      </c>
    </row>
    <row r="10" spans="2:3" x14ac:dyDescent="0.25">
      <c r="B10" s="1">
        <v>46143</v>
      </c>
      <c r="C10" s="2" t="s">
        <v>10</v>
      </c>
    </row>
    <row r="11" spans="2:3" x14ac:dyDescent="0.25">
      <c r="B11" s="1">
        <v>46160</v>
      </c>
      <c r="C11" s="2" t="s">
        <v>66</v>
      </c>
    </row>
    <row r="12" spans="2:3" ht="15.6" x14ac:dyDescent="0.3">
      <c r="B12" s="1">
        <v>46181</v>
      </c>
      <c r="C12" s="3" t="s">
        <v>11</v>
      </c>
    </row>
    <row r="13" spans="2:3" x14ac:dyDescent="0.25">
      <c r="B13" s="1">
        <v>46188</v>
      </c>
      <c r="C13" s="2" t="s">
        <v>67</v>
      </c>
    </row>
    <row r="14" spans="2:3" x14ac:dyDescent="0.25">
      <c r="B14" s="1">
        <v>46202</v>
      </c>
      <c r="C14" s="2" t="s">
        <v>68</v>
      </c>
    </row>
    <row r="15" spans="2:3" x14ac:dyDescent="0.25">
      <c r="B15" s="1">
        <v>46223</v>
      </c>
      <c r="C15" s="2" t="s">
        <v>12</v>
      </c>
    </row>
    <row r="16" spans="2:3" x14ac:dyDescent="0.25">
      <c r="B16" s="1">
        <v>46241</v>
      </c>
      <c r="C16" s="2" t="s">
        <v>13</v>
      </c>
    </row>
    <row r="17" spans="2:3" x14ac:dyDescent="0.25">
      <c r="B17" s="1">
        <v>46251</v>
      </c>
      <c r="C17" s="2" t="s">
        <v>69</v>
      </c>
    </row>
    <row r="18" spans="2:3" x14ac:dyDescent="0.25">
      <c r="B18" s="1">
        <v>46307</v>
      </c>
      <c r="C18" s="2" t="s">
        <v>70</v>
      </c>
    </row>
    <row r="19" spans="2:3" x14ac:dyDescent="0.25">
      <c r="B19" s="1">
        <v>46328</v>
      </c>
      <c r="C19" s="2" t="s">
        <v>14</v>
      </c>
    </row>
    <row r="20" spans="2:3" x14ac:dyDescent="0.25">
      <c r="B20" s="1">
        <v>46342</v>
      </c>
      <c r="C20" s="2" t="s">
        <v>3</v>
      </c>
    </row>
    <row r="21" spans="2:3" x14ac:dyDescent="0.25">
      <c r="B21" s="1">
        <v>46364</v>
      </c>
      <c r="C21" s="2" t="s">
        <v>71</v>
      </c>
    </row>
    <row r="22" spans="2:3" ht="15.6" thickBot="1" x14ac:dyDescent="0.3">
      <c r="B22" s="4">
        <v>46381</v>
      </c>
      <c r="C22" s="5" t="s">
        <v>4</v>
      </c>
    </row>
  </sheetData>
  <mergeCells count="1">
    <mergeCell ref="B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Introducción</vt:lpstr>
      <vt:lpstr>Vacaciones</vt:lpstr>
      <vt:lpstr>Festivos</vt:lpstr>
      <vt:lpstr>Vacaciones!Área_de_impresión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iaparicio</dc:creator>
  <cp:lastModifiedBy>Andrés Felipe Arrieta Bertel</cp:lastModifiedBy>
  <dcterms:created xsi:type="dcterms:W3CDTF">2018-10-29T13:37:12Z</dcterms:created>
  <dcterms:modified xsi:type="dcterms:W3CDTF">2026-08-08T19:09:41Z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2430106-5354-4682-8f10-907bdfa2a0be_Enabled">
    <vt:lpwstr>true</vt:lpwstr>
  </property>
  <property fmtid="{D5CDD505-2E9C-101B-9397-08002B2CF9AE}" pid="3" name="MSIP_Label_e2430106-5354-4682-8f10-907bdfa2a0be_SetDate">
    <vt:lpwstr>2026-05-07T19:42:02Z</vt:lpwstr>
  </property>
  <property fmtid="{D5CDD505-2E9C-101B-9397-08002B2CF9AE}" pid="4" name="MSIP_Label_e2430106-5354-4682-8f10-907bdfa2a0be_Method">
    <vt:lpwstr>Standard</vt:lpwstr>
  </property>
  <property fmtid="{D5CDD505-2E9C-101B-9397-08002B2CF9AE}" pid="5" name="MSIP_Label_e2430106-5354-4682-8f10-907bdfa2a0be_Name">
    <vt:lpwstr>defa4170-0d19-0005-0004-bc88714345d2</vt:lpwstr>
  </property>
  <property fmtid="{D5CDD505-2E9C-101B-9397-08002B2CF9AE}" pid="6" name="MSIP_Label_e2430106-5354-4682-8f10-907bdfa2a0be_SiteId">
    <vt:lpwstr>3a7479db-d9ff-4e0b-9d0a-380a5e714f6f</vt:lpwstr>
  </property>
  <property fmtid="{D5CDD505-2E9C-101B-9397-08002B2CF9AE}" pid="7" name="MSIP_Label_e2430106-5354-4682-8f10-907bdfa2a0be_ActionId">
    <vt:lpwstr>df8f6b9d-0b4d-464c-a39e-2f93886314f2</vt:lpwstr>
  </property>
  <property fmtid="{D5CDD505-2E9C-101B-9397-08002B2CF9AE}" pid="8" name="MSIP_Label_e2430106-5354-4682-8f10-907bdfa2a0be_ContentBits">
    <vt:lpwstr>0</vt:lpwstr>
  </property>
  <property fmtid="{D5CDD505-2E9C-101B-9397-08002B2CF9AE}" pid="9" name="MSIP_Label_e2430106-5354-4682-8f10-907bdfa2a0be_Tag">
    <vt:lpwstr>10, 3, 0, 1</vt:lpwstr>
  </property>
</Properties>
</file>