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2672440234688e7/Archivo activo/Contabilidad/1. Clientes/Francoceramicas S.A.S/2026/Estados financieros/"/>
    </mc:Choice>
  </mc:AlternateContent>
  <xr:revisionPtr revIDLastSave="180" documentId="13_ncr:1_{59C9B00E-2F37-4662-B5B7-E3960824A1A7}" xr6:coauthVersionLast="47" xr6:coauthVersionMax="47" xr10:uidLastSave="{1BF3AF3B-2A98-4455-A53B-81D18DB612E6}"/>
  <bookViews>
    <workbookView xWindow="-120" yWindow="-120" windowWidth="20730" windowHeight="11040" tabRatio="500" xr2:uid="{00000000-000D-0000-FFFF-FFFF00000000}"/>
  </bookViews>
  <sheets>
    <sheet name="Estado de Situación Financiera" sheetId="2" r:id="rId1"/>
    <sheet name="Estado de Resultados" sheetId="1" r:id="rId2"/>
    <sheet name="Calculador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4" i="2" l="1"/>
  <c r="H5" i="3" s="1"/>
  <c r="J50" i="2"/>
  <c r="J41" i="2"/>
  <c r="H54" i="1"/>
  <c r="J13" i="2"/>
  <c r="J18" i="2"/>
  <c r="J15" i="2"/>
  <c r="H10" i="3"/>
  <c r="H31" i="1"/>
  <c r="H64" i="1"/>
  <c r="H38" i="1"/>
  <c r="B75" i="2"/>
  <c r="B74" i="2"/>
  <c r="I75" i="2"/>
  <c r="I76" i="2"/>
  <c r="I74" i="2"/>
  <c r="B4" i="1" l="1"/>
  <c r="B3" i="1"/>
  <c r="H71" i="1"/>
  <c r="H57" i="1"/>
  <c r="H51" i="1"/>
  <c r="H41" i="1"/>
  <c r="H33" i="1"/>
  <c r="H18" i="1"/>
  <c r="H20" i="1" s="1"/>
  <c r="H13" i="1"/>
  <c r="J51" i="2"/>
  <c r="J30" i="2"/>
  <c r="J21" i="2"/>
  <c r="H4" i="3" s="1"/>
  <c r="C10" i="3" l="1"/>
  <c r="E10" i="3" s="1"/>
  <c r="J53" i="2"/>
  <c r="C5" i="3"/>
  <c r="E5" i="3" s="1"/>
  <c r="H7" i="3"/>
  <c r="H43" i="1"/>
  <c r="H45" i="1" s="1"/>
  <c r="H9" i="3" s="1"/>
  <c r="C7" i="3" s="1"/>
  <c r="E7" i="3" s="1"/>
  <c r="H22" i="1"/>
  <c r="J32" i="2"/>
  <c r="H6" i="3" l="1"/>
  <c r="C6" i="3" s="1"/>
  <c r="E6" i="3" s="1"/>
  <c r="H59" i="1"/>
  <c r="C9" i="3" l="1"/>
  <c r="E9" i="3" s="1"/>
  <c r="H66" i="1"/>
  <c r="H73" i="1" l="1"/>
  <c r="J63" i="2"/>
  <c r="J65" i="2" s="1"/>
  <c r="H8" i="3" s="1"/>
  <c r="C8" i="3" s="1"/>
  <c r="E8" i="3" s="1"/>
  <c r="J67" i="2" l="1"/>
</calcChain>
</file>

<file path=xl/sharedStrings.xml><?xml version="1.0" encoding="utf-8"?>
<sst xmlns="http://schemas.openxmlformats.org/spreadsheetml/2006/main" count="144" uniqueCount="137">
  <si>
    <t>ESTADO DE RESULTADOS INTEGRAL</t>
  </si>
  <si>
    <t>Por el período comprendido entre el 1 de enero y el 31 de diciembre de 2025</t>
  </si>
  <si>
    <t>Cifras expresadas en pesos colombianos (COP)</t>
  </si>
  <si>
    <t>CONCEPTO</t>
  </si>
  <si>
    <t>2025</t>
  </si>
  <si>
    <t>INGRESOS OPERACIONALES</t>
  </si>
  <si>
    <t xml:space="preserve">  Ventas brutas de mercancía</t>
  </si>
  <si>
    <t xml:space="preserve">  Devoluciones y descuentos</t>
  </si>
  <si>
    <t xml:space="preserve">    VENTAS NETAS</t>
  </si>
  <si>
    <t>COSTO DE VENTAS</t>
  </si>
  <si>
    <t xml:space="preserve">  Inventario inicial</t>
  </si>
  <si>
    <t xml:space="preserve">  Compras netas del período</t>
  </si>
  <si>
    <t xml:space="preserve">    Mercancía disponible para venta</t>
  </si>
  <si>
    <t xml:space="preserve">  Inventario final</t>
  </si>
  <si>
    <t xml:space="preserve">    COSTO DE VENTAS</t>
  </si>
  <si>
    <t>UTILIDAD BRUTA</t>
  </si>
  <si>
    <t>GASTOS OPERACIONALES DE ADMINISTRACIÓN</t>
  </si>
  <si>
    <t xml:space="preserve">  Gastos de personal administrativo</t>
  </si>
  <si>
    <t xml:space="preserve">  Honorarios</t>
  </si>
  <si>
    <t xml:space="preserve">  Arrendamientos</t>
  </si>
  <si>
    <t xml:space="preserve">  Seguros</t>
  </si>
  <si>
    <t xml:space="preserve">  Servicios públicos</t>
  </si>
  <si>
    <t xml:space="preserve">  Mantenimiento y reparaciones</t>
  </si>
  <si>
    <t xml:space="preserve">  Depreciaciones y amortizaciones</t>
  </si>
  <si>
    <t xml:space="preserve">  Gastos de administración varios</t>
  </si>
  <si>
    <t xml:space="preserve">    TOTAL GASTOS ADMINISTRACIÓN</t>
  </si>
  <si>
    <t>GASTOS OPERACIONALES DE VENTAS</t>
  </si>
  <si>
    <t xml:space="preserve">  Gastos de personal de ventas</t>
  </si>
  <si>
    <t xml:space="preserve">  Comisiones y honorarios de ventas</t>
  </si>
  <si>
    <t xml:space="preserve">  Publicidad y marketing</t>
  </si>
  <si>
    <t xml:space="preserve">  Transporte y logística</t>
  </si>
  <si>
    <t xml:space="preserve">  Gastos de ventas varios</t>
  </si>
  <si>
    <t xml:space="preserve">    TOTAL GASTOS DE VENTAS</t>
  </si>
  <si>
    <t>TOTAL GASTOS OPERACIONALES</t>
  </si>
  <si>
    <t>UTILIDAD OPERACIONAL (EBIT)</t>
  </si>
  <si>
    <t>INGRESOS NO OPERACIONALES</t>
  </si>
  <si>
    <t xml:space="preserve">  Ingresos financieros</t>
  </si>
  <si>
    <t xml:space="preserve">  Rendimientos e inversiones</t>
  </si>
  <si>
    <t xml:space="preserve">  Otros ingresos no operacionales</t>
  </si>
  <si>
    <t xml:space="preserve">    TOTAL INGRESOS NO OPERACIONALES</t>
  </si>
  <si>
    <t>GASTOS NO OPERACIONALES</t>
  </si>
  <si>
    <t xml:space="preserve">  Gastos financieros (intereses)</t>
  </si>
  <si>
    <t xml:space="preserve">  Diferencia en cambio</t>
  </si>
  <si>
    <t xml:space="preserve">  Otros gastos no operacionales</t>
  </si>
  <si>
    <t xml:space="preserve">    TOTAL GASTOS NO OPERACIONALES</t>
  </si>
  <si>
    <t>UTILIDAD ANTES DE IMPUESTOS (UAI)</t>
  </si>
  <si>
    <t>PROVISIÓN PARA IMPUESTOS</t>
  </si>
  <si>
    <t xml:space="preserve">  Impuesto de renta corriente (35%)</t>
  </si>
  <si>
    <t xml:space="preserve">  Impuesto diferido</t>
  </si>
  <si>
    <t xml:space="preserve">    TOTAL IMPUESTO DE RENTA</t>
  </si>
  <si>
    <t>UTILIDAD NETA DEL PERÍODO</t>
  </si>
  <si>
    <t>OTRO RESULTADO INTEGRAL (ORI)</t>
  </si>
  <si>
    <t xml:space="preserve">  Variación de inversiones disponibles para venta</t>
  </si>
  <si>
    <t xml:space="preserve">  Diferencia en conversión de operaciones en el ext.</t>
  </si>
  <si>
    <t xml:space="preserve">    TOTAL ORI</t>
  </si>
  <si>
    <t>RESULTADO INTEGRAL TOTAL DEL PERÍODO</t>
  </si>
  <si>
    <t>REPRESENTANTE LEGAL</t>
  </si>
  <si>
    <t>CONTADOR PÚBLICO</t>
  </si>
  <si>
    <t>ESTADO DE SITUACIÓN FINANCIERA</t>
  </si>
  <si>
    <t>Al 31 de diciembre de 2025</t>
  </si>
  <si>
    <t>A C T I V O S</t>
  </si>
  <si>
    <t>ACTIVO CORRIENTE</t>
  </si>
  <si>
    <t xml:space="preserve">  Efectivo y equivalentes de efectivo</t>
  </si>
  <si>
    <t xml:space="preserve">  Inversiones temporales</t>
  </si>
  <si>
    <t xml:space="preserve">  Cuentas por cobrar clientes</t>
  </si>
  <si>
    <t xml:space="preserve">  Provisión cartera de dudoso recaudo</t>
  </si>
  <si>
    <t xml:space="preserve">  Otras cuentas por cobrar</t>
  </si>
  <si>
    <t xml:space="preserve">  Inventarios</t>
  </si>
  <si>
    <t xml:space="preserve">  Gastos pagados por anticipado</t>
  </si>
  <si>
    <t xml:space="preserve">  Otros activos corrientes</t>
  </si>
  <si>
    <t xml:space="preserve">    TOTAL ACTIVO CORRIENTE</t>
  </si>
  <si>
    <t>ACTIVO NO CORRIENTE</t>
  </si>
  <si>
    <t xml:space="preserve">  Inversiones en subsidiarias y asociadas</t>
  </si>
  <si>
    <t xml:space="preserve">  Propiedades, planta y equipo — bruto</t>
  </si>
  <si>
    <t xml:space="preserve">  Depreciación acumulada</t>
  </si>
  <si>
    <t xml:space="preserve">  Activos intangibles — neto</t>
  </si>
  <si>
    <t xml:space="preserve">  Propiedades de inversión</t>
  </si>
  <si>
    <t xml:space="preserve">  Otros activos no corrientes</t>
  </si>
  <si>
    <t xml:space="preserve">    TOTAL ACTIVO NO CORRIENTE</t>
  </si>
  <si>
    <t>TOTAL ACTIVO</t>
  </si>
  <si>
    <t>P A S I V O S</t>
  </si>
  <si>
    <t>PASIVO CORRIENTE</t>
  </si>
  <si>
    <t xml:space="preserve">  Obligaciones financieras corto plazo</t>
  </si>
  <si>
    <t xml:space="preserve">  Cuentas por pagar proveedores</t>
  </si>
  <si>
    <t xml:space="preserve">  Costos y gastos por pagar</t>
  </si>
  <si>
    <t xml:space="preserve">  Impuestos por pagar</t>
  </si>
  <si>
    <t xml:space="preserve">  Obligaciones laborales</t>
  </si>
  <si>
    <t xml:space="preserve">  Ingresos recibidos por anticipado</t>
  </si>
  <si>
    <t xml:space="preserve">  Otros pasivos corrientes</t>
  </si>
  <si>
    <t xml:space="preserve">    TOTAL PASIVO CORRIENTE</t>
  </si>
  <si>
    <t>PASIVO NO CORRIENTE</t>
  </si>
  <si>
    <t xml:space="preserve">  Obligaciones financieras largo plazo</t>
  </si>
  <si>
    <t xml:space="preserve">  Pasivos por impuesto diferido</t>
  </si>
  <si>
    <t xml:space="preserve">  Beneficios a empleados largo plazo</t>
  </si>
  <si>
    <t xml:space="preserve">  Otros pasivos no corrientes</t>
  </si>
  <si>
    <t xml:space="preserve">    TOTAL PASIVO NO CORRIENTE</t>
  </si>
  <si>
    <t>TOTAL PASIVO</t>
  </si>
  <si>
    <t>P A T R I M O N I O</t>
  </si>
  <si>
    <t xml:space="preserve">  Prima en colocación de acciones</t>
  </si>
  <si>
    <t xml:space="preserve">  Reserva legal</t>
  </si>
  <si>
    <t xml:space="preserve">  Otras reservas</t>
  </si>
  <si>
    <t xml:space="preserve">  Revalorización del patrimonio</t>
  </si>
  <si>
    <t xml:space="preserve">  Resultados acumulados de ejercicios anteriores</t>
  </si>
  <si>
    <t xml:space="preserve">    Utilidad (pérdida) del período</t>
  </si>
  <si>
    <t xml:space="preserve">  Otro resultado integral acumulado</t>
  </si>
  <si>
    <t xml:space="preserve">    TOTAL PATRIMONIO</t>
  </si>
  <si>
    <t>TOTAL PASIVO + PATRIMONIO</t>
  </si>
  <si>
    <t>__________________________</t>
  </si>
  <si>
    <t>_____________________________</t>
  </si>
  <si>
    <t>Nombre: Andrés Felipe Arrieta Bertel</t>
  </si>
  <si>
    <t>C.C. No.:1.102.866.622</t>
  </si>
  <si>
    <t>T.P. No.: 273234-T</t>
  </si>
  <si>
    <t xml:space="preserve"> </t>
  </si>
  <si>
    <t>FRANCOCERAMICAS SAS</t>
  </si>
  <si>
    <t>NIT.: 901822884</t>
  </si>
  <si>
    <t>Nombre: Katia Rios Montes</t>
  </si>
  <si>
    <t>C.C. No.: 64.700.902</t>
  </si>
  <si>
    <t xml:space="preserve"> Indicadores de capacidad financiera</t>
  </si>
  <si>
    <t>Datos financieros (Estados financieros)</t>
  </si>
  <si>
    <t>Indicadores de capacidad financiera</t>
  </si>
  <si>
    <t>Francoceramicas</t>
  </si>
  <si>
    <t>Nivel optimo</t>
  </si>
  <si>
    <t>Cumple / No cumple</t>
  </si>
  <si>
    <t>Activo Corriente</t>
  </si>
  <si>
    <t>Pasivo Corriente</t>
  </si>
  <si>
    <t>Activo Total</t>
  </si>
  <si>
    <t>Pasivo Total</t>
  </si>
  <si>
    <t>Patrimonio</t>
  </si>
  <si>
    <t>Utilidad Operacional</t>
  </si>
  <si>
    <t>Gastos de Intereses</t>
  </si>
  <si>
    <r>
      <rPr>
        <b/>
        <sz val="10"/>
        <color theme="1"/>
        <rFont val="Arial"/>
        <family val="2"/>
      </rPr>
      <t>Liquidez:</t>
    </r>
    <r>
      <rPr>
        <sz val="10"/>
        <color theme="1"/>
        <rFont val="Arial"/>
        <family val="2"/>
      </rPr>
      <t xml:space="preserve"> Activo Corriente / Pasivo Corriente</t>
    </r>
  </si>
  <si>
    <r>
      <rPr>
        <b/>
        <sz val="10"/>
        <color theme="1"/>
        <rFont val="Arial"/>
        <family val="2"/>
      </rPr>
      <t>Endeudamiento:</t>
    </r>
    <r>
      <rPr>
        <sz val="10"/>
        <color theme="1"/>
        <rFont val="Arial"/>
        <family val="2"/>
      </rPr>
      <t xml:space="preserve"> Pasivo Total / Activo Total</t>
    </r>
  </si>
  <si>
    <r>
      <rPr>
        <b/>
        <sz val="10"/>
        <color theme="1"/>
        <rFont val="Arial"/>
        <family val="2"/>
      </rPr>
      <t>Razón de Cobertura de Intereses</t>
    </r>
    <r>
      <rPr>
        <sz val="10"/>
        <color theme="1"/>
        <rFont val="Arial"/>
        <family val="2"/>
      </rPr>
      <t xml:space="preserve"> = Utilidad Operacional / Gastos de Intereses</t>
    </r>
  </si>
  <si>
    <r>
      <rPr>
        <b/>
        <sz val="10"/>
        <color theme="1"/>
        <rFont val="Arial"/>
        <family val="2"/>
      </rPr>
      <t>Rentabilidad del patrimonio:</t>
    </r>
    <r>
      <rPr>
        <sz val="10"/>
        <color theme="1"/>
        <rFont val="Arial"/>
        <family val="2"/>
      </rPr>
      <t xml:space="preserve">  Utilidad Operacional / Patrimonio</t>
    </r>
  </si>
  <si>
    <r>
      <rPr>
        <b/>
        <sz val="10"/>
        <color theme="1"/>
        <rFont val="Arial"/>
        <family val="2"/>
      </rPr>
      <t>Rentabilidad sobre activos:</t>
    </r>
    <r>
      <rPr>
        <sz val="10"/>
        <color theme="1"/>
        <rFont val="Arial"/>
        <family val="2"/>
      </rPr>
      <t xml:space="preserve">  Utilidad Operacional / Activo Total</t>
    </r>
  </si>
  <si>
    <r>
      <rPr>
        <b/>
        <sz val="10"/>
        <color theme="1"/>
        <rFont val="Arial"/>
        <family val="2"/>
      </rPr>
      <t xml:space="preserve">KT Capital de trabajo: </t>
    </r>
    <r>
      <rPr>
        <sz val="10"/>
        <color theme="1"/>
        <rFont val="Arial"/>
        <family val="2"/>
      </rPr>
      <t>(Activo corriente - Pasivo)</t>
    </r>
  </si>
  <si>
    <t xml:space="preserve">  Capital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</si>
</sst>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43" formatCode="_-* #,##0.00_-;\-* #,##0.00_-;_-* &quot;-&quot;??_-;_-@_-"/>
    <numFmt numFmtId="164" formatCode="0.0%;\(0.0%\);\-"/>
    <numFmt numFmtId="165" formatCode="&quot;$&quot;\ #,##0.00"/>
    <numFmt numFmtId="166" formatCode="_-* #,##0_-;\-* #,##0_-;_-* &quot;-&quot;??_-;_-@_-"/>
  </numFmts>
  <fonts count="3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i/>
      <sz val="8"/>
      <color rgb="FF595959"/>
      <name val="Arial"/>
      <family val="2"/>
    </font>
    <font>
      <sz val="9"/>
      <color rgb="FF595959"/>
      <name val="Arial"/>
      <family val="2"/>
    </font>
    <font>
      <sz val="9"/>
      <color rgb="FF0000FF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sz val="10"/>
      <color theme="1"/>
      <name val="Calibri"/>
      <family val="2"/>
      <charset val="1"/>
    </font>
    <font>
      <b/>
      <sz val="1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10"/>
      <color rgb="FF595959"/>
      <name val="Arial"/>
      <family val="2"/>
    </font>
    <font>
      <sz val="10"/>
      <color rgb="FF595959"/>
      <name val="Arial"/>
      <family val="2"/>
    </font>
    <font>
      <b/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6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165" fontId="0" fillId="0" borderId="0" xfId="0" applyNumberFormat="1"/>
    <xf numFmtId="165" fontId="6" fillId="2" borderId="0" xfId="0" applyNumberFormat="1" applyFont="1" applyFill="1" applyAlignment="1">
      <alignment horizontal="right" vertical="center"/>
    </xf>
    <xf numFmtId="165" fontId="7" fillId="2" borderId="2" xfId="0" applyNumberFormat="1" applyFont="1" applyFill="1" applyBorder="1" applyAlignment="1">
      <alignment horizontal="right" vertical="center"/>
    </xf>
    <xf numFmtId="165" fontId="7" fillId="2" borderId="3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Alignment="1">
      <alignment horizontal="left" vertical="center"/>
    </xf>
    <xf numFmtId="165" fontId="8" fillId="2" borderId="0" xfId="0" applyNumberFormat="1" applyFont="1" applyFill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14" fillId="0" borderId="0" xfId="0" applyFont="1"/>
    <xf numFmtId="0" fontId="15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4" fontId="16" fillId="2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165" fontId="18" fillId="2" borderId="0" xfId="0" applyNumberFormat="1" applyFont="1" applyFill="1" applyAlignment="1">
      <alignment horizontal="right" vertical="center"/>
    </xf>
    <xf numFmtId="165" fontId="12" fillId="2" borderId="2" xfId="0" applyNumberFormat="1" applyFont="1" applyFill="1" applyBorder="1" applyAlignment="1">
      <alignment horizontal="right" vertical="center"/>
    </xf>
    <xf numFmtId="165" fontId="14" fillId="0" borderId="0" xfId="0" applyNumberFormat="1" applyFont="1"/>
    <xf numFmtId="165" fontId="17" fillId="2" borderId="2" xfId="0" applyNumberFormat="1" applyFont="1" applyFill="1" applyBorder="1" applyAlignment="1">
      <alignment horizontal="right" vertical="center"/>
    </xf>
    <xf numFmtId="165" fontId="17" fillId="2" borderId="0" xfId="0" applyNumberFormat="1" applyFont="1" applyFill="1" applyAlignment="1">
      <alignment horizontal="right" vertical="center"/>
    </xf>
    <xf numFmtId="165" fontId="12" fillId="2" borderId="3" xfId="0" applyNumberFormat="1" applyFont="1" applyFill="1" applyBorder="1" applyAlignment="1">
      <alignment horizontal="right" vertical="center"/>
    </xf>
    <xf numFmtId="165" fontId="21" fillId="0" borderId="0" xfId="0" applyNumberFormat="1" applyFont="1"/>
    <xf numFmtId="0" fontId="21" fillId="0" borderId="0" xfId="0" applyFont="1"/>
    <xf numFmtId="165" fontId="13" fillId="2" borderId="1" xfId="0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23" fillId="0" borderId="0" xfId="0" applyFont="1"/>
    <xf numFmtId="0" fontId="24" fillId="0" borderId="0" xfId="0" applyFont="1"/>
    <xf numFmtId="43" fontId="24" fillId="0" borderId="0" xfId="1" applyFont="1" applyAlignment="1">
      <alignment horizontal="center"/>
    </xf>
    <xf numFmtId="0" fontId="24" fillId="0" borderId="0" xfId="0" applyFont="1" applyAlignment="1">
      <alignment horizontal="center"/>
    </xf>
    <xf numFmtId="166" fontId="24" fillId="0" borderId="0" xfId="1" applyNumberFormat="1" applyFont="1"/>
    <xf numFmtId="43" fontId="24" fillId="0" borderId="0" xfId="1" applyFont="1"/>
    <xf numFmtId="0" fontId="25" fillId="0" borderId="0" xfId="0" applyFont="1" applyAlignment="1">
      <alignment horizontal="center"/>
    </xf>
    <xf numFmtId="166" fontId="24" fillId="0" borderId="0" xfId="1" applyNumberFormat="1" applyFont="1" applyBorder="1"/>
    <xf numFmtId="0" fontId="26" fillId="3" borderId="4" xfId="0" applyFont="1" applyFill="1" applyBorder="1" applyAlignment="1">
      <alignment horizontal="center" vertical="center" wrapText="1"/>
    </xf>
    <xf numFmtId="43" fontId="26" fillId="3" borderId="5" xfId="1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166" fontId="24" fillId="0" borderId="1" xfId="1" applyNumberFormat="1" applyFont="1" applyBorder="1"/>
    <xf numFmtId="0" fontId="24" fillId="0" borderId="4" xfId="0" applyFont="1" applyBorder="1" applyAlignment="1">
      <alignment vertical="center" wrapText="1"/>
    </xf>
    <xf numFmtId="2" fontId="28" fillId="0" borderId="5" xfId="1" applyNumberFormat="1" applyFont="1" applyFill="1" applyBorder="1" applyAlignment="1">
      <alignment horizontal="center" vertical="center"/>
    </xf>
    <xf numFmtId="2" fontId="28" fillId="0" borderId="5" xfId="0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66" fontId="24" fillId="0" borderId="6" xfId="1" applyNumberFormat="1" applyFont="1" applyBorder="1"/>
    <xf numFmtId="0" fontId="24" fillId="0" borderId="4" xfId="0" applyFont="1" applyBorder="1" applyAlignment="1">
      <alignment wrapText="1"/>
    </xf>
    <xf numFmtId="0" fontId="24" fillId="0" borderId="0" xfId="0" applyFont="1" applyAlignment="1">
      <alignment wrapText="1"/>
    </xf>
    <xf numFmtId="0" fontId="24" fillId="0" borderId="4" xfId="0" applyFont="1" applyBorder="1"/>
    <xf numFmtId="43" fontId="28" fillId="0" borderId="5" xfId="1" applyFont="1" applyFill="1" applyBorder="1" applyAlignment="1">
      <alignment horizontal="center" vertical="center"/>
    </xf>
    <xf numFmtId="2" fontId="28" fillId="0" borderId="5" xfId="3" applyNumberFormat="1" applyFont="1" applyFill="1" applyBorder="1" applyAlignment="1">
      <alignment horizontal="center" vertical="center"/>
    </xf>
    <xf numFmtId="42" fontId="24" fillId="0" borderId="0" xfId="2" applyFont="1"/>
    <xf numFmtId="43" fontId="4" fillId="0" borderId="0" xfId="1" applyFont="1" applyFill="1" applyAlignment="1">
      <alignment horizontal="center"/>
    </xf>
    <xf numFmtId="0" fontId="23" fillId="0" borderId="0" xfId="0" applyFont="1" applyAlignment="1">
      <alignment horizontal="center" vertical="center"/>
    </xf>
  </cellXfs>
  <cellStyles count="4">
    <cellStyle name="Millares" xfId="1" builtinId="3"/>
    <cellStyle name="Moneda [0]" xfId="2" builtinId="7"/>
    <cellStyle name="Normal" xfId="0" builtinId="0"/>
    <cellStyle name="Porcentaje" xfId="3" builtinId="5"/>
  </cellStyles>
  <dxfs count="1"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167957</xdr:colOff>
      <xdr:row>66</xdr:row>
      <xdr:rowOff>161925</xdr:rowOff>
    </xdr:from>
    <xdr:to>
      <xdr:col>10</xdr:col>
      <xdr:colOff>85725</xdr:colOff>
      <xdr:row>73</xdr:row>
      <xdr:rowOff>4763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494B6C-658D-400C-AF91-C903E7BA66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6682" y="12687300"/>
          <a:ext cx="2279968" cy="12239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514350</xdr:colOff>
      <xdr:row>76</xdr:row>
      <xdr:rowOff>104775</xdr:rowOff>
    </xdr:from>
    <xdr:to>
      <xdr:col>8</xdr:col>
      <xdr:colOff>70168</xdr:colOff>
      <xdr:row>83</xdr:row>
      <xdr:rowOff>4763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223FC8-E874-4C65-A63C-7637E216FE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7325" y="13277850"/>
          <a:ext cx="2279968" cy="1223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82"/>
  <sheetViews>
    <sheetView showGridLines="0" tabSelected="1" topLeftCell="A42" zoomScaleNormal="100" workbookViewId="0">
      <selection activeCell="F55" sqref="F55"/>
    </sheetView>
  </sheetViews>
  <sheetFormatPr baseColWidth="10" defaultColWidth="0" defaultRowHeight="15" x14ac:dyDescent="0.25"/>
  <cols>
    <col min="1" max="1" width="3" customWidth="1"/>
    <col min="2" max="2" width="39" customWidth="1"/>
    <col min="3" max="9" width="6.7109375" customWidth="1"/>
    <col min="10" max="10" width="22" style="12" customWidth="1"/>
    <col min="11" max="11" width="4" customWidth="1"/>
    <col min="12" max="12" width="26" hidden="1" customWidth="1"/>
    <col min="13" max="13" width="22" hidden="1" customWidth="1"/>
    <col min="14" max="15" width="0" hidden="1" customWidth="1"/>
    <col min="16" max="16384" width="8.7109375" hidden="1"/>
  </cols>
  <sheetData>
    <row r="1" spans="2:10" ht="7.5" customHeight="1" x14ac:dyDescent="0.25"/>
    <row r="2" spans="2:10" ht="27.75" customHeight="1" x14ac:dyDescent="0.25">
      <c r="B2" s="1" t="s">
        <v>58</v>
      </c>
      <c r="C2" s="1"/>
      <c r="D2" s="1"/>
      <c r="E2" s="1"/>
      <c r="F2" s="1"/>
      <c r="G2" s="1"/>
      <c r="H2" s="1"/>
      <c r="I2" s="1"/>
    </row>
    <row r="3" spans="2:10" ht="15.75" customHeight="1" x14ac:dyDescent="0.25">
      <c r="B3" t="s">
        <v>113</v>
      </c>
      <c r="C3" s="2"/>
      <c r="D3" s="2"/>
      <c r="E3" s="2"/>
      <c r="F3" s="2"/>
      <c r="G3" s="2"/>
      <c r="H3" s="2"/>
      <c r="I3" s="2"/>
    </row>
    <row r="4" spans="2:10" ht="15.75" customHeight="1" x14ac:dyDescent="0.25">
      <c r="B4" t="s">
        <v>114</v>
      </c>
      <c r="C4" s="2"/>
      <c r="D4" s="2"/>
      <c r="E4" s="2"/>
      <c r="F4" s="2"/>
      <c r="G4" s="2"/>
      <c r="H4" s="2"/>
      <c r="I4" s="2"/>
    </row>
    <row r="5" spans="2:10" ht="15.75" customHeight="1" x14ac:dyDescent="0.25">
      <c r="B5" s="2" t="s">
        <v>59</v>
      </c>
      <c r="C5" s="2"/>
      <c r="D5" s="2"/>
      <c r="E5" s="2"/>
      <c r="F5" s="2"/>
      <c r="G5" s="2"/>
      <c r="H5" s="2"/>
      <c r="I5" s="2"/>
    </row>
    <row r="6" spans="2:10" ht="15.75" customHeight="1" x14ac:dyDescent="0.25">
      <c r="B6" s="2" t="s">
        <v>2</v>
      </c>
      <c r="C6" s="2"/>
      <c r="D6" s="2"/>
      <c r="E6" s="2"/>
      <c r="F6" s="2"/>
      <c r="G6" s="2"/>
      <c r="H6" s="2"/>
      <c r="I6" s="2"/>
    </row>
    <row r="7" spans="2:10" ht="15.75" customHeight="1" x14ac:dyDescent="0.25">
      <c r="B7" s="2"/>
      <c r="C7" s="2"/>
      <c r="D7" s="2"/>
      <c r="E7" s="2"/>
      <c r="F7" s="2"/>
      <c r="G7" s="2"/>
      <c r="H7" s="2"/>
      <c r="I7" s="2"/>
    </row>
    <row r="8" spans="2:10" ht="19.5" customHeight="1" x14ac:dyDescent="0.25">
      <c r="B8" s="3" t="s">
        <v>3</v>
      </c>
      <c r="C8" s="3"/>
      <c r="D8" s="3"/>
      <c r="E8" s="3"/>
      <c r="F8" s="3"/>
      <c r="G8" s="3"/>
      <c r="H8" s="3"/>
      <c r="I8" s="3"/>
      <c r="J8" s="37" t="s">
        <v>4</v>
      </c>
    </row>
    <row r="9" spans="2:10" ht="6" customHeight="1" x14ac:dyDescent="0.25"/>
    <row r="10" spans="2:10" ht="18" customHeight="1" x14ac:dyDescent="0.25">
      <c r="B10" s="9" t="s">
        <v>60</v>
      </c>
      <c r="C10" s="9"/>
      <c r="D10" s="9"/>
      <c r="E10" s="9"/>
      <c r="F10" s="9"/>
      <c r="G10" s="9"/>
      <c r="H10" s="9"/>
      <c r="I10" s="9"/>
    </row>
    <row r="11" spans="2:10" ht="4.5" customHeight="1" x14ac:dyDescent="0.25"/>
    <row r="12" spans="2:10" ht="18" customHeight="1" x14ac:dyDescent="0.25">
      <c r="B12" s="4" t="s">
        <v>61</v>
      </c>
      <c r="C12" s="4"/>
      <c r="D12" s="4"/>
      <c r="E12" s="4"/>
      <c r="F12" s="4"/>
      <c r="G12" s="4"/>
      <c r="H12" s="4"/>
      <c r="I12" s="4"/>
    </row>
    <row r="13" spans="2:10" ht="16.5" customHeight="1" x14ac:dyDescent="0.25">
      <c r="B13" s="5" t="s">
        <v>62</v>
      </c>
      <c r="C13" s="5"/>
      <c r="D13" s="5"/>
      <c r="E13" s="5"/>
      <c r="F13" s="5"/>
      <c r="G13" s="5"/>
      <c r="H13" s="5"/>
      <c r="I13" s="5"/>
      <c r="J13" s="13">
        <f>10186953-119332.68+6500</f>
        <v>10074120.32</v>
      </c>
    </row>
    <row r="14" spans="2:10" ht="16.5" customHeight="1" x14ac:dyDescent="0.25">
      <c r="B14" s="5" t="s">
        <v>63</v>
      </c>
      <c r="C14" s="5"/>
      <c r="D14" s="5"/>
      <c r="E14" s="5"/>
      <c r="F14" s="5"/>
      <c r="G14" s="5"/>
      <c r="H14" s="5"/>
      <c r="I14" s="5"/>
      <c r="J14" s="13">
        <v>0</v>
      </c>
    </row>
    <row r="15" spans="2:10" ht="16.5" customHeight="1" x14ac:dyDescent="0.25">
      <c r="B15" s="5" t="s">
        <v>64</v>
      </c>
      <c r="C15" s="5"/>
      <c r="D15" s="5"/>
      <c r="E15" s="5"/>
      <c r="F15" s="5"/>
      <c r="G15" s="5"/>
      <c r="H15" s="5"/>
      <c r="I15" s="5"/>
      <c r="J15" s="13">
        <f>40002047</f>
        <v>40002047</v>
      </c>
    </row>
    <row r="16" spans="2:10" ht="16.5" customHeight="1" x14ac:dyDescent="0.25">
      <c r="B16" s="5" t="s">
        <v>65</v>
      </c>
      <c r="C16" s="5"/>
      <c r="D16" s="5"/>
      <c r="E16" s="5"/>
      <c r="F16" s="5"/>
      <c r="G16" s="5"/>
      <c r="H16" s="5"/>
      <c r="I16" s="5"/>
      <c r="J16" s="13">
        <v>0</v>
      </c>
    </row>
    <row r="17" spans="2:10" ht="16.5" customHeight="1" x14ac:dyDescent="0.25">
      <c r="B17" s="5" t="s">
        <v>66</v>
      </c>
      <c r="C17" s="5"/>
      <c r="D17" s="5"/>
      <c r="E17" s="5"/>
      <c r="F17" s="5"/>
      <c r="G17" s="5"/>
      <c r="H17" s="5"/>
      <c r="I17" s="5"/>
      <c r="J17" s="13">
        <v>81253000</v>
      </c>
    </row>
    <row r="18" spans="2:10" ht="16.5" customHeight="1" x14ac:dyDescent="0.25">
      <c r="B18" s="5" t="s">
        <v>67</v>
      </c>
      <c r="C18" s="5"/>
      <c r="D18" s="5"/>
      <c r="E18" s="5"/>
      <c r="F18" s="5"/>
      <c r="G18" s="5"/>
      <c r="H18" s="5"/>
      <c r="I18" s="5"/>
      <c r="J18" s="13">
        <f>296511694-66078964.92</f>
        <v>230432729.07999998</v>
      </c>
    </row>
    <row r="19" spans="2:10" ht="16.5" customHeight="1" x14ac:dyDescent="0.25">
      <c r="B19" s="5" t="s">
        <v>68</v>
      </c>
      <c r="C19" s="5"/>
      <c r="D19" s="5"/>
      <c r="E19" s="5"/>
      <c r="F19" s="5"/>
      <c r="G19" s="5"/>
      <c r="H19" s="5"/>
      <c r="I19" s="5"/>
      <c r="J19" s="13">
        <v>0</v>
      </c>
    </row>
    <row r="20" spans="2:10" ht="16.5" customHeight="1" x14ac:dyDescent="0.25">
      <c r="B20" s="5" t="s">
        <v>69</v>
      </c>
      <c r="C20" s="5"/>
      <c r="D20" s="5"/>
      <c r="E20" s="5"/>
      <c r="F20" s="5"/>
      <c r="G20" s="5"/>
      <c r="H20" s="5"/>
      <c r="I20" s="5"/>
      <c r="J20" s="13">
        <v>20000000</v>
      </c>
    </row>
    <row r="21" spans="2:10" ht="16.5" customHeight="1" x14ac:dyDescent="0.25">
      <c r="B21" s="6" t="s">
        <v>70</v>
      </c>
      <c r="C21" s="6"/>
      <c r="D21" s="6"/>
      <c r="E21" s="6"/>
      <c r="F21" s="6"/>
      <c r="G21" s="6"/>
      <c r="H21" s="6"/>
      <c r="I21" s="6"/>
      <c r="J21" s="14">
        <f>SUM(J13:J20)</f>
        <v>381761896.39999998</v>
      </c>
    </row>
    <row r="22" spans="2:10" ht="4.5" customHeight="1" x14ac:dyDescent="0.25"/>
    <row r="23" spans="2:10" ht="18" customHeight="1" x14ac:dyDescent="0.25">
      <c r="B23" s="4" t="s">
        <v>71</v>
      </c>
      <c r="C23" s="4"/>
      <c r="D23" s="4"/>
      <c r="E23" s="4"/>
      <c r="F23" s="4"/>
      <c r="G23" s="4"/>
      <c r="H23" s="4"/>
      <c r="I23" s="4"/>
    </row>
    <row r="24" spans="2:10" ht="16.5" customHeight="1" x14ac:dyDescent="0.25">
      <c r="B24" s="5" t="s">
        <v>72</v>
      </c>
      <c r="C24" s="5"/>
      <c r="D24" s="5"/>
      <c r="E24" s="5"/>
      <c r="F24" s="5"/>
      <c r="G24" s="5"/>
      <c r="H24" s="5"/>
      <c r="I24" s="5"/>
      <c r="J24" s="13">
        <v>0</v>
      </c>
    </row>
    <row r="25" spans="2:10" ht="16.5" customHeight="1" x14ac:dyDescent="0.25">
      <c r="B25" s="5" t="s">
        <v>73</v>
      </c>
      <c r="C25" s="5"/>
      <c r="D25" s="5"/>
      <c r="E25" s="5"/>
      <c r="F25" s="5"/>
      <c r="G25" s="5"/>
      <c r="H25" s="5"/>
      <c r="I25" s="5"/>
      <c r="J25" s="13">
        <v>16218754</v>
      </c>
    </row>
    <row r="26" spans="2:10" ht="16.5" customHeight="1" x14ac:dyDescent="0.25">
      <c r="B26" s="5" t="s">
        <v>74</v>
      </c>
      <c r="C26" s="5"/>
      <c r="D26" s="5"/>
      <c r="E26" s="5"/>
      <c r="F26" s="5"/>
      <c r="G26" s="5"/>
      <c r="H26" s="5"/>
      <c r="I26" s="5"/>
      <c r="J26" s="13">
        <v>-2243750.4</v>
      </c>
    </row>
    <row r="27" spans="2:10" ht="16.5" customHeight="1" x14ac:dyDescent="0.25">
      <c r="B27" s="5" t="s">
        <v>75</v>
      </c>
      <c r="C27" s="5"/>
      <c r="D27" s="5"/>
      <c r="E27" s="5"/>
      <c r="F27" s="5"/>
      <c r="G27" s="5"/>
      <c r="H27" s="5"/>
      <c r="I27" s="5"/>
      <c r="J27" s="13">
        <v>0</v>
      </c>
    </row>
    <row r="28" spans="2:10" ht="16.5" customHeight="1" x14ac:dyDescent="0.25">
      <c r="B28" s="5" t="s">
        <v>76</v>
      </c>
      <c r="C28" s="5"/>
      <c r="D28" s="5"/>
      <c r="E28" s="5"/>
      <c r="F28" s="5"/>
      <c r="G28" s="5"/>
      <c r="H28" s="5"/>
      <c r="I28" s="5"/>
      <c r="J28" s="13">
        <v>0</v>
      </c>
    </row>
    <row r="29" spans="2:10" ht="16.5" customHeight="1" x14ac:dyDescent="0.25">
      <c r="B29" s="5" t="s">
        <v>77</v>
      </c>
      <c r="C29" s="5"/>
      <c r="D29" s="5"/>
      <c r="E29" s="5"/>
      <c r="F29" s="5"/>
      <c r="G29" s="5"/>
      <c r="H29" s="5"/>
      <c r="I29" s="5"/>
      <c r="J29" s="13">
        <v>0</v>
      </c>
    </row>
    <row r="30" spans="2:10" ht="16.5" customHeight="1" x14ac:dyDescent="0.25">
      <c r="B30" s="6" t="s">
        <v>78</v>
      </c>
      <c r="C30" s="6"/>
      <c r="D30" s="6"/>
      <c r="E30" s="6"/>
      <c r="F30" s="6"/>
      <c r="G30" s="6"/>
      <c r="H30" s="6"/>
      <c r="I30" s="6"/>
      <c r="J30" s="14">
        <f>SUM(J24:J29)</f>
        <v>13975003.6</v>
      </c>
    </row>
    <row r="31" spans="2:10" ht="4.5" customHeight="1" x14ac:dyDescent="0.25"/>
    <row r="32" spans="2:10" ht="16.5" customHeight="1" x14ac:dyDescent="0.25">
      <c r="B32" s="6" t="s">
        <v>79</v>
      </c>
      <c r="C32" s="6"/>
      <c r="D32" s="6"/>
      <c r="E32" s="6"/>
      <c r="F32" s="6"/>
      <c r="G32" s="6"/>
      <c r="H32" s="6"/>
      <c r="I32" s="6"/>
      <c r="J32" s="15">
        <f>J21+J30</f>
        <v>395736900</v>
      </c>
    </row>
    <row r="33" spans="2:10" ht="9.75" customHeight="1" x14ac:dyDescent="0.25"/>
    <row r="34" spans="2:10" ht="18" customHeight="1" x14ac:dyDescent="0.25">
      <c r="B34" s="9" t="s">
        <v>80</v>
      </c>
      <c r="C34" s="9"/>
      <c r="D34" s="9"/>
      <c r="E34" s="9"/>
      <c r="F34" s="9"/>
      <c r="G34" s="9"/>
      <c r="H34" s="9"/>
      <c r="I34" s="9"/>
    </row>
    <row r="35" spans="2:10" ht="4.5" customHeight="1" x14ac:dyDescent="0.25"/>
    <row r="36" spans="2:10" ht="18" customHeight="1" x14ac:dyDescent="0.25">
      <c r="B36" s="4" t="s">
        <v>81</v>
      </c>
      <c r="C36" s="4"/>
      <c r="D36" s="4"/>
      <c r="E36" s="4"/>
      <c r="F36" s="4"/>
      <c r="G36" s="4"/>
      <c r="H36" s="4"/>
      <c r="I36" s="4"/>
    </row>
    <row r="37" spans="2:10" ht="16.5" customHeight="1" x14ac:dyDescent="0.25">
      <c r="B37" s="5" t="s">
        <v>82</v>
      </c>
      <c r="C37" s="5"/>
      <c r="D37" s="5"/>
      <c r="E37" s="5"/>
      <c r="F37" s="5"/>
      <c r="G37" s="5"/>
      <c r="H37" s="5"/>
      <c r="I37" s="5"/>
      <c r="J37" s="13">
        <v>0</v>
      </c>
    </row>
    <row r="38" spans="2:10" ht="16.5" customHeight="1" x14ac:dyDescent="0.25">
      <c r="B38" s="5" t="s">
        <v>83</v>
      </c>
      <c r="C38" s="5"/>
      <c r="D38" s="5"/>
      <c r="E38" s="5"/>
      <c r="F38" s="5"/>
      <c r="G38" s="5"/>
      <c r="H38" s="5"/>
      <c r="I38" s="5"/>
      <c r="J38" s="13">
        <v>123751186.81999999</v>
      </c>
    </row>
    <row r="39" spans="2:10" ht="16.5" customHeight="1" x14ac:dyDescent="0.25">
      <c r="B39" s="5" t="s">
        <v>84</v>
      </c>
      <c r="C39" s="5"/>
      <c r="D39" s="5"/>
      <c r="E39" s="5"/>
      <c r="F39" s="5"/>
      <c r="G39" s="5"/>
      <c r="H39" s="5"/>
      <c r="I39" s="5"/>
      <c r="J39" s="13">
        <v>0</v>
      </c>
    </row>
    <row r="40" spans="2:10" ht="16.5" customHeight="1" x14ac:dyDescent="0.25">
      <c r="B40" s="5" t="s">
        <v>85</v>
      </c>
      <c r="C40" s="5"/>
      <c r="D40" s="5"/>
      <c r="E40" s="5"/>
      <c r="F40" s="5"/>
      <c r="G40" s="5"/>
      <c r="H40" s="5"/>
      <c r="I40" s="5"/>
      <c r="J40" s="13">
        <v>0</v>
      </c>
    </row>
    <row r="41" spans="2:10" ht="16.5" customHeight="1" x14ac:dyDescent="0.25">
      <c r="B41" s="5" t="s">
        <v>86</v>
      </c>
      <c r="C41" s="5"/>
      <c r="D41" s="5"/>
      <c r="E41" s="5"/>
      <c r="F41" s="5"/>
      <c r="G41" s="5"/>
      <c r="H41" s="5"/>
      <c r="I41" s="5"/>
      <c r="J41" s="13">
        <f>5420000-1253000</f>
        <v>4167000</v>
      </c>
    </row>
    <row r="42" spans="2:10" ht="16.5" customHeight="1" x14ac:dyDescent="0.25">
      <c r="B42" s="5" t="s">
        <v>87</v>
      </c>
      <c r="C42" s="5"/>
      <c r="D42" s="5"/>
      <c r="E42" s="5"/>
      <c r="F42" s="5"/>
      <c r="G42" s="5"/>
      <c r="H42" s="5"/>
      <c r="I42" s="5"/>
      <c r="J42" s="13">
        <v>27000000</v>
      </c>
    </row>
    <row r="43" spans="2:10" ht="16.5" customHeight="1" x14ac:dyDescent="0.25">
      <c r="B43" s="5" t="s">
        <v>88</v>
      </c>
      <c r="C43" s="5"/>
      <c r="D43" s="5"/>
      <c r="E43" s="5"/>
      <c r="F43" s="5"/>
      <c r="G43" s="5"/>
      <c r="H43" s="5"/>
      <c r="I43" s="5"/>
      <c r="J43" s="13">
        <v>0</v>
      </c>
    </row>
    <row r="44" spans="2:10" ht="16.5" customHeight="1" x14ac:dyDescent="0.25">
      <c r="B44" s="6" t="s">
        <v>89</v>
      </c>
      <c r="C44" s="6"/>
      <c r="D44" s="6"/>
      <c r="E44" s="6"/>
      <c r="F44" s="6"/>
      <c r="G44" s="6"/>
      <c r="H44" s="6"/>
      <c r="I44" s="6"/>
      <c r="J44" s="14">
        <f>SUM(J37:J43)</f>
        <v>154918186.81999999</v>
      </c>
    </row>
    <row r="45" spans="2:10" ht="4.5" customHeight="1" x14ac:dyDescent="0.25"/>
    <row r="46" spans="2:10" ht="18" customHeight="1" x14ac:dyDescent="0.25">
      <c r="B46" s="4" t="s">
        <v>90</v>
      </c>
      <c r="C46" s="4"/>
      <c r="D46" s="4"/>
      <c r="E46" s="4"/>
      <c r="F46" s="4"/>
      <c r="G46" s="4"/>
      <c r="H46" s="4"/>
      <c r="I46" s="4"/>
    </row>
    <row r="47" spans="2:10" ht="16.5" customHeight="1" x14ac:dyDescent="0.25">
      <c r="B47" s="5" t="s">
        <v>91</v>
      </c>
      <c r="C47" s="5"/>
      <c r="D47" s="5"/>
      <c r="E47" s="5"/>
      <c r="F47" s="5"/>
      <c r="G47" s="5"/>
      <c r="H47" s="5"/>
      <c r="I47" s="5"/>
      <c r="J47" s="13">
        <v>0</v>
      </c>
    </row>
    <row r="48" spans="2:10" ht="16.5" customHeight="1" x14ac:dyDescent="0.25">
      <c r="B48" s="5" t="s">
        <v>92</v>
      </c>
      <c r="C48" s="5"/>
      <c r="D48" s="5"/>
      <c r="E48" s="5"/>
      <c r="F48" s="5"/>
      <c r="G48" s="5"/>
      <c r="H48" s="5"/>
      <c r="I48" s="5"/>
      <c r="J48" s="13">
        <v>0</v>
      </c>
    </row>
    <row r="49" spans="2:10" ht="16.5" customHeight="1" x14ac:dyDescent="0.25">
      <c r="B49" s="5" t="s">
        <v>93</v>
      </c>
      <c r="C49" s="5"/>
      <c r="D49" s="5"/>
      <c r="E49" s="5"/>
      <c r="F49" s="5"/>
      <c r="G49" s="5"/>
      <c r="H49" s="5"/>
      <c r="I49" s="5"/>
      <c r="J49" s="13">
        <v>0</v>
      </c>
    </row>
    <row r="50" spans="2:10" ht="16.5" customHeight="1" x14ac:dyDescent="0.25">
      <c r="B50" s="5" t="s">
        <v>94</v>
      </c>
      <c r="C50" s="5"/>
      <c r="D50" s="5"/>
      <c r="E50" s="5"/>
      <c r="F50" s="5"/>
      <c r="G50" s="5"/>
      <c r="H50" s="5"/>
      <c r="I50" s="5"/>
      <c r="J50" s="13">
        <f>107403815-27000000+1253000</f>
        <v>81656815</v>
      </c>
    </row>
    <row r="51" spans="2:10" ht="16.5" customHeight="1" x14ac:dyDescent="0.25">
      <c r="B51" s="6" t="s">
        <v>95</v>
      </c>
      <c r="C51" s="6"/>
      <c r="D51" s="6"/>
      <c r="E51" s="6"/>
      <c r="F51" s="6"/>
      <c r="G51" s="6"/>
      <c r="H51" s="6"/>
      <c r="I51" s="6"/>
      <c r="J51" s="14">
        <f>SUM(J47:J50)</f>
        <v>81656815</v>
      </c>
    </row>
    <row r="52" spans="2:10" ht="4.5" customHeight="1" x14ac:dyDescent="0.25"/>
    <row r="53" spans="2:10" ht="16.5" customHeight="1" x14ac:dyDescent="0.25">
      <c r="B53" s="6" t="s">
        <v>96</v>
      </c>
      <c r="C53" s="6"/>
      <c r="D53" s="6"/>
      <c r="E53" s="6"/>
      <c r="F53" s="6"/>
      <c r="G53" s="6"/>
      <c r="H53" s="6"/>
      <c r="I53" s="6"/>
      <c r="J53" s="15">
        <f>J44+J51</f>
        <v>236575001.81999999</v>
      </c>
    </row>
    <row r="54" spans="2:10" ht="9.75" customHeight="1" x14ac:dyDescent="0.25"/>
    <row r="55" spans="2:10" ht="18" customHeight="1" x14ac:dyDescent="0.25">
      <c r="B55" s="9" t="s">
        <v>97</v>
      </c>
      <c r="C55" s="9"/>
      <c r="D55" s="9"/>
      <c r="E55" s="9"/>
      <c r="F55" s="9"/>
      <c r="G55" s="9"/>
      <c r="H55" s="9"/>
      <c r="I55" s="9"/>
    </row>
    <row r="56" spans="2:10" ht="4.5" customHeight="1" x14ac:dyDescent="0.25"/>
    <row r="57" spans="2:10" ht="16.5" customHeight="1" x14ac:dyDescent="0.25">
      <c r="B57" s="5" t="s">
        <v>136</v>
      </c>
      <c r="C57" s="5"/>
      <c r="D57" s="5"/>
      <c r="E57" s="5"/>
      <c r="F57" s="5"/>
      <c r="G57" s="5"/>
      <c r="H57" s="5"/>
      <c r="I57" s="5"/>
      <c r="J57" s="13">
        <v>110000000</v>
      </c>
    </row>
    <row r="58" spans="2:10" ht="16.5" customHeight="1" x14ac:dyDescent="0.25">
      <c r="B58" s="5" t="s">
        <v>98</v>
      </c>
      <c r="C58" s="5"/>
      <c r="D58" s="5"/>
      <c r="E58" s="5"/>
      <c r="G58" s="5"/>
      <c r="H58" s="5"/>
      <c r="I58" s="5"/>
      <c r="J58" s="13">
        <v>0</v>
      </c>
    </row>
    <row r="59" spans="2:10" ht="16.5" customHeight="1" x14ac:dyDescent="0.25">
      <c r="B59" s="5" t="s">
        <v>99</v>
      </c>
      <c r="C59" s="5"/>
      <c r="D59" s="5"/>
      <c r="E59" s="5"/>
      <c r="F59" s="5"/>
      <c r="G59" s="5"/>
      <c r="H59" s="5"/>
      <c r="I59" s="5"/>
      <c r="J59" s="13">
        <v>12000000</v>
      </c>
    </row>
    <row r="60" spans="2:10" ht="16.5" customHeight="1" x14ac:dyDescent="0.25">
      <c r="B60" s="5" t="s">
        <v>100</v>
      </c>
      <c r="C60" s="5"/>
      <c r="D60" s="5"/>
      <c r="E60" s="5"/>
      <c r="F60" s="5"/>
      <c r="G60" s="5"/>
      <c r="H60" s="5"/>
      <c r="I60" s="5"/>
      <c r="J60" s="13">
        <v>0</v>
      </c>
    </row>
    <row r="61" spans="2:10" ht="16.5" customHeight="1" x14ac:dyDescent="0.25">
      <c r="B61" s="5" t="s">
        <v>101</v>
      </c>
      <c r="C61" s="5"/>
      <c r="D61" s="5"/>
      <c r="E61" s="5"/>
      <c r="F61" s="5"/>
      <c r="G61" s="5"/>
      <c r="H61" s="5"/>
      <c r="I61" s="5"/>
      <c r="J61" s="13">
        <v>0</v>
      </c>
    </row>
    <row r="62" spans="2:10" ht="16.5" customHeight="1" x14ac:dyDescent="0.25">
      <c r="B62" s="5" t="s">
        <v>102</v>
      </c>
      <c r="C62" s="5"/>
      <c r="D62" s="5"/>
      <c r="E62" s="5"/>
      <c r="F62" s="5" t="s">
        <v>112</v>
      </c>
      <c r="G62" s="5"/>
      <c r="H62" s="5"/>
      <c r="I62" s="5"/>
      <c r="J62" s="13">
        <v>0</v>
      </c>
    </row>
    <row r="63" spans="2:10" ht="16.5" customHeight="1" x14ac:dyDescent="0.25">
      <c r="B63" s="5" t="s">
        <v>103</v>
      </c>
      <c r="C63" s="5"/>
      <c r="D63" s="5"/>
      <c r="E63" s="5"/>
      <c r="F63" s="5"/>
      <c r="G63" s="5"/>
      <c r="H63" s="5"/>
      <c r="I63" s="5"/>
      <c r="J63" s="13">
        <f>'Estado de Resultados'!H66</f>
        <v>37161898.177799568</v>
      </c>
    </row>
    <row r="64" spans="2:10" ht="16.5" customHeight="1" x14ac:dyDescent="0.25">
      <c r="B64" s="5" t="s">
        <v>104</v>
      </c>
      <c r="C64" s="5"/>
      <c r="D64" s="5"/>
      <c r="E64" s="5"/>
      <c r="F64" s="5"/>
      <c r="G64" s="5"/>
      <c r="H64" s="5"/>
      <c r="I64" s="5"/>
      <c r="J64" s="13">
        <v>0</v>
      </c>
    </row>
    <row r="65" spans="2:15" ht="16.5" customHeight="1" x14ac:dyDescent="0.25">
      <c r="B65" s="6" t="s">
        <v>105</v>
      </c>
      <c r="C65" s="6"/>
      <c r="D65" s="6"/>
      <c r="E65" s="6"/>
      <c r="F65" s="6"/>
      <c r="G65" s="6"/>
      <c r="H65" s="6"/>
      <c r="I65" s="6"/>
      <c r="J65" s="15">
        <f>SUM(J57:J64)</f>
        <v>159161898.17779958</v>
      </c>
    </row>
    <row r="66" spans="2:15" ht="9.75" customHeight="1" x14ac:dyDescent="0.25"/>
    <row r="67" spans="2:15" ht="16.5" customHeight="1" x14ac:dyDescent="0.25">
      <c r="B67" s="6" t="s">
        <v>106</v>
      </c>
      <c r="C67" s="6"/>
      <c r="D67" s="6"/>
      <c r="E67" s="6"/>
      <c r="F67" s="6"/>
      <c r="G67" s="6"/>
      <c r="H67" s="6"/>
      <c r="I67" s="6"/>
      <c r="J67" s="15">
        <f>J53+J65</f>
        <v>395736899.99779958</v>
      </c>
    </row>
    <row r="68" spans="2:15" ht="7.5" customHeight="1" x14ac:dyDescent="0.25"/>
    <row r="69" spans="2:15" ht="9.75" customHeight="1" x14ac:dyDescent="0.25">
      <c r="B69" s="5"/>
      <c r="C69" s="5"/>
      <c r="D69" s="5"/>
      <c r="E69" s="5"/>
      <c r="F69" s="5"/>
      <c r="G69" s="5"/>
      <c r="H69" s="5"/>
      <c r="I69" s="5"/>
      <c r="K69" s="5"/>
      <c r="L69" s="5"/>
      <c r="M69" s="5"/>
      <c r="N69" s="5"/>
      <c r="O69" s="5"/>
    </row>
    <row r="70" spans="2:15" ht="18" customHeight="1" x14ac:dyDescent="0.25">
      <c r="B70" s="10"/>
      <c r="C70" s="10"/>
      <c r="D70" s="10"/>
      <c r="E70" s="10"/>
      <c r="F70" s="10"/>
      <c r="G70" s="10"/>
      <c r="H70" s="10"/>
      <c r="I70" s="10"/>
      <c r="K70" s="10"/>
      <c r="L70" s="10"/>
      <c r="M70" s="10"/>
      <c r="N70" s="5"/>
      <c r="O70" s="5"/>
    </row>
    <row r="71" spans="2:15" ht="7.5" customHeight="1" x14ac:dyDescent="0.25">
      <c r="B71" s="5"/>
      <c r="C71" s="5"/>
      <c r="D71" s="5"/>
      <c r="E71" s="5"/>
      <c r="F71" s="5"/>
      <c r="G71" s="5"/>
      <c r="H71" s="5"/>
      <c r="I71" s="5"/>
      <c r="J71" s="16"/>
      <c r="K71" s="5"/>
      <c r="L71" s="5"/>
      <c r="M71" s="5"/>
      <c r="N71" s="5"/>
      <c r="O71" s="5"/>
    </row>
    <row r="72" spans="2:15" ht="31.5" customHeight="1" x14ac:dyDescent="0.25">
      <c r="B72" s="39" t="s">
        <v>107</v>
      </c>
      <c r="C72" s="39"/>
      <c r="D72" s="39"/>
      <c r="E72" s="39"/>
      <c r="F72" s="39"/>
      <c r="G72" s="39"/>
      <c r="H72" s="39"/>
      <c r="I72" s="39" t="s">
        <v>107</v>
      </c>
      <c r="K72" s="39"/>
      <c r="M72" s="39"/>
      <c r="N72" s="39"/>
      <c r="O72" s="39"/>
    </row>
    <row r="73" spans="2:15" ht="18" customHeight="1" x14ac:dyDescent="0.25">
      <c r="B73" s="6" t="s">
        <v>56</v>
      </c>
      <c r="C73" s="6"/>
      <c r="D73" s="6"/>
      <c r="E73" s="6"/>
      <c r="F73" s="6"/>
      <c r="G73" s="6"/>
      <c r="H73" s="6"/>
      <c r="I73" s="6" t="s">
        <v>57</v>
      </c>
      <c r="K73" s="5"/>
      <c r="M73" s="5"/>
      <c r="N73" s="5"/>
      <c r="O73" s="5"/>
    </row>
    <row r="74" spans="2:15" ht="15.75" customHeight="1" x14ac:dyDescent="0.25">
      <c r="B74" s="7" t="str">
        <f>+'Estado de Resultados'!B84</f>
        <v>Nombre: Katia Rios Montes</v>
      </c>
      <c r="C74" s="7"/>
      <c r="D74" s="7"/>
      <c r="E74" s="7"/>
      <c r="F74" s="7"/>
      <c r="G74" s="7"/>
      <c r="H74" s="7"/>
      <c r="I74" s="7" t="str">
        <f>+'Estado de Resultados'!G84</f>
        <v>Nombre: Andrés Felipe Arrieta Bertel</v>
      </c>
      <c r="K74" s="5"/>
      <c r="M74" s="8"/>
      <c r="N74" s="5"/>
      <c r="O74" s="5"/>
    </row>
    <row r="75" spans="2:15" ht="15.75" customHeight="1" x14ac:dyDescent="0.25">
      <c r="B75" s="7" t="str">
        <f>+'Estado de Resultados'!B85</f>
        <v>C.C. No.: 64.700.902</v>
      </c>
      <c r="C75" s="7"/>
      <c r="D75" s="7"/>
      <c r="E75" s="7"/>
      <c r="F75" s="7"/>
      <c r="G75" s="7"/>
      <c r="H75" s="7"/>
      <c r="I75" s="7" t="str">
        <f>+'Estado de Resultados'!G85</f>
        <v>C.C. No.:1.102.866.622</v>
      </c>
      <c r="K75" s="5"/>
      <c r="M75" s="8"/>
      <c r="N75" s="5"/>
      <c r="O75" s="5"/>
    </row>
    <row r="76" spans="2:15" ht="15.75" customHeight="1" x14ac:dyDescent="0.25">
      <c r="B76" s="5"/>
      <c r="C76" s="5"/>
      <c r="D76" s="5"/>
      <c r="E76" s="5"/>
      <c r="F76" s="5"/>
      <c r="G76" s="5"/>
      <c r="H76" s="5"/>
      <c r="I76" s="7" t="str">
        <f>+'Estado de Resultados'!G86</f>
        <v>T.P. No.: 273234-T</v>
      </c>
      <c r="K76" s="5"/>
      <c r="M76" s="8"/>
      <c r="N76" s="5"/>
      <c r="O76" s="5"/>
    </row>
    <row r="77" spans="2:15" ht="9.75" customHeight="1" x14ac:dyDescent="0.25">
      <c r="B77" s="5"/>
      <c r="C77" s="5"/>
      <c r="D77" s="5"/>
      <c r="E77" s="5"/>
      <c r="F77" s="5"/>
      <c r="G77" s="5"/>
      <c r="H77" s="5"/>
      <c r="I77" s="5"/>
      <c r="K77" s="5"/>
      <c r="L77" s="5"/>
      <c r="M77" s="5"/>
      <c r="N77" s="5"/>
      <c r="O77" s="5"/>
    </row>
    <row r="78" spans="2:15" ht="30" customHeight="1" x14ac:dyDescent="0.25">
      <c r="B78" s="11"/>
      <c r="C78" s="11"/>
      <c r="D78" s="11"/>
      <c r="E78" s="11"/>
      <c r="F78" s="11"/>
      <c r="G78" s="11"/>
      <c r="H78" s="11"/>
      <c r="I78" s="11"/>
      <c r="J78" s="17"/>
      <c r="K78" s="11"/>
      <c r="L78" s="11"/>
      <c r="M78" s="11"/>
      <c r="N78" s="5"/>
      <c r="O78" s="5"/>
    </row>
    <row r="79" spans="2:15" ht="15.75" customHeight="1" x14ac:dyDescent="0.25">
      <c r="B79" s="5"/>
      <c r="C79" s="5"/>
      <c r="D79" s="5"/>
      <c r="E79" s="5"/>
      <c r="F79" s="5"/>
      <c r="G79" s="5"/>
      <c r="H79" s="5"/>
      <c r="I79" s="5"/>
      <c r="J79" s="16"/>
      <c r="K79" s="5"/>
      <c r="L79" s="5"/>
      <c r="M79" s="5"/>
      <c r="N79" s="5"/>
      <c r="O79" s="5"/>
    </row>
    <row r="80" spans="2:15" ht="15.75" customHeight="1" x14ac:dyDescent="0.25">
      <c r="B80" s="5"/>
      <c r="C80" s="5"/>
      <c r="D80" s="5"/>
      <c r="E80" s="5"/>
      <c r="F80" s="5"/>
      <c r="G80" s="5"/>
      <c r="H80" s="5"/>
      <c r="I80" s="5"/>
      <c r="J80" s="16"/>
      <c r="K80" s="5"/>
      <c r="L80" s="5"/>
      <c r="M80" s="5"/>
      <c r="N80" s="5"/>
      <c r="O80" s="5"/>
    </row>
    <row r="81" spans="2:15" ht="6" customHeight="1" x14ac:dyDescent="0.25">
      <c r="B81" s="5"/>
      <c r="C81" s="5"/>
      <c r="D81" s="5"/>
      <c r="E81" s="5"/>
      <c r="F81" s="5"/>
      <c r="G81" s="5"/>
      <c r="H81" s="5"/>
      <c r="I81" s="5"/>
      <c r="J81" s="16"/>
      <c r="K81" s="5"/>
      <c r="L81" s="5"/>
      <c r="M81" s="5"/>
      <c r="N81" s="5"/>
      <c r="O81" s="5"/>
    </row>
    <row r="82" spans="2:15" ht="27.75" customHeight="1" x14ac:dyDescent="0.25">
      <c r="B82" s="5"/>
      <c r="C82" s="5"/>
      <c r="D82" s="5"/>
      <c r="E82" s="5"/>
      <c r="F82" s="5"/>
      <c r="G82" s="5"/>
      <c r="H82" s="5"/>
      <c r="I82" s="5"/>
      <c r="K82" s="5"/>
      <c r="L82" s="5"/>
      <c r="M82" s="5"/>
      <c r="N82" s="5"/>
      <c r="O82" s="5"/>
    </row>
  </sheetData>
  <pageMargins left="0.25" right="0.25" top="0.75" bottom="0.75" header="0.3" footer="0.3"/>
  <pageSetup scale="88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showGridLines="0" zoomScaleNormal="100" workbookViewId="0">
      <selection activeCell="H13" sqref="H13"/>
    </sheetView>
  </sheetViews>
  <sheetFormatPr baseColWidth="10" defaultColWidth="0" defaultRowHeight="12.75" x14ac:dyDescent="0.2"/>
  <cols>
    <col min="1" max="1" width="3" style="20" customWidth="1"/>
    <col min="2" max="2" width="40" style="20" customWidth="1"/>
    <col min="3" max="7" width="9.42578125" style="20" customWidth="1"/>
    <col min="8" max="8" width="22" style="20" customWidth="1"/>
    <col min="9" max="9" width="4" style="20" customWidth="1"/>
    <col min="10" max="10" width="26" style="20" hidden="1" customWidth="1"/>
    <col min="11" max="11" width="22" style="20" hidden="1" customWidth="1"/>
    <col min="12" max="13" width="0" style="20" hidden="1" customWidth="1"/>
    <col min="14" max="16384" width="8.7109375" style="20" hidden="1"/>
  </cols>
  <sheetData>
    <row r="1" spans="2:9" customFormat="1" ht="7.5" customHeight="1" x14ac:dyDescent="0.25"/>
    <row r="2" spans="2:9" customFormat="1" ht="27.75" customHeight="1" x14ac:dyDescent="0.25">
      <c r="B2" s="1" t="s">
        <v>0</v>
      </c>
      <c r="C2" s="1"/>
      <c r="D2" s="1"/>
      <c r="E2" s="1"/>
      <c r="F2" s="1"/>
      <c r="G2" s="1"/>
    </row>
    <row r="3" spans="2:9" customFormat="1" ht="15.75" customHeight="1" x14ac:dyDescent="0.25">
      <c r="B3" s="20" t="str">
        <f>+'Estado de Situación Financiera'!B3</f>
        <v>FRANCOCERAMICAS SAS</v>
      </c>
      <c r="C3" s="2"/>
      <c r="D3" s="2"/>
      <c r="E3" s="2"/>
      <c r="F3" s="2"/>
      <c r="G3" s="2"/>
    </row>
    <row r="4" spans="2:9" customFormat="1" ht="15.75" customHeight="1" x14ac:dyDescent="0.25">
      <c r="B4" s="20" t="str">
        <f>+'Estado de Situación Financiera'!B4</f>
        <v>NIT.: 901822884</v>
      </c>
      <c r="C4" s="2"/>
      <c r="D4" s="2"/>
      <c r="E4" s="2"/>
      <c r="F4" s="2"/>
      <c r="G4" s="2"/>
    </row>
    <row r="5" spans="2:9" customFormat="1" ht="15.75" customHeight="1" x14ac:dyDescent="0.25">
      <c r="B5" s="2" t="s">
        <v>1</v>
      </c>
      <c r="C5" s="2"/>
      <c r="D5" s="2"/>
      <c r="E5" s="2"/>
      <c r="F5" s="2"/>
      <c r="G5" s="2"/>
    </row>
    <row r="6" spans="2:9" customFormat="1" ht="15.75" customHeight="1" x14ac:dyDescent="0.25">
      <c r="B6" s="2" t="s">
        <v>2</v>
      </c>
      <c r="C6" s="2"/>
      <c r="D6" s="2"/>
      <c r="E6" s="2"/>
      <c r="F6" s="2"/>
      <c r="G6" s="2"/>
    </row>
    <row r="7" spans="2:9" customFormat="1" ht="15.75" customHeight="1" x14ac:dyDescent="0.25">
      <c r="B7" s="2"/>
      <c r="C7" s="2"/>
      <c r="D7" s="2"/>
      <c r="E7" s="2"/>
      <c r="F7" s="2"/>
      <c r="G7" s="2"/>
    </row>
    <row r="8" spans="2:9" customFormat="1" ht="19.5" customHeight="1" x14ac:dyDescent="0.25">
      <c r="B8" s="3" t="s">
        <v>3</v>
      </c>
      <c r="C8" s="3"/>
      <c r="D8" s="3"/>
      <c r="E8" s="3"/>
      <c r="F8" s="3"/>
      <c r="G8" s="3"/>
      <c r="H8" s="19" t="s">
        <v>4</v>
      </c>
      <c r="I8" s="18"/>
    </row>
    <row r="9" spans="2:9" customFormat="1" ht="6" customHeight="1" x14ac:dyDescent="0.25"/>
    <row r="10" spans="2:9" ht="18" customHeight="1" x14ac:dyDescent="0.2">
      <c r="B10" s="21" t="s">
        <v>5</v>
      </c>
      <c r="C10" s="21"/>
      <c r="D10" s="21"/>
      <c r="E10" s="21"/>
      <c r="F10" s="21"/>
      <c r="G10" s="21"/>
    </row>
    <row r="11" spans="2:9" ht="16.5" customHeight="1" x14ac:dyDescent="0.2">
      <c r="B11" s="22" t="s">
        <v>6</v>
      </c>
      <c r="C11" s="22"/>
      <c r="D11" s="22"/>
      <c r="E11" s="22"/>
      <c r="F11" s="22"/>
      <c r="G11" s="22"/>
      <c r="H11" s="29">
        <v>223046482.19999999</v>
      </c>
    </row>
    <row r="12" spans="2:9" ht="16.5" customHeight="1" x14ac:dyDescent="0.2">
      <c r="B12" s="22" t="s">
        <v>7</v>
      </c>
      <c r="C12" s="22"/>
      <c r="D12" s="22"/>
      <c r="E12" s="22"/>
      <c r="F12" s="22"/>
      <c r="G12" s="22"/>
      <c r="H12" s="29">
        <v>-8578816.8599999994</v>
      </c>
    </row>
    <row r="13" spans="2:9" ht="16.5" customHeight="1" x14ac:dyDescent="0.2">
      <c r="B13" s="23" t="s">
        <v>8</v>
      </c>
      <c r="C13" s="23"/>
      <c r="D13" s="23"/>
      <c r="E13" s="23"/>
      <c r="F13" s="23"/>
      <c r="G13" s="23"/>
      <c r="H13" s="30">
        <f>H11+H12</f>
        <v>214467665.33999997</v>
      </c>
    </row>
    <row r="14" spans="2:9" ht="4.5" customHeight="1" x14ac:dyDescent="0.2">
      <c r="H14" s="31"/>
    </row>
    <row r="15" spans="2:9" ht="18" customHeight="1" x14ac:dyDescent="0.2">
      <c r="B15" s="21" t="s">
        <v>9</v>
      </c>
      <c r="C15" s="21"/>
      <c r="D15" s="21"/>
      <c r="E15" s="21"/>
      <c r="F15" s="21"/>
      <c r="G15" s="21"/>
      <c r="H15" s="31"/>
    </row>
    <row r="16" spans="2:9" ht="16.5" hidden="1" customHeight="1" x14ac:dyDescent="0.2">
      <c r="B16" s="22" t="s">
        <v>10</v>
      </c>
      <c r="C16" s="22"/>
      <c r="D16" s="22"/>
      <c r="E16" s="22"/>
      <c r="F16" s="22"/>
      <c r="G16" s="22"/>
      <c r="H16" s="29">
        <v>-99105508.153613999</v>
      </c>
    </row>
    <row r="17" spans="2:9" ht="16.5" hidden="1" customHeight="1" x14ac:dyDescent="0.2">
      <c r="B17" s="22" t="s">
        <v>11</v>
      </c>
      <c r="C17" s="22"/>
      <c r="D17" s="22"/>
      <c r="E17" s="22"/>
      <c r="F17" s="22"/>
      <c r="G17" s="22"/>
      <c r="H17" s="29">
        <v>0</v>
      </c>
    </row>
    <row r="18" spans="2:9" ht="16.5" hidden="1" customHeight="1" x14ac:dyDescent="0.2">
      <c r="B18" s="22" t="s">
        <v>12</v>
      </c>
      <c r="C18" s="22"/>
      <c r="D18" s="22"/>
      <c r="E18" s="22"/>
      <c r="F18" s="22"/>
      <c r="G18" s="22"/>
      <c r="H18" s="32">
        <f>H16+H17</f>
        <v>-99105508.153613999</v>
      </c>
    </row>
    <row r="19" spans="2:9" ht="16.5" customHeight="1" x14ac:dyDescent="0.2">
      <c r="B19" s="22" t="s">
        <v>13</v>
      </c>
      <c r="C19" s="22"/>
      <c r="D19" s="22"/>
      <c r="E19" s="22"/>
      <c r="F19" s="22"/>
      <c r="G19" s="22"/>
      <c r="H19" s="29">
        <v>0</v>
      </c>
    </row>
    <row r="20" spans="2:9" ht="16.5" customHeight="1" x14ac:dyDescent="0.2">
      <c r="B20" s="23" t="s">
        <v>14</v>
      </c>
      <c r="C20" s="23"/>
      <c r="D20" s="23"/>
      <c r="E20" s="23"/>
      <c r="F20" s="23"/>
      <c r="G20" s="23"/>
      <c r="H20" s="30">
        <f>H18+H19</f>
        <v>-99105508.153613999</v>
      </c>
    </row>
    <row r="21" spans="2:9" ht="4.5" customHeight="1" x14ac:dyDescent="0.2">
      <c r="H21" s="31"/>
    </row>
    <row r="22" spans="2:9" ht="16.5" customHeight="1" x14ac:dyDescent="0.2">
      <c r="B22" s="23" t="s">
        <v>15</v>
      </c>
      <c r="C22" s="23"/>
      <c r="D22" s="23"/>
      <c r="E22" s="23"/>
      <c r="F22" s="23"/>
      <c r="G22" s="23"/>
      <c r="H22" s="30">
        <f>H13+H20</f>
        <v>115362157.18638597</v>
      </c>
      <c r="I22" s="24"/>
    </row>
    <row r="23" spans="2:9" ht="4.5" customHeight="1" x14ac:dyDescent="0.2">
      <c r="H23" s="31"/>
    </row>
    <row r="24" spans="2:9" s="36" customFormat="1" ht="18" customHeight="1" x14ac:dyDescent="0.2">
      <c r="B24" s="21" t="s">
        <v>16</v>
      </c>
      <c r="C24" s="21"/>
      <c r="D24" s="21"/>
      <c r="E24" s="21"/>
      <c r="F24" s="21"/>
      <c r="G24" s="21"/>
      <c r="H24" s="35"/>
    </row>
    <row r="25" spans="2:9" ht="16.5" customHeight="1" x14ac:dyDescent="0.2">
      <c r="B25" s="22" t="s">
        <v>17</v>
      </c>
      <c r="C25" s="22"/>
      <c r="D25" s="22"/>
      <c r="E25" s="22"/>
      <c r="F25" s="22"/>
      <c r="G25" s="22"/>
      <c r="H25" s="29">
        <v>-36556101.866953403</v>
      </c>
    </row>
    <row r="26" spans="2:9" ht="16.5" customHeight="1" x14ac:dyDescent="0.2">
      <c r="B26" s="22" t="s">
        <v>18</v>
      </c>
      <c r="C26" s="22"/>
      <c r="D26" s="22"/>
      <c r="E26" s="22"/>
      <c r="F26" s="22"/>
      <c r="G26" s="22"/>
      <c r="H26" s="29">
        <v>-4500000</v>
      </c>
    </row>
    <row r="27" spans="2:9" ht="16.5" customHeight="1" x14ac:dyDescent="0.2">
      <c r="B27" s="22" t="s">
        <v>19</v>
      </c>
      <c r="C27" s="22"/>
      <c r="D27" s="22"/>
      <c r="E27" s="22"/>
      <c r="F27" s="22"/>
      <c r="G27" s="22"/>
      <c r="H27" s="29">
        <v>-18000000</v>
      </c>
    </row>
    <row r="28" spans="2:9" ht="16.5" customHeight="1" x14ac:dyDescent="0.2">
      <c r="B28" s="22" t="s">
        <v>20</v>
      </c>
      <c r="C28" s="22"/>
      <c r="D28" s="22"/>
      <c r="E28" s="22"/>
      <c r="F28" s="22"/>
      <c r="G28" s="22"/>
      <c r="H28" s="29">
        <v>0</v>
      </c>
    </row>
    <row r="29" spans="2:9" ht="16.5" customHeight="1" x14ac:dyDescent="0.2">
      <c r="B29" s="22" t="s">
        <v>21</v>
      </c>
      <c r="C29" s="22"/>
      <c r="D29" s="22"/>
      <c r="E29" s="22"/>
      <c r="F29" s="22"/>
      <c r="G29" s="22"/>
      <c r="H29" s="29">
        <v>-3560000</v>
      </c>
    </row>
    <row r="30" spans="2:9" ht="16.5" customHeight="1" x14ac:dyDescent="0.2">
      <c r="B30" s="22" t="s">
        <v>22</v>
      </c>
      <c r="C30" s="22"/>
      <c r="D30" s="22"/>
      <c r="E30" s="22"/>
      <c r="F30" s="22"/>
      <c r="G30" s="22"/>
      <c r="H30" s="29">
        <v>0</v>
      </c>
    </row>
    <row r="31" spans="2:9" ht="16.5" customHeight="1" x14ac:dyDescent="0.2">
      <c r="B31" s="22" t="s">
        <v>23</v>
      </c>
      <c r="C31" s="22"/>
      <c r="D31" s="22"/>
      <c r="E31" s="22"/>
      <c r="F31" s="22"/>
      <c r="G31" s="22"/>
      <c r="H31" s="29">
        <f>+'Estado de Situación Financiera'!J26</f>
        <v>-2243750.4</v>
      </c>
    </row>
    <row r="32" spans="2:9" ht="16.5" customHeight="1" x14ac:dyDescent="0.2">
      <c r="B32" s="22" t="s">
        <v>24</v>
      </c>
      <c r="C32" s="22"/>
      <c r="D32" s="22"/>
      <c r="E32" s="22"/>
      <c r="F32" s="22"/>
      <c r="G32" s="22"/>
      <c r="H32" s="29">
        <v>0</v>
      </c>
    </row>
    <row r="33" spans="2:9" ht="16.5" customHeight="1" x14ac:dyDescent="0.2">
      <c r="B33" s="23" t="s">
        <v>25</v>
      </c>
      <c r="C33" s="23"/>
      <c r="D33" s="23"/>
      <c r="E33" s="23"/>
      <c r="F33" s="23"/>
      <c r="G33" s="23"/>
      <c r="H33" s="30">
        <f>SUM(H25:H32)</f>
        <v>-64859852.266953401</v>
      </c>
    </row>
    <row r="34" spans="2:9" ht="4.5" customHeight="1" x14ac:dyDescent="0.2">
      <c r="H34" s="31"/>
    </row>
    <row r="35" spans="2:9" ht="18" customHeight="1" x14ac:dyDescent="0.2">
      <c r="B35" s="21" t="s">
        <v>26</v>
      </c>
      <c r="C35" s="21"/>
      <c r="D35" s="21"/>
      <c r="E35" s="21"/>
      <c r="F35" s="21"/>
      <c r="G35" s="21"/>
      <c r="H35" s="31"/>
    </row>
    <row r="36" spans="2:9" ht="16.5" customHeight="1" x14ac:dyDescent="0.2">
      <c r="B36" s="22" t="s">
        <v>27</v>
      </c>
      <c r="C36" s="22"/>
      <c r="D36" s="22"/>
      <c r="E36" s="22"/>
      <c r="F36" s="22"/>
      <c r="G36" s="22"/>
      <c r="H36" s="29">
        <v>0</v>
      </c>
    </row>
    <row r="37" spans="2:9" ht="16.5" customHeight="1" x14ac:dyDescent="0.2">
      <c r="B37" s="22" t="s">
        <v>28</v>
      </c>
      <c r="C37" s="22"/>
      <c r="D37" s="22"/>
      <c r="E37" s="22"/>
      <c r="F37" s="22"/>
      <c r="G37" s="22"/>
      <c r="H37" s="29">
        <v>0</v>
      </c>
    </row>
    <row r="38" spans="2:9" ht="16.5" customHeight="1" x14ac:dyDescent="0.2">
      <c r="B38" s="22" t="s">
        <v>29</v>
      </c>
      <c r="C38" s="22"/>
      <c r="D38" s="22"/>
      <c r="E38" s="22"/>
      <c r="F38" s="22"/>
      <c r="G38" s="22"/>
      <c r="H38" s="29">
        <f>-9121888.067333-59852.27</f>
        <v>-9181740.3373329993</v>
      </c>
    </row>
    <row r="39" spans="2:9" ht="16.5" customHeight="1" x14ac:dyDescent="0.2">
      <c r="B39" s="22" t="s">
        <v>30</v>
      </c>
      <c r="C39" s="22"/>
      <c r="D39" s="22"/>
      <c r="E39" s="22"/>
      <c r="F39" s="22"/>
      <c r="G39" s="22"/>
      <c r="H39" s="29">
        <v>0</v>
      </c>
    </row>
    <row r="40" spans="2:9" ht="16.5" customHeight="1" x14ac:dyDescent="0.2">
      <c r="B40" s="22" t="s">
        <v>31</v>
      </c>
      <c r="C40" s="22"/>
      <c r="D40" s="22"/>
      <c r="E40" s="22"/>
      <c r="F40" s="22"/>
      <c r="G40" s="22"/>
      <c r="H40" s="29">
        <v>0</v>
      </c>
    </row>
    <row r="41" spans="2:9" ht="16.5" customHeight="1" x14ac:dyDescent="0.2">
      <c r="B41" s="23" t="s">
        <v>32</v>
      </c>
      <c r="C41" s="23"/>
      <c r="D41" s="23"/>
      <c r="E41" s="23"/>
      <c r="F41" s="23"/>
      <c r="G41" s="23"/>
      <c r="H41" s="30">
        <f>SUM(H36:H40)</f>
        <v>-9181740.3373329993</v>
      </c>
    </row>
    <row r="42" spans="2:9" ht="4.5" customHeight="1" x14ac:dyDescent="0.2">
      <c r="H42" s="31"/>
    </row>
    <row r="43" spans="2:9" ht="16.5" customHeight="1" x14ac:dyDescent="0.2">
      <c r="B43" s="23" t="s">
        <v>33</v>
      </c>
      <c r="C43" s="23"/>
      <c r="D43" s="23"/>
      <c r="E43" s="23"/>
      <c r="F43" s="23"/>
      <c r="G43" s="23"/>
      <c r="H43" s="30">
        <f>H33+H41</f>
        <v>-74041592.604286402</v>
      </c>
    </row>
    <row r="44" spans="2:9" ht="4.5" customHeight="1" x14ac:dyDescent="0.2">
      <c r="H44" s="31"/>
    </row>
    <row r="45" spans="2:9" ht="16.5" customHeight="1" x14ac:dyDescent="0.2">
      <c r="B45" s="23" t="s">
        <v>34</v>
      </c>
      <c r="C45" s="23"/>
      <c r="D45" s="23"/>
      <c r="E45" s="23"/>
      <c r="F45" s="23"/>
      <c r="G45" s="23"/>
      <c r="H45" s="30">
        <f>H22+H43</f>
        <v>41320564.582099572</v>
      </c>
      <c r="I45" s="24"/>
    </row>
    <row r="46" spans="2:9" ht="4.5" customHeight="1" x14ac:dyDescent="0.2">
      <c r="H46" s="31"/>
    </row>
    <row r="47" spans="2:9" ht="18" customHeight="1" x14ac:dyDescent="0.2">
      <c r="B47" s="21" t="s">
        <v>35</v>
      </c>
      <c r="C47" s="21"/>
      <c r="D47" s="21"/>
      <c r="E47" s="21"/>
      <c r="F47" s="21"/>
      <c r="G47" s="21"/>
      <c r="H47" s="31"/>
    </row>
    <row r="48" spans="2:9" ht="16.5" customHeight="1" x14ac:dyDescent="0.2">
      <c r="B48" s="22" t="s">
        <v>36</v>
      </c>
      <c r="C48" s="22"/>
      <c r="D48" s="22"/>
      <c r="E48" s="22"/>
      <c r="F48" s="22"/>
      <c r="G48" s="22"/>
      <c r="H48" s="29">
        <v>0</v>
      </c>
    </row>
    <row r="49" spans="2:9" ht="16.5" customHeight="1" x14ac:dyDescent="0.2">
      <c r="B49" s="22" t="s">
        <v>37</v>
      </c>
      <c r="C49" s="22"/>
      <c r="D49" s="22"/>
      <c r="E49" s="22"/>
      <c r="F49" s="22"/>
      <c r="G49" s="22"/>
      <c r="H49" s="29">
        <v>0</v>
      </c>
    </row>
    <row r="50" spans="2:9" ht="16.5" customHeight="1" x14ac:dyDescent="0.2">
      <c r="B50" s="22" t="s">
        <v>38</v>
      </c>
      <c r="C50" s="22"/>
      <c r="D50" s="22"/>
      <c r="E50" s="22"/>
      <c r="F50" s="22"/>
      <c r="G50" s="22"/>
      <c r="H50" s="29">
        <v>0</v>
      </c>
    </row>
    <row r="51" spans="2:9" ht="16.5" customHeight="1" x14ac:dyDescent="0.2">
      <c r="B51" s="23" t="s">
        <v>39</v>
      </c>
      <c r="C51" s="23"/>
      <c r="D51" s="23"/>
      <c r="E51" s="23"/>
      <c r="F51" s="23"/>
      <c r="G51" s="23"/>
      <c r="H51" s="30">
        <f>SUM(H48:H50)</f>
        <v>0</v>
      </c>
    </row>
    <row r="52" spans="2:9" ht="4.5" customHeight="1" x14ac:dyDescent="0.2">
      <c r="H52" s="31"/>
    </row>
    <row r="53" spans="2:9" ht="18" customHeight="1" x14ac:dyDescent="0.2">
      <c r="B53" s="21" t="s">
        <v>40</v>
      </c>
      <c r="C53" s="21"/>
      <c r="D53" s="21"/>
      <c r="E53" s="21"/>
      <c r="F53" s="21"/>
      <c r="G53" s="21"/>
      <c r="H53" s="31"/>
    </row>
    <row r="54" spans="2:9" ht="16.5" customHeight="1" x14ac:dyDescent="0.2">
      <c r="B54" s="22" t="s">
        <v>41</v>
      </c>
      <c r="C54" s="22"/>
      <c r="D54" s="22"/>
      <c r="E54" s="22"/>
      <c r="F54" s="22"/>
      <c r="G54" s="22"/>
      <c r="H54" s="29">
        <f>-2731386.4843+357076-355.72-0.2</f>
        <v>-2374666.4043000005</v>
      </c>
    </row>
    <row r="55" spans="2:9" ht="16.5" customHeight="1" x14ac:dyDescent="0.2">
      <c r="B55" s="22" t="s">
        <v>42</v>
      </c>
      <c r="C55" s="22"/>
      <c r="D55" s="22"/>
      <c r="E55" s="22"/>
      <c r="F55" s="22"/>
      <c r="G55" s="22"/>
      <c r="H55" s="29">
        <v>0</v>
      </c>
    </row>
    <row r="56" spans="2:9" ht="16.5" customHeight="1" x14ac:dyDescent="0.2">
      <c r="B56" s="22" t="s">
        <v>43</v>
      </c>
      <c r="C56" s="22"/>
      <c r="D56" s="22"/>
      <c r="E56" s="22"/>
      <c r="F56" s="22"/>
      <c r="G56" s="22"/>
      <c r="H56" s="29">
        <v>0</v>
      </c>
    </row>
    <row r="57" spans="2:9" ht="16.5" customHeight="1" x14ac:dyDescent="0.2">
      <c r="B57" s="23" t="s">
        <v>44</v>
      </c>
      <c r="C57" s="23"/>
      <c r="D57" s="23"/>
      <c r="E57" s="23"/>
      <c r="F57" s="23"/>
      <c r="G57" s="23"/>
      <c r="H57" s="30">
        <f>SUM(H54:H56)</f>
        <v>-2374666.4043000005</v>
      </c>
    </row>
    <row r="58" spans="2:9" ht="4.5" customHeight="1" x14ac:dyDescent="0.2">
      <c r="H58" s="31"/>
    </row>
    <row r="59" spans="2:9" ht="16.5" customHeight="1" x14ac:dyDescent="0.2">
      <c r="B59" s="23" t="s">
        <v>45</v>
      </c>
      <c r="C59" s="23"/>
      <c r="D59" s="23"/>
      <c r="E59" s="23"/>
      <c r="F59" s="23"/>
      <c r="G59" s="23"/>
      <c r="H59" s="30">
        <f>H45+H51+H57</f>
        <v>38945898.177799568</v>
      </c>
      <c r="I59" s="24"/>
    </row>
    <row r="60" spans="2:9" ht="4.5" customHeight="1" x14ac:dyDescent="0.2">
      <c r="H60" s="31"/>
    </row>
    <row r="61" spans="2:9" ht="18" customHeight="1" x14ac:dyDescent="0.2">
      <c r="B61" s="21" t="s">
        <v>46</v>
      </c>
      <c r="C61" s="21"/>
      <c r="D61" s="21"/>
      <c r="E61" s="21"/>
      <c r="F61" s="21"/>
      <c r="G61" s="21"/>
      <c r="H61" s="31"/>
    </row>
    <row r="62" spans="2:9" ht="16.5" customHeight="1" x14ac:dyDescent="0.2">
      <c r="B62" s="22" t="s">
        <v>47</v>
      </c>
      <c r="C62" s="22"/>
      <c r="D62" s="22"/>
      <c r="E62" s="22"/>
      <c r="F62" s="22"/>
      <c r="G62" s="22"/>
      <c r="H62" s="33">
        <v>-1784000</v>
      </c>
    </row>
    <row r="63" spans="2:9" ht="16.5" customHeight="1" x14ac:dyDescent="0.2">
      <c r="B63" s="22" t="s">
        <v>48</v>
      </c>
      <c r="C63" s="22"/>
      <c r="D63" s="22"/>
      <c r="E63" s="22"/>
      <c r="F63" s="22"/>
      <c r="G63" s="22"/>
      <c r="H63" s="29">
        <v>0</v>
      </c>
    </row>
    <row r="64" spans="2:9" ht="16.5" customHeight="1" x14ac:dyDescent="0.2">
      <c r="B64" s="23" t="s">
        <v>49</v>
      </c>
      <c r="C64" s="23"/>
      <c r="D64" s="23"/>
      <c r="E64" s="23"/>
      <c r="F64" s="23"/>
      <c r="G64" s="23"/>
      <c r="H64" s="30">
        <f>H62+H63</f>
        <v>-1784000</v>
      </c>
    </row>
    <row r="65" spans="2:13" ht="4.5" customHeight="1" x14ac:dyDescent="0.2">
      <c r="H65" s="31"/>
    </row>
    <row r="66" spans="2:13" ht="16.5" customHeight="1" x14ac:dyDescent="0.2">
      <c r="B66" s="23" t="s">
        <v>50</v>
      </c>
      <c r="C66" s="23"/>
      <c r="D66" s="23"/>
      <c r="E66" s="23"/>
      <c r="F66" s="23"/>
      <c r="G66" s="23"/>
      <c r="H66" s="34">
        <f>H59+H64</f>
        <v>37161898.177799568</v>
      </c>
      <c r="I66" s="24"/>
    </row>
    <row r="67" spans="2:13" ht="4.5" customHeight="1" x14ac:dyDescent="0.2">
      <c r="H67" s="31"/>
    </row>
    <row r="68" spans="2:13" ht="18" customHeight="1" x14ac:dyDescent="0.2">
      <c r="B68" s="21" t="s">
        <v>51</v>
      </c>
      <c r="C68" s="21"/>
      <c r="D68" s="21"/>
      <c r="E68" s="21"/>
      <c r="F68" s="21"/>
      <c r="G68" s="21"/>
      <c r="H68" s="31"/>
    </row>
    <row r="69" spans="2:13" ht="16.5" customHeight="1" x14ac:dyDescent="0.2">
      <c r="B69" s="22" t="s">
        <v>52</v>
      </c>
      <c r="C69" s="22"/>
      <c r="D69" s="22"/>
      <c r="E69" s="22"/>
      <c r="F69" s="22"/>
      <c r="G69" s="22"/>
      <c r="H69" s="29">
        <v>0</v>
      </c>
    </row>
    <row r="70" spans="2:13" ht="16.5" customHeight="1" x14ac:dyDescent="0.2">
      <c r="B70" s="22" t="s">
        <v>53</v>
      </c>
      <c r="C70" s="22"/>
      <c r="D70" s="22"/>
      <c r="E70" s="22"/>
      <c r="F70" s="22"/>
      <c r="G70" s="22"/>
      <c r="H70" s="29">
        <v>0</v>
      </c>
    </row>
    <row r="71" spans="2:13" ht="16.5" customHeight="1" x14ac:dyDescent="0.2">
      <c r="B71" s="23" t="s">
        <v>54</v>
      </c>
      <c r="C71" s="23"/>
      <c r="D71" s="23"/>
      <c r="E71" s="23"/>
      <c r="F71" s="23"/>
      <c r="G71" s="23"/>
      <c r="H71" s="30">
        <f>H69+H70</f>
        <v>0</v>
      </c>
    </row>
    <row r="72" spans="2:13" ht="4.5" customHeight="1" x14ac:dyDescent="0.2">
      <c r="H72" s="31"/>
    </row>
    <row r="73" spans="2:13" ht="16.5" customHeight="1" x14ac:dyDescent="0.2">
      <c r="B73" s="23" t="s">
        <v>55</v>
      </c>
      <c r="C73" s="23"/>
      <c r="D73" s="23"/>
      <c r="E73" s="23"/>
      <c r="F73" s="23"/>
      <c r="G73" s="23"/>
      <c r="H73" s="34">
        <f>H66+H71</f>
        <v>37161898.177799568</v>
      </c>
    </row>
    <row r="74" spans="2:13" ht="7.5" customHeight="1" x14ac:dyDescent="0.2">
      <c r="H74" s="31"/>
    </row>
    <row r="75" spans="2:13" ht="15" customHeight="1" x14ac:dyDescent="0.2">
      <c r="B75" s="25"/>
      <c r="C75" s="25"/>
      <c r="D75" s="25"/>
      <c r="E75" s="25"/>
      <c r="F75" s="25"/>
      <c r="G75" s="25"/>
      <c r="H75" s="31"/>
    </row>
    <row r="77" spans="2:13" ht="9.75" customHeight="1" x14ac:dyDescent="0.2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2:13" ht="9.75" customHeight="1" x14ac:dyDescent="0.2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2:13" ht="9.75" customHeight="1" x14ac:dyDescent="0.2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2:13" ht="18" customHeight="1" x14ac:dyDescent="0.2"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2"/>
      <c r="M80" s="22"/>
    </row>
    <row r="81" spans="2:13" ht="7.5" customHeight="1" x14ac:dyDescent="0.2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2:13" ht="31.5" customHeight="1" x14ac:dyDescent="0.2">
      <c r="B82" s="38" t="s">
        <v>108</v>
      </c>
      <c r="C82" s="38"/>
      <c r="D82" s="38"/>
      <c r="E82" s="38"/>
      <c r="F82" s="38"/>
      <c r="G82" s="38" t="s">
        <v>108</v>
      </c>
      <c r="H82" s="38"/>
      <c r="I82" s="38"/>
      <c r="K82" s="38"/>
      <c r="L82" s="38"/>
      <c r="M82" s="38"/>
    </row>
    <row r="83" spans="2:13" ht="18" customHeight="1" x14ac:dyDescent="0.2">
      <c r="B83" s="23" t="s">
        <v>56</v>
      </c>
      <c r="C83" s="23"/>
      <c r="D83" s="23"/>
      <c r="E83" s="23"/>
      <c r="F83" s="23"/>
      <c r="G83" s="23" t="s">
        <v>57</v>
      </c>
      <c r="H83" s="22"/>
      <c r="I83" s="22"/>
      <c r="K83" s="22"/>
      <c r="L83" s="22"/>
      <c r="M83" s="22"/>
    </row>
    <row r="84" spans="2:13" ht="15.75" customHeight="1" x14ac:dyDescent="0.2">
      <c r="B84" s="27" t="s">
        <v>115</v>
      </c>
      <c r="C84" s="27"/>
      <c r="D84" s="27"/>
      <c r="E84" s="27"/>
      <c r="F84" s="27"/>
      <c r="G84" s="27" t="s">
        <v>109</v>
      </c>
      <c r="H84" s="28"/>
      <c r="I84" s="22"/>
      <c r="K84" s="28"/>
      <c r="L84" s="22"/>
      <c r="M84" s="22"/>
    </row>
    <row r="85" spans="2:13" ht="15.75" customHeight="1" x14ac:dyDescent="0.2">
      <c r="B85" s="27" t="s">
        <v>116</v>
      </c>
      <c r="C85" s="27"/>
      <c r="D85" s="27"/>
      <c r="E85" s="27"/>
      <c r="F85" s="27"/>
      <c r="G85" s="27" t="s">
        <v>110</v>
      </c>
      <c r="H85" s="28"/>
      <c r="I85" s="22"/>
      <c r="K85" s="28"/>
      <c r="L85" s="22"/>
      <c r="M85" s="22"/>
    </row>
    <row r="86" spans="2:13" ht="15.75" customHeight="1" x14ac:dyDescent="0.2">
      <c r="B86" s="22"/>
      <c r="C86" s="22"/>
      <c r="D86" s="22"/>
      <c r="E86" s="22"/>
      <c r="F86" s="22"/>
      <c r="G86" s="27" t="s">
        <v>111</v>
      </c>
      <c r="H86" s="22"/>
      <c r="I86" s="22"/>
      <c r="K86" s="28"/>
      <c r="L86" s="22"/>
      <c r="M86" s="22"/>
    </row>
    <row r="87" spans="2:13" ht="9.75" customHeight="1" x14ac:dyDescent="0.2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2:13" ht="15.75" customHeight="1" x14ac:dyDescent="0.2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2:13" ht="15.75" customHeight="1" x14ac:dyDescent="0.2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spans="2:13" ht="6" customHeight="1" x14ac:dyDescent="0.2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spans="2:13" ht="27.75" customHeight="1" x14ac:dyDescent="0.2">
      <c r="B91" s="22"/>
      <c r="C91" s="22"/>
      <c r="D91" s="22"/>
      <c r="E91" s="22"/>
      <c r="F91" s="22"/>
      <c r="G91" s="22"/>
      <c r="I91" s="22"/>
      <c r="J91" s="22"/>
      <c r="K91" s="22"/>
      <c r="L91" s="22"/>
      <c r="M91" s="22"/>
    </row>
  </sheetData>
  <pageMargins left="0.25" right="0.25" top="0.75" bottom="0.75" header="0.3" footer="0.3"/>
  <pageSetup paperSize="9" fitToHeight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7FE2-96F7-4120-B9F3-14B1DE2EE3D0}">
  <dimension ref="A1:K14"/>
  <sheetViews>
    <sheetView showGridLines="0" workbookViewId="0">
      <selection activeCell="C8" sqref="C8"/>
    </sheetView>
  </sheetViews>
  <sheetFormatPr baseColWidth="10" defaultColWidth="0" defaultRowHeight="12.75" zeroHeight="1" x14ac:dyDescent="0.2"/>
  <cols>
    <col min="1" max="1" width="6.28515625" style="41" customWidth="1"/>
    <col min="2" max="2" width="51.5703125" style="41" customWidth="1"/>
    <col min="3" max="3" width="19.5703125" style="42" bestFit="1" customWidth="1"/>
    <col min="4" max="4" width="18.5703125" style="41" bestFit="1" customWidth="1"/>
    <col min="5" max="5" width="15.85546875" style="43" customWidth="1"/>
    <col min="6" max="6" width="3.7109375" style="43" customWidth="1"/>
    <col min="7" max="7" width="27.28515625" style="41" customWidth="1"/>
    <col min="8" max="8" width="17.140625" style="44" customWidth="1"/>
    <col min="9" max="9" width="6.28515625" style="41" customWidth="1"/>
    <col min="10" max="10" width="21.7109375" style="45" hidden="1"/>
    <col min="11" max="11" width="16.85546875" style="41" hidden="1"/>
    <col min="12" max="16384" width="11.42578125" style="41" hidden="1"/>
  </cols>
  <sheetData>
    <row r="1" spans="2:11" x14ac:dyDescent="0.2"/>
    <row r="2" spans="2:11" x14ac:dyDescent="0.2"/>
    <row r="3" spans="2:11" ht="15.75" x14ac:dyDescent="0.25">
      <c r="B3" s="67" t="s">
        <v>117</v>
      </c>
      <c r="C3" s="67"/>
      <c r="D3" s="67"/>
      <c r="E3" s="67"/>
      <c r="F3" s="46"/>
      <c r="G3" s="40" t="s">
        <v>118</v>
      </c>
      <c r="H3" s="47"/>
    </row>
    <row r="4" spans="2:11" ht="26.25" thickBot="1" x14ac:dyDescent="0.25">
      <c r="B4" s="48" t="s">
        <v>119</v>
      </c>
      <c r="C4" s="49" t="s">
        <v>120</v>
      </c>
      <c r="D4" s="50" t="s">
        <v>121</v>
      </c>
      <c r="E4" s="51" t="s">
        <v>122</v>
      </c>
      <c r="F4" s="52"/>
      <c r="G4" s="41" t="s">
        <v>123</v>
      </c>
      <c r="H4" s="53">
        <f>+'Estado de Situación Financiera'!J21</f>
        <v>381761896.39999998</v>
      </c>
    </row>
    <row r="5" spans="2:11" ht="13.5" thickBot="1" x14ac:dyDescent="0.25">
      <c r="B5" s="54" t="s">
        <v>130</v>
      </c>
      <c r="C5" s="55">
        <f>H4/H5</f>
        <v>2.4642806905787666</v>
      </c>
      <c r="D5" s="56">
        <v>2</v>
      </c>
      <c r="E5" s="57" t="str">
        <f>IF(C5&gt;=D5,"CUMPLE","NO CUMPLE")</f>
        <v>CUMPLE</v>
      </c>
      <c r="F5" s="58"/>
      <c r="G5" s="41" t="s">
        <v>124</v>
      </c>
      <c r="H5" s="59">
        <f>+'Estado de Situación Financiera'!J44</f>
        <v>154918186.81999999</v>
      </c>
    </row>
    <row r="6" spans="2:11" ht="13.5" thickBot="1" x14ac:dyDescent="0.25">
      <c r="B6" s="54" t="s">
        <v>131</v>
      </c>
      <c r="C6" s="55">
        <f>H7/H6</f>
        <v>0.59780880130207714</v>
      </c>
      <c r="D6" s="56">
        <v>0.4</v>
      </c>
      <c r="E6" s="57" t="str">
        <f>IF(C6&gt;=D6,"NO CUMPLE","CUMPLE")</f>
        <v>NO CUMPLE</v>
      </c>
      <c r="F6" s="58"/>
      <c r="G6" s="41" t="s">
        <v>125</v>
      </c>
      <c r="H6" s="59">
        <f>+'Estado de Situación Financiera'!J32</f>
        <v>395736900</v>
      </c>
    </row>
    <row r="7" spans="2:11" ht="26.25" thickBot="1" x14ac:dyDescent="0.25">
      <c r="B7" s="60" t="s">
        <v>132</v>
      </c>
      <c r="C7" s="55">
        <f>H9/H10</f>
        <v>17.400576564050041</v>
      </c>
      <c r="D7" s="56">
        <v>14</v>
      </c>
      <c r="E7" s="57" t="str">
        <f>IF(C7&lt;=D7,"NO CUMPLE","CUMPLE")</f>
        <v>CUMPLE</v>
      </c>
      <c r="F7" s="58"/>
      <c r="G7" s="41" t="s">
        <v>126</v>
      </c>
      <c r="H7" s="59">
        <f>+'Estado de Situación Financiera'!J53</f>
        <v>236575001.81999999</v>
      </c>
    </row>
    <row r="8" spans="2:11" ht="26.25" thickBot="1" x14ac:dyDescent="0.25">
      <c r="B8" s="60" t="s">
        <v>133</v>
      </c>
      <c r="C8" s="55">
        <f>H9/H8</f>
        <v>0.25961341913590658</v>
      </c>
      <c r="D8" s="56">
        <v>0.14000000000000001</v>
      </c>
      <c r="E8" s="57" t="str">
        <f>IF(C8&gt;=D8,"CUMPLE","NO CUMPLE")</f>
        <v>CUMPLE</v>
      </c>
      <c r="F8" s="52"/>
      <c r="G8" s="41" t="s">
        <v>127</v>
      </c>
      <c r="H8" s="59">
        <f>+'Estado de Situación Financiera'!J65</f>
        <v>159161898.17779958</v>
      </c>
    </row>
    <row r="9" spans="2:11" ht="26.25" thickBot="1" x14ac:dyDescent="0.25">
      <c r="B9" s="60" t="s">
        <v>134</v>
      </c>
      <c r="C9" s="55">
        <f>H9/H6</f>
        <v>0.10441423223889298</v>
      </c>
      <c r="D9" s="56">
        <v>0.14000000000000001</v>
      </c>
      <c r="E9" s="57" t="str">
        <f>IF(C9&gt;=D9,"CUMPLE","NO CUMPLE")</f>
        <v>NO CUMPLE</v>
      </c>
      <c r="F9" s="58"/>
      <c r="G9" s="61" t="s">
        <v>128</v>
      </c>
      <c r="H9" s="59">
        <f>+'Estado de Resultados'!H45</f>
        <v>41320564.582099572</v>
      </c>
    </row>
    <row r="10" spans="2:11" ht="13.5" thickBot="1" x14ac:dyDescent="0.25">
      <c r="B10" s="62" t="s">
        <v>135</v>
      </c>
      <c r="C10" s="63">
        <f>+(H4-H5)</f>
        <v>226843709.57999998</v>
      </c>
      <c r="D10" s="64"/>
      <c r="E10" s="57" t="str">
        <f>IF(C10&gt;=D10,"CUMPLE","NO CUMPLE")</f>
        <v>CUMPLE</v>
      </c>
      <c r="F10" s="58"/>
      <c r="G10" s="61" t="s">
        <v>129</v>
      </c>
      <c r="H10" s="59">
        <f>-'Estado de Resultados'!H54</f>
        <v>2374666.4043000005</v>
      </c>
      <c r="K10" s="45"/>
    </row>
    <row r="11" spans="2:11" x14ac:dyDescent="0.2">
      <c r="D11" s="45"/>
      <c r="F11" s="58"/>
    </row>
    <row r="12" spans="2:11" x14ac:dyDescent="0.2">
      <c r="D12" s="65"/>
    </row>
    <row r="13" spans="2:11" x14ac:dyDescent="0.2">
      <c r="C13" s="66"/>
      <c r="D13" s="45"/>
    </row>
    <row r="14" spans="2:11" x14ac:dyDescent="0.2">
      <c r="D14" s="65"/>
    </row>
  </sheetData>
  <mergeCells count="1">
    <mergeCell ref="B3:E3"/>
  </mergeCells>
  <conditionalFormatting sqref="E5:E10">
    <cfRule type="containsText" dxfId="0" priority="1" operator="containsText" text="NO CUMPLE">
      <formula>NOT(ISERROR(SEARCH("NO CUMPLE",E5)))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Estado de Situación Financiera</vt:lpstr>
      <vt:lpstr>Estado de Resultados</vt:lpstr>
      <vt:lpstr>Calculadora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Andrés Felipe Arrieta Bertel</cp:lastModifiedBy>
  <cp:revision>0</cp:revision>
  <cp:lastPrinted>2026-04-29T20:44:35Z</cp:lastPrinted>
  <dcterms:created xsi:type="dcterms:W3CDTF">2026-04-16T01:08:33Z</dcterms:created>
  <dcterms:modified xsi:type="dcterms:W3CDTF">2026-04-30T19:25:19Z</dcterms:modified>
  <dc:language>en-US</dc:language>
</cp:coreProperties>
</file>