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3.xml" ContentType="application/vnd.openxmlformats-officedocument.spreadsheetml.comments+xml"/>
  <Override PartName="/xl/drawings/drawing15.xml" ContentType="application/vnd.openxmlformats-officedocument.drawing+xml"/>
  <Override PartName="/xl/comments4.xml" ContentType="application/vnd.openxmlformats-officedocument.spreadsheetml.comments+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mc:AlternateContent xmlns:mc="http://schemas.openxmlformats.org/markup-compatibility/2006">
    <mc:Choice Requires="x15">
      <x15ac:absPath xmlns:x15ac="http://schemas.microsoft.com/office/spreadsheetml/2010/11/ac" url="C:\Users\Monica Arias\Dropbox\Pendientes para revision\02. Febrero\Publicados\"/>
    </mc:Choice>
  </mc:AlternateContent>
  <xr:revisionPtr revIDLastSave="0" documentId="13_ncr:1_{4B9324EF-F3D5-4973-A09B-07282EF35C4F}" xr6:coauthVersionLast="47" xr6:coauthVersionMax="47" xr10:uidLastSave="{00000000-0000-0000-0000-000000000000}"/>
  <bookViews>
    <workbookView xWindow="20370" yWindow="-120" windowWidth="29040" windowHeight="15840" tabRatio="910" xr2:uid="{00000000-000D-0000-FFFF-FFFF00000000}"/>
  </bookViews>
  <sheets>
    <sheet name="Copyright" sheetId="16" r:id="rId1"/>
    <sheet name="Empieza aquí" sheetId="17" r:id="rId2"/>
    <sheet name="Introducción" sheetId="18" r:id="rId3"/>
    <sheet name="Datos base" sheetId="3" r:id="rId4"/>
    <sheet name="Ppto Ventas" sheetId="2" r:id="rId5"/>
    <sheet name="Ppto Producción" sheetId="4" r:id="rId6"/>
    <sheet name="MOD" sheetId="5" r:id="rId7"/>
    <sheet name="CIF" sheetId="6" r:id="rId8"/>
    <sheet name="Admón y ventas" sheetId="8" r:id="rId9"/>
    <sheet name="Ppto Cartera" sheetId="9" r:id="rId10"/>
    <sheet name="Ppto inversión y plan pagos" sheetId="11" r:id="rId11"/>
    <sheet name="Estado costos" sheetId="12" r:id="rId12"/>
    <sheet name="ER" sheetId="13" r:id="rId13"/>
    <sheet name="FC" sheetId="14" r:id="rId14"/>
    <sheet name="ESF" sheetId="15" r:id="rId15"/>
    <sheet name="Listado completo de archivos " sheetId="19" r:id="rId16"/>
  </sheets>
  <externalReferences>
    <externalReference r:id="rId17"/>
    <externalReference r:id="rId18"/>
    <externalReference r:id="rId19"/>
    <externalReference r:id="rId20"/>
    <externalReference r:id="rId21"/>
    <externalReference r:id="rId22"/>
  </externalReferences>
  <definedNames>
    <definedName name="AC" localSheetId="2">#REF!</definedName>
    <definedName name="AC" localSheetId="15">#REF!</definedName>
    <definedName name="AC">#REF!</definedName>
    <definedName name="ACC" localSheetId="15">#REF!</definedName>
    <definedName name="ACC">#REF!</definedName>
    <definedName name="actividades_tarifas">'[1]Actividades '!$B$12:$J$40</definedName>
    <definedName name="AD" localSheetId="15">#REF!</definedName>
    <definedName name="AD">#REF!</definedName>
    <definedName name="Año_1" localSheetId="15">#REF!</definedName>
    <definedName name="Año_1">#REF!</definedName>
    <definedName name="Año_2" localSheetId="15">#REF!</definedName>
    <definedName name="Año_2">#REF!</definedName>
    <definedName name="AOP">#REF!</definedName>
    <definedName name="ARL">[2]Tablas!$A$12:$B$17</definedName>
    <definedName name="AS" localSheetId="2">#REF!</definedName>
    <definedName name="AS" localSheetId="15">#REF!</definedName>
    <definedName name="AS">#REF!</definedName>
    <definedName name="BE" localSheetId="15">#REF!</definedName>
    <definedName name="BE">#REF!</definedName>
    <definedName name="Bimestralmente" comment="cada dos meses" localSheetId="15">#REF!</definedName>
    <definedName name="Bimestralmente" comment="cada dos meses">#REF!</definedName>
    <definedName name="BP_APERTURA">#REF!</definedName>
    <definedName name="BP_Diciembre_Año_2">#REF!</definedName>
    <definedName name="BP_Enero_Año_1">#REF!</definedName>
    <definedName name="CIR">#REF!</definedName>
    <definedName name="Codigo_Ctro_Costos_Grupo">#REF!</definedName>
    <definedName name="Codigo_CtroCostos">#REF!</definedName>
    <definedName name="Codigo1">[3]Año_1!$A$1:$A$65536</definedName>
    <definedName name="Codigos_PUC" localSheetId="2">#REF!</definedName>
    <definedName name="Codigos_PUC" localSheetId="15">#REF!</definedName>
    <definedName name="Codigos_PUC">#REF!</definedName>
    <definedName name="CR" localSheetId="15">#REF!</definedName>
    <definedName name="CR">#REF!</definedName>
    <definedName name="Cuatrimestralmente" comment="cada cuatro años" localSheetId="15">#REF!</definedName>
    <definedName name="Cuatrimestralmente" comment="cada cuatro años">#REF!</definedName>
    <definedName name="CV">#REF!</definedName>
    <definedName name="DC">#REF!</definedName>
    <definedName name="DII">[4]Normativa!$E$46:$F$55</definedName>
    <definedName name="DIP">[4]Normativa!$M$20:$N$29</definedName>
    <definedName name="ECP" localSheetId="2">#REF!</definedName>
    <definedName name="ECP" localSheetId="15">#REF!</definedName>
    <definedName name="ECP">#REF!</definedName>
    <definedName name="ECPC" localSheetId="15">#REF!</definedName>
    <definedName name="ECPC">#REF!</definedName>
    <definedName name="EFE" localSheetId="15">#REF!</definedName>
    <definedName name="EFE">#REF!</definedName>
    <definedName name="EGC">[4]Normativa!$N$162:$O$171</definedName>
    <definedName name="ENGC">[4]Normativa!$J$162:$K$261</definedName>
    <definedName name="ERC" localSheetId="2">#REF!</definedName>
    <definedName name="ERC" localSheetId="15">#REF!</definedName>
    <definedName name="ERC">#REF!</definedName>
    <definedName name="ETC" localSheetId="15">#REF!</definedName>
    <definedName name="ETC">#REF!</definedName>
    <definedName name="EYE" localSheetId="15">#REF!</definedName>
    <definedName name="EYE">#REF!</definedName>
    <definedName name="GCI">[4]Normativa!$E$33:$F$42</definedName>
    <definedName name="GCII">[4]Normativa!$I$33:$J$42</definedName>
    <definedName name="GCIII">[4]Normativa!$M$33:$N$42</definedName>
    <definedName name="GIMP" localSheetId="2">#REF!</definedName>
    <definedName name="GIMP" localSheetId="15">#REF!</definedName>
    <definedName name="GIMP">#REF!</definedName>
    <definedName name="GMF">[4]Normativa!$J$59:$M$110</definedName>
    <definedName name="GTOS" localSheetId="2">#REF!</definedName>
    <definedName name="GTOS" localSheetId="15">#REF!</definedName>
    <definedName name="GTOS">#REF!</definedName>
    <definedName name="HTEFE" localSheetId="15">#REF!</definedName>
    <definedName name="HTEFE">#REF!</definedName>
    <definedName name="IBC">'[2]EJ1  Prest. servicios'!$D$14</definedName>
    <definedName name="IBC_2">'[2]EJ2  Prest. servicios'!$D$14</definedName>
    <definedName name="IBC_3">'[2]EJ3  Prest. servicios'!$D$16</definedName>
    <definedName name="IBC_4">'[2]EJ4 Otros independientes'!$D$13</definedName>
    <definedName name="IBC_42">'[2]EJ4 Otros independientes'!$G$13</definedName>
    <definedName name="IBC_5">'[2]EJ5 Otros independientes'!$D$17</definedName>
    <definedName name="IBC_52">'[2]EJ5 Otros independientes'!$G$17</definedName>
    <definedName name="IBC_6" localSheetId="2">#REF!</definedName>
    <definedName name="IBC_6" localSheetId="15">#REF!</definedName>
    <definedName name="IBC_6">#REF!</definedName>
    <definedName name="IBC_62" localSheetId="15">#REF!</definedName>
    <definedName name="IBC_62">#REF!</definedName>
    <definedName name="ID" localSheetId="15">#REF!</definedName>
    <definedName name="ID">#REF!</definedName>
    <definedName name="IGF">#REF!</definedName>
    <definedName name="Indices">[5]Datos!$D$12:$D$15</definedName>
    <definedName name="INT" localSheetId="2">#REF!</definedName>
    <definedName name="INT" localSheetId="15">#REF!</definedName>
    <definedName name="INT">#REF!</definedName>
    <definedName name="INV" localSheetId="15">#REF!</definedName>
    <definedName name="INV">#REF!</definedName>
    <definedName name="INVER" localSheetId="15">#REF!</definedName>
    <definedName name="INVER">#REF!</definedName>
    <definedName name="IPA">#REF!</definedName>
    <definedName name="IPC">#REF!</definedName>
    <definedName name="IPP">[4]Normativa!$I$46:$J$55</definedName>
    <definedName name="IR">[4]Normativa!$M$46:$N$55</definedName>
    <definedName name="IVA">[4]Normativa!$E$20:$K$29</definedName>
    <definedName name="Ksact1">[3]Año_1!$F$1:$F$65536</definedName>
    <definedName name="ListMonths">[6]Datos!$C$36:$C$47</definedName>
    <definedName name="MP" localSheetId="2">#REF!</definedName>
    <definedName name="MP" localSheetId="15">#REF!</definedName>
    <definedName name="MP">#REF!</definedName>
    <definedName name="MPD" localSheetId="15">#REF!</definedName>
    <definedName name="MPD">#REF!</definedName>
    <definedName name="MSG_MACRO">"Debe habilitar las macros"</definedName>
    <definedName name="NGC">[4]Normativa!$E$59:$F$158</definedName>
    <definedName name="NIT" localSheetId="2">#REF!</definedName>
    <definedName name="NIT" localSheetId="15">#REF!</definedName>
    <definedName name="NIT">#REF!</definedName>
    <definedName name="OAF" localSheetId="15">#REF!</definedName>
    <definedName name="OAF">#REF!</definedName>
    <definedName name="OIE" localSheetId="15">#REF!</definedName>
    <definedName name="OIE">#REF!</definedName>
    <definedName name="PB">#REF!</definedName>
    <definedName name="PBG">#REF!</definedName>
    <definedName name="Periodo" comment="perido de pago" localSheetId="15">#REF!</definedName>
    <definedName name="Periodo" comment="perido de pago">#REF!</definedName>
    <definedName name="PN">[4]Normativa!$E$162:$F$261</definedName>
    <definedName name="ppc" localSheetId="2">#REF!</definedName>
    <definedName name="ppc" localSheetId="15">#REF!</definedName>
    <definedName name="ppc">#REF!</definedName>
    <definedName name="PPYE" localSheetId="15">#REF!</definedName>
    <definedName name="PPYE">#REF!</definedName>
    <definedName name="PR" localSheetId="15">#REF!</definedName>
    <definedName name="PR">#REF!</definedName>
    <definedName name="PRLA">[4]Normativa!$J$368:$K$467</definedName>
    <definedName name="PUC" localSheetId="2">#REF!:#REF!</definedName>
    <definedName name="PUC" localSheetId="15">#REF!:#REF!</definedName>
    <definedName name="PUC">#REF!:#REF!</definedName>
    <definedName name="Razon_Social" localSheetId="15">#REF!</definedName>
    <definedName name="Razon_Social">#REF!</definedName>
    <definedName name="RES" localSheetId="15">#REF!</definedName>
    <definedName name="RES">#REF!</definedName>
    <definedName name="RM" localSheetId="15">#REF!</definedName>
    <definedName name="RM">#REF!</definedName>
    <definedName name="RT">[4]Normativa!$E$7:$Q$16</definedName>
    <definedName name="RTI" localSheetId="2">#REF!</definedName>
    <definedName name="RTI" localSheetId="15">#REF!</definedName>
    <definedName name="RTI">#REF!</definedName>
    <definedName name="SalInicial_20091231" localSheetId="15">#REF!</definedName>
    <definedName name="SalInicial_20091231">#REF!</definedName>
    <definedName name="SalMin" localSheetId="15">#REF!</definedName>
    <definedName name="SalMin">#REF!</definedName>
    <definedName name="seleccion" comment="seleccion de periodo de pago" localSheetId="15">#REF!</definedName>
    <definedName name="seleccion" comment="seleccion de periodo de pago">#REF!</definedName>
    <definedName name="SIM">[4]Normativa!$P$20:$V$29</definedName>
    <definedName name="SMMLV">'[2]EJ1  Prest. servicios'!$D$8</definedName>
    <definedName name="SMMLV_2">'[2]EJ2  Prest. servicios'!$D$8</definedName>
    <definedName name="SMMLV_3">'[2]EJ3  Prest. servicios'!$D$10</definedName>
    <definedName name="SMMLV_4">'[2]EJ4 Otros independientes'!$D$5</definedName>
    <definedName name="SMMLV_5">'[2]EJ5 Otros independientes'!$D$9</definedName>
    <definedName name="SMMLV_6" localSheetId="2">#REF!</definedName>
    <definedName name="SMMLV_6" localSheetId="15">#REF!</definedName>
    <definedName name="SMMLV_6">#REF!</definedName>
    <definedName name="SSI">[4]Normativa!$E$265:$F$364</definedName>
    <definedName name="SSII">[4]Normativa!$J$265:$K$364</definedName>
    <definedName name="TEE">[4]Normativa!$E$368:$F$467</definedName>
    <definedName name="transporte">[2]Tablas!$F$27:$K$33</definedName>
    <definedName name="VPND" localSheetId="2">#REF!</definedName>
    <definedName name="VPND" localSheetId="15">#REF!</definedName>
    <definedName name="VPND">#REF!</definedName>
    <definedName name="VR" localSheetId="15">#REF!</definedName>
    <definedName name="V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 l="1"/>
  <c r="D6" i="9"/>
  <c r="C9" i="13"/>
  <c r="G62" i="8" l="1"/>
  <c r="E34" i="15"/>
  <c r="F34" i="15"/>
  <c r="G34" i="15"/>
  <c r="D34" i="15"/>
  <c r="E33" i="15"/>
  <c r="F33" i="15"/>
  <c r="G33" i="15"/>
  <c r="D33" i="15"/>
  <c r="C14" i="15"/>
  <c r="J47" i="14"/>
  <c r="K47" i="14"/>
  <c r="L47" i="14"/>
  <c r="I47" i="14"/>
  <c r="D45" i="14"/>
  <c r="D49" i="8" l="1"/>
  <c r="E49" i="8"/>
  <c r="F49" i="8"/>
  <c r="G49" i="8"/>
  <c r="C49" i="8"/>
  <c r="D45" i="8"/>
  <c r="E45" i="8"/>
  <c r="F45" i="8"/>
  <c r="G45" i="8"/>
  <c r="C45" i="8"/>
  <c r="B31" i="8"/>
  <c r="B32" i="8"/>
  <c r="B33" i="8"/>
  <c r="B34" i="8"/>
  <c r="B35" i="8"/>
  <c r="B25" i="8"/>
  <c r="B26" i="8"/>
  <c r="B27" i="8"/>
  <c r="B28" i="8"/>
  <c r="B21" i="6"/>
  <c r="B20" i="6"/>
  <c r="B19" i="6"/>
  <c r="B18" i="6"/>
  <c r="B17" i="6"/>
  <c r="B6" i="6"/>
  <c r="B7" i="6"/>
  <c r="B8" i="6"/>
  <c r="B9" i="6"/>
  <c r="G31" i="5"/>
  <c r="F31" i="5"/>
  <c r="E31" i="5"/>
  <c r="D31" i="5"/>
  <c r="C31" i="5"/>
  <c r="G27" i="5"/>
  <c r="F27" i="5"/>
  <c r="E27" i="5"/>
  <c r="D27" i="5"/>
  <c r="C27" i="5"/>
  <c r="C26" i="5"/>
  <c r="H62" i="4"/>
  <c r="G62" i="4"/>
  <c r="E62" i="4"/>
  <c r="F62" i="4"/>
  <c r="D62" i="4"/>
  <c r="C62" i="4"/>
  <c r="F22" i="2"/>
  <c r="B33" i="2"/>
  <c r="B30" i="2"/>
  <c r="B27" i="2"/>
  <c r="B24" i="2"/>
  <c r="B21" i="2"/>
  <c r="F12" i="2"/>
  <c r="B7" i="2"/>
  <c r="B8" i="2"/>
  <c r="B9" i="2"/>
  <c r="B10" i="2"/>
  <c r="B6" i="2"/>
  <c r="B14" i="18"/>
  <c r="C49" i="4" l="1"/>
  <c r="D34" i="3" l="1"/>
  <c r="E34" i="3" s="1"/>
  <c r="F34" i="3" s="1"/>
  <c r="G34" i="3" s="1"/>
  <c r="G6" i="5" s="1"/>
  <c r="G26" i="5" s="1"/>
  <c r="F14" i="15"/>
  <c r="G14" i="15"/>
  <c r="H14" i="15"/>
  <c r="E14" i="15"/>
  <c r="D14" i="15"/>
  <c r="C5" i="15"/>
  <c r="C43" i="15" s="1"/>
  <c r="E17" i="6"/>
  <c r="D18" i="6"/>
  <c r="D19" i="6"/>
  <c r="D20" i="6"/>
  <c r="D21" i="6"/>
  <c r="D17" i="6"/>
  <c r="D32" i="8"/>
  <c r="D33" i="8"/>
  <c r="D34" i="8"/>
  <c r="D35" i="8"/>
  <c r="D31" i="8"/>
  <c r="C32" i="8"/>
  <c r="C33" i="8"/>
  <c r="C34" i="8"/>
  <c r="C35" i="8"/>
  <c r="C31" i="8"/>
  <c r="C35" i="15"/>
  <c r="D25" i="15"/>
  <c r="E25" i="15"/>
  <c r="F25" i="15"/>
  <c r="G25" i="15"/>
  <c r="H25" i="15"/>
  <c r="C25" i="15"/>
  <c r="C18" i="6"/>
  <c r="C19" i="6"/>
  <c r="C20" i="6"/>
  <c r="C21" i="6"/>
  <c r="C17" i="6"/>
  <c r="F68" i="3"/>
  <c r="E31" i="8" s="1"/>
  <c r="C18" i="15"/>
  <c r="D18" i="15" s="1"/>
  <c r="C19" i="15"/>
  <c r="F19" i="15" s="1"/>
  <c r="C20" i="15"/>
  <c r="D20" i="15" s="1"/>
  <c r="C21" i="15"/>
  <c r="E21" i="15" s="1"/>
  <c r="C17" i="15"/>
  <c r="E17" i="15" s="1"/>
  <c r="C15" i="11"/>
  <c r="C17" i="11" s="1"/>
  <c r="C7" i="14"/>
  <c r="E39" i="14"/>
  <c r="F39" i="14"/>
  <c r="G39" i="14"/>
  <c r="H39" i="14"/>
  <c r="D39" i="14"/>
  <c r="F19" i="3"/>
  <c r="C6" i="14" s="1"/>
  <c r="C5" i="14"/>
  <c r="C35" i="14" s="1"/>
  <c r="C6" i="13"/>
  <c r="C5" i="13"/>
  <c r="C24" i="11"/>
  <c r="C19" i="11"/>
  <c r="D5" i="9"/>
  <c r="C26" i="8"/>
  <c r="C27" i="8"/>
  <c r="E27" i="8" s="1"/>
  <c r="C60" i="8" s="1"/>
  <c r="D20" i="8"/>
  <c r="D19" i="8"/>
  <c r="D18" i="8"/>
  <c r="D17" i="8"/>
  <c r="D14" i="8"/>
  <c r="G8" i="8"/>
  <c r="F8" i="8"/>
  <c r="E8" i="8"/>
  <c r="D8" i="8"/>
  <c r="D46" i="8" s="1"/>
  <c r="C8" i="8"/>
  <c r="C62" i="3"/>
  <c r="C9" i="6" s="1"/>
  <c r="E9" i="6" s="1"/>
  <c r="C33" i="6" s="1"/>
  <c r="C59" i="3"/>
  <c r="C6" i="6" s="1"/>
  <c r="E6" i="6" s="1"/>
  <c r="C30" i="6" s="1"/>
  <c r="C13" i="6"/>
  <c r="C7" i="6"/>
  <c r="D7" i="6"/>
  <c r="C8" i="6"/>
  <c r="D8" i="6"/>
  <c r="D9" i="6"/>
  <c r="D6" i="6"/>
  <c r="G12" i="6"/>
  <c r="F12" i="6"/>
  <c r="E12" i="6"/>
  <c r="D12" i="6"/>
  <c r="C12" i="6"/>
  <c r="E60" i="3"/>
  <c r="D26" i="8" s="1"/>
  <c r="E61" i="3"/>
  <c r="D27" i="8" s="1"/>
  <c r="E62" i="3"/>
  <c r="D28" i="8" s="1"/>
  <c r="E59" i="3"/>
  <c r="D25" i="8" s="1"/>
  <c r="D8" i="5"/>
  <c r="D28" i="5" s="1"/>
  <c r="E8" i="5"/>
  <c r="F8" i="5"/>
  <c r="C8" i="5"/>
  <c r="D14" i="5"/>
  <c r="D17" i="5"/>
  <c r="D18" i="5"/>
  <c r="D19" i="5"/>
  <c r="D20" i="5"/>
  <c r="E47" i="3"/>
  <c r="D16" i="8" s="1"/>
  <c r="E46" i="3"/>
  <c r="D15" i="5" s="1"/>
  <c r="E44" i="3"/>
  <c r="D13" i="8" s="1"/>
  <c r="C7" i="5"/>
  <c r="E15" i="4"/>
  <c r="C69" i="4"/>
  <c r="C6" i="12" s="1"/>
  <c r="C61" i="4"/>
  <c r="D7" i="4"/>
  <c r="E7" i="4"/>
  <c r="F7" i="4"/>
  <c r="G7" i="4"/>
  <c r="C7" i="4"/>
  <c r="E44" i="4"/>
  <c r="E10" i="4"/>
  <c r="E9" i="4"/>
  <c r="D15" i="2"/>
  <c r="E15" i="2"/>
  <c r="F15" i="2"/>
  <c r="G15" i="2"/>
  <c r="C15" i="2"/>
  <c r="D7" i="2"/>
  <c r="D25" i="2" s="1"/>
  <c r="D8" i="2"/>
  <c r="D28" i="2" s="1"/>
  <c r="D9" i="2"/>
  <c r="D31" i="2" s="1"/>
  <c r="D10" i="2"/>
  <c r="D34" i="2" s="1"/>
  <c r="C7" i="2"/>
  <c r="D24" i="2" s="1"/>
  <c r="E24" i="2" s="1"/>
  <c r="C8" i="2"/>
  <c r="D27" i="2" s="1"/>
  <c r="C9" i="2"/>
  <c r="D30" i="2" s="1"/>
  <c r="C10" i="2"/>
  <c r="D33" i="2" s="1"/>
  <c r="E33" i="2" s="1"/>
  <c r="D6" i="2"/>
  <c r="D22" i="2" s="1"/>
  <c r="C6" i="2"/>
  <c r="D21" i="2" s="1"/>
  <c r="C41" i="14" l="1"/>
  <c r="C40" i="14" s="1"/>
  <c r="C20" i="11"/>
  <c r="E28" i="11" s="1"/>
  <c r="E26" i="8"/>
  <c r="C59" i="8" s="1"/>
  <c r="D59" i="8" s="1"/>
  <c r="E59" i="8" s="1"/>
  <c r="E8" i="6"/>
  <c r="C32" i="6" s="1"/>
  <c r="E7" i="6"/>
  <c r="C31" i="6" s="1"/>
  <c r="C36" i="8"/>
  <c r="F31" i="8"/>
  <c r="F35" i="8"/>
  <c r="F33" i="8"/>
  <c r="F32" i="8"/>
  <c r="G18" i="15"/>
  <c r="H18" i="15"/>
  <c r="D43" i="15"/>
  <c r="E43" i="15" s="1"/>
  <c r="F43" i="15" s="1"/>
  <c r="G43" i="15" s="1"/>
  <c r="C47" i="15"/>
  <c r="F18" i="15"/>
  <c r="E18" i="15"/>
  <c r="D21" i="15"/>
  <c r="H21" i="15"/>
  <c r="C22" i="6"/>
  <c r="F34" i="8"/>
  <c r="E19" i="15"/>
  <c r="G21" i="15"/>
  <c r="F21" i="15"/>
  <c r="H20" i="15"/>
  <c r="H17" i="15"/>
  <c r="G20" i="15"/>
  <c r="G17" i="15"/>
  <c r="F20" i="15"/>
  <c r="F17" i="15"/>
  <c r="E20" i="15"/>
  <c r="H19" i="15"/>
  <c r="D19" i="15"/>
  <c r="G19" i="15"/>
  <c r="D17" i="15"/>
  <c r="F21" i="6"/>
  <c r="F19" i="6"/>
  <c r="F17" i="6"/>
  <c r="F20" i="6"/>
  <c r="F18" i="6"/>
  <c r="C23" i="15"/>
  <c r="C26" i="15" s="1"/>
  <c r="F6" i="8"/>
  <c r="F44" i="8" s="1"/>
  <c r="F53" i="8" s="1"/>
  <c r="F27" i="14" s="1"/>
  <c r="G6" i="8"/>
  <c r="G44" i="8" s="1"/>
  <c r="G53" i="8" s="1"/>
  <c r="G27" i="14" s="1"/>
  <c r="C6" i="8"/>
  <c r="C44" i="8" s="1"/>
  <c r="C50" i="8" s="1"/>
  <c r="C24" i="14" s="1"/>
  <c r="F6" i="5"/>
  <c r="F26" i="5" s="1"/>
  <c r="F36" i="5" s="1"/>
  <c r="F18" i="14" s="1"/>
  <c r="D6" i="8"/>
  <c r="D44" i="8" s="1"/>
  <c r="D52" i="8" s="1"/>
  <c r="D26" i="14" s="1"/>
  <c r="D30" i="6"/>
  <c r="E6" i="8"/>
  <c r="E44" i="8" s="1"/>
  <c r="E53" i="8" s="1"/>
  <c r="E27" i="14" s="1"/>
  <c r="D13" i="5"/>
  <c r="C7" i="8"/>
  <c r="D15" i="8"/>
  <c r="D60" i="8"/>
  <c r="E60" i="8" s="1"/>
  <c r="F60" i="8" s="1"/>
  <c r="G60" i="8" s="1"/>
  <c r="C25" i="8"/>
  <c r="C28" i="8"/>
  <c r="D16" i="5"/>
  <c r="G32" i="5" s="1"/>
  <c r="G14" i="14" s="1"/>
  <c r="G35" i="5"/>
  <c r="G17" i="14" s="1"/>
  <c r="G33" i="5"/>
  <c r="G15" i="14" s="1"/>
  <c r="E28" i="5"/>
  <c r="F28" i="5" s="1"/>
  <c r="G28" i="5" s="1"/>
  <c r="D33" i="6"/>
  <c r="E33" i="6" s="1"/>
  <c r="F33" i="6" s="1"/>
  <c r="G33" i="6" s="1"/>
  <c r="E46" i="8"/>
  <c r="F46" i="8" s="1"/>
  <c r="G46" i="8" s="1"/>
  <c r="D32" i="6"/>
  <c r="E32" i="6" s="1"/>
  <c r="F32" i="6" s="1"/>
  <c r="G32" i="6" s="1"/>
  <c r="D31" i="6"/>
  <c r="E31" i="6" s="1"/>
  <c r="F31" i="6" s="1"/>
  <c r="G31" i="6" s="1"/>
  <c r="D13" i="6"/>
  <c r="E13" i="6" s="1"/>
  <c r="G36" i="5"/>
  <c r="G18" i="14" s="1"/>
  <c r="G34" i="5"/>
  <c r="G16" i="14" s="1"/>
  <c r="E6" i="5"/>
  <c r="E26" i="5" s="1"/>
  <c r="D6" i="5"/>
  <c r="D26" i="5" s="1"/>
  <c r="D35" i="3"/>
  <c r="D7" i="8" s="1"/>
  <c r="C6" i="5"/>
  <c r="E25" i="2"/>
  <c r="F25" i="2" s="1"/>
  <c r="G25" i="2" s="1"/>
  <c r="E34" i="2"/>
  <c r="F34" i="2" s="1"/>
  <c r="G34" i="2" s="1"/>
  <c r="E31" i="2"/>
  <c r="F31" i="2" s="1"/>
  <c r="G31" i="2" s="1"/>
  <c r="H31" i="2" s="1"/>
  <c r="E28" i="2"/>
  <c r="F28" i="2" s="1"/>
  <c r="G28" i="2" s="1"/>
  <c r="H28" i="2" s="1"/>
  <c r="E22" i="2"/>
  <c r="G22" i="2" s="1"/>
  <c r="H22" i="2" s="1"/>
  <c r="D32" i="2"/>
  <c r="D29" i="2"/>
  <c r="D26" i="2"/>
  <c r="D35" i="2"/>
  <c r="D23" i="2"/>
  <c r="E21" i="2"/>
  <c r="D36" i="2"/>
  <c r="C21" i="4" s="1"/>
  <c r="C22" i="4" s="1"/>
  <c r="E27" i="2"/>
  <c r="F24" i="2"/>
  <c r="G24" i="2" s="1"/>
  <c r="H24" i="2" s="1"/>
  <c r="F33" i="2"/>
  <c r="G33" i="2" s="1"/>
  <c r="H33" i="2" s="1"/>
  <c r="E30" i="2"/>
  <c r="F30" i="2" s="1"/>
  <c r="G30" i="2" s="1"/>
  <c r="H30" i="2" s="1"/>
  <c r="E25" i="8" l="1"/>
  <c r="C58" i="8" s="1"/>
  <c r="D58" i="8" s="1"/>
  <c r="E58" i="8" s="1"/>
  <c r="F58" i="8" s="1"/>
  <c r="G58" i="8" s="1"/>
  <c r="E28" i="8"/>
  <c r="C61" i="8" s="1"/>
  <c r="D61" i="8" s="1"/>
  <c r="E61" i="8" s="1"/>
  <c r="F61" i="8" s="1"/>
  <c r="G61" i="8" s="1"/>
  <c r="F36" i="8"/>
  <c r="C29" i="11"/>
  <c r="C15" i="13" s="1"/>
  <c r="C37" i="15"/>
  <c r="F52" i="8"/>
  <c r="F26" i="14" s="1"/>
  <c r="D54" i="8"/>
  <c r="D28" i="14" s="1"/>
  <c r="F22" i="6"/>
  <c r="H43" i="15"/>
  <c r="G51" i="8"/>
  <c r="G25" i="14" s="1"/>
  <c r="E52" i="8"/>
  <c r="E26" i="14" s="1"/>
  <c r="E51" i="8"/>
  <c r="E25" i="14" s="1"/>
  <c r="D31" i="11"/>
  <c r="F50" i="14" s="1"/>
  <c r="C36" i="14"/>
  <c r="C34" i="14" s="1"/>
  <c r="C51" i="14" s="1"/>
  <c r="C53" i="14" s="1"/>
  <c r="C10" i="15" s="1"/>
  <c r="C15" i="15" s="1"/>
  <c r="C27" i="15" s="1"/>
  <c r="D30" i="11"/>
  <c r="E50" i="14" s="1"/>
  <c r="D32" i="11"/>
  <c r="G50" i="14" s="1"/>
  <c r="D29" i="11"/>
  <c r="D50" i="14" s="1"/>
  <c r="E29" i="11"/>
  <c r="D37" i="15" s="1"/>
  <c r="D39" i="15" s="1"/>
  <c r="D33" i="11"/>
  <c r="H50" i="14" s="1"/>
  <c r="F54" i="8"/>
  <c r="F28" i="14" s="1"/>
  <c r="F50" i="8"/>
  <c r="F24" i="14" s="1"/>
  <c r="F51" i="8"/>
  <c r="F25" i="14" s="1"/>
  <c r="E50" i="8"/>
  <c r="E24" i="14" s="1"/>
  <c r="E54" i="8"/>
  <c r="E28" i="14" s="1"/>
  <c r="G50" i="8"/>
  <c r="G24" i="14" s="1"/>
  <c r="G52" i="8"/>
  <c r="G26" i="14" s="1"/>
  <c r="D50" i="8"/>
  <c r="D24" i="14" s="1"/>
  <c r="D51" i="8"/>
  <c r="D25" i="14" s="1"/>
  <c r="G54" i="8"/>
  <c r="G28" i="14" s="1"/>
  <c r="F34" i="5"/>
  <c r="F16" i="14" s="1"/>
  <c r="D53" i="8"/>
  <c r="D27" i="14" s="1"/>
  <c r="F33" i="5"/>
  <c r="F15" i="14" s="1"/>
  <c r="F35" i="5"/>
  <c r="F17" i="14" s="1"/>
  <c r="D47" i="8"/>
  <c r="C51" i="8"/>
  <c r="C25" i="14" s="1"/>
  <c r="C54" i="8"/>
  <c r="C28" i="14" s="1"/>
  <c r="C53" i="8"/>
  <c r="C27" i="14" s="1"/>
  <c r="C47" i="8"/>
  <c r="C52" i="8"/>
  <c r="C26" i="14" s="1"/>
  <c r="F59" i="8"/>
  <c r="G59" i="8" s="1"/>
  <c r="F32" i="5"/>
  <c r="F14" i="14" s="1"/>
  <c r="C60" i="4"/>
  <c r="C59" i="4"/>
  <c r="E26" i="2"/>
  <c r="E30" i="6"/>
  <c r="F13" i="6"/>
  <c r="E35" i="5"/>
  <c r="E17" i="14" s="1"/>
  <c r="E34" i="5"/>
  <c r="E16" i="14" s="1"/>
  <c r="E32" i="5"/>
  <c r="E14" i="14" s="1"/>
  <c r="E36" i="5"/>
  <c r="E18" i="14" s="1"/>
  <c r="E33" i="5"/>
  <c r="E15" i="14" s="1"/>
  <c r="D34" i="5"/>
  <c r="D16" i="14" s="1"/>
  <c r="D32" i="5"/>
  <c r="D14" i="14" s="1"/>
  <c r="D36" i="5"/>
  <c r="D18" i="14" s="1"/>
  <c r="D33" i="5"/>
  <c r="D15" i="14" s="1"/>
  <c r="D35" i="5"/>
  <c r="D17" i="14" s="1"/>
  <c r="C33" i="5"/>
  <c r="C15" i="14" s="1"/>
  <c r="C35" i="5"/>
  <c r="C17" i="14" s="1"/>
  <c r="C34" i="5"/>
  <c r="C16" i="14" s="1"/>
  <c r="C36" i="5"/>
  <c r="C18" i="14" s="1"/>
  <c r="C29" i="5"/>
  <c r="C32" i="5"/>
  <c r="C14" i="14" s="1"/>
  <c r="E35" i="3"/>
  <c r="E7" i="8" s="1"/>
  <c r="D7" i="5"/>
  <c r="D29" i="5" s="1"/>
  <c r="E35" i="2"/>
  <c r="D37" i="2"/>
  <c r="D37" i="14" s="1"/>
  <c r="H32" i="2"/>
  <c r="F35" i="2"/>
  <c r="F32" i="2"/>
  <c r="F26" i="2"/>
  <c r="E23" i="2"/>
  <c r="F21" i="2"/>
  <c r="E36" i="2"/>
  <c r="E29" i="2"/>
  <c r="F27" i="2"/>
  <c r="E32" i="2"/>
  <c r="H34" i="2"/>
  <c r="H35" i="2" s="1"/>
  <c r="G35" i="2"/>
  <c r="G32" i="2"/>
  <c r="H25" i="2"/>
  <c r="H26" i="2" s="1"/>
  <c r="G26" i="2"/>
  <c r="J51" i="14" l="1"/>
  <c r="D49" i="14"/>
  <c r="C62" i="8"/>
  <c r="E62" i="8"/>
  <c r="C39" i="15"/>
  <c r="C40" i="15" s="1"/>
  <c r="C48" i="15" s="1"/>
  <c r="C49" i="15" s="1"/>
  <c r="H34" i="15"/>
  <c r="C34" i="6"/>
  <c r="D34" i="6" s="1"/>
  <c r="E34" i="6"/>
  <c r="D35" i="6"/>
  <c r="G46" i="14"/>
  <c r="E46" i="14"/>
  <c r="F46" i="14"/>
  <c r="H46" i="14"/>
  <c r="D30" i="5"/>
  <c r="D13" i="14" s="1"/>
  <c r="D12" i="14"/>
  <c r="D48" i="8"/>
  <c r="D23" i="14" s="1"/>
  <c r="D22" i="14"/>
  <c r="C30" i="5"/>
  <c r="C13" i="14" s="1"/>
  <c r="C12" i="14"/>
  <c r="C48" i="8"/>
  <c r="C23" i="14" s="1"/>
  <c r="C22" i="14"/>
  <c r="C30" i="11"/>
  <c r="E30" i="11"/>
  <c r="E37" i="15" s="1"/>
  <c r="E39" i="15" s="1"/>
  <c r="D21" i="4"/>
  <c r="D59" i="4" s="1"/>
  <c r="C9" i="9"/>
  <c r="C14" i="9" s="1"/>
  <c r="C15" i="9" s="1"/>
  <c r="E47" i="8"/>
  <c r="E22" i="14" s="1"/>
  <c r="F30" i="6"/>
  <c r="G13" i="6"/>
  <c r="F35" i="3"/>
  <c r="F7" i="8" s="1"/>
  <c r="E7" i="5"/>
  <c r="C24" i="4"/>
  <c r="D23" i="4"/>
  <c r="D61" i="4" s="1"/>
  <c r="E37" i="2"/>
  <c r="E37" i="14" s="1"/>
  <c r="G27" i="2"/>
  <c r="F29" i="2"/>
  <c r="F36" i="2"/>
  <c r="G21" i="2"/>
  <c r="F23" i="2"/>
  <c r="E63" i="8" l="1"/>
  <c r="F62" i="8"/>
  <c r="C63" i="8"/>
  <c r="D62" i="8"/>
  <c r="D63" i="8" s="1"/>
  <c r="E35" i="6"/>
  <c r="F34" i="6"/>
  <c r="G34" i="6" s="1"/>
  <c r="E45" i="4"/>
  <c r="E47" i="4"/>
  <c r="E46" i="4"/>
  <c r="E43" i="4"/>
  <c r="E48" i="4"/>
  <c r="D29" i="14"/>
  <c r="D22" i="15"/>
  <c r="C35" i="6"/>
  <c r="E47" i="14"/>
  <c r="F47" i="14"/>
  <c r="D56" i="8"/>
  <c r="D38" i="5"/>
  <c r="D11" i="12" s="1"/>
  <c r="C38" i="5"/>
  <c r="C11" i="12" s="1"/>
  <c r="D19" i="14"/>
  <c r="D13" i="9"/>
  <c r="D11" i="15"/>
  <c r="C19" i="14"/>
  <c r="C56" i="8"/>
  <c r="D15" i="13"/>
  <c r="E49" i="14"/>
  <c r="C29" i="14"/>
  <c r="E31" i="11"/>
  <c r="F37" i="15" s="1"/>
  <c r="F39" i="15" s="1"/>
  <c r="C31" i="11"/>
  <c r="D22" i="4"/>
  <c r="D60" i="4" s="1"/>
  <c r="F47" i="8"/>
  <c r="E48" i="8"/>
  <c r="D9" i="9"/>
  <c r="D14" i="9" s="1"/>
  <c r="D15" i="9" s="1"/>
  <c r="D9" i="13"/>
  <c r="C16" i="9"/>
  <c r="D38" i="14" s="1"/>
  <c r="D34" i="14" s="1"/>
  <c r="E21" i="4"/>
  <c r="E22" i="4" s="1"/>
  <c r="C65" i="4"/>
  <c r="G30" i="6"/>
  <c r="E29" i="5"/>
  <c r="G35" i="3"/>
  <c r="F7" i="5"/>
  <c r="F37" i="2"/>
  <c r="F37" i="14" s="1"/>
  <c r="G36" i="2"/>
  <c r="H21" i="2"/>
  <c r="G23" i="2"/>
  <c r="H27" i="2"/>
  <c r="H29" i="2" s="1"/>
  <c r="G29" i="2"/>
  <c r="C64" i="8" l="1"/>
  <c r="F35" i="6"/>
  <c r="G63" i="8"/>
  <c r="F63" i="8"/>
  <c r="D64" i="8"/>
  <c r="D12" i="13" s="1"/>
  <c r="E43" i="14"/>
  <c r="C29" i="4"/>
  <c r="C28" i="4" s="1"/>
  <c r="E42" i="4"/>
  <c r="E49" i="4" s="1"/>
  <c r="D24" i="4"/>
  <c r="D65" i="4" s="1"/>
  <c r="D14" i="6" s="1"/>
  <c r="D37" i="6" s="1"/>
  <c r="D38" i="6" s="1"/>
  <c r="D39" i="6" s="1"/>
  <c r="D43" i="14"/>
  <c r="E22" i="15"/>
  <c r="D23" i="15"/>
  <c r="D26" i="15" s="1"/>
  <c r="E23" i="4"/>
  <c r="E61" i="4" s="1"/>
  <c r="C12" i="13"/>
  <c r="F48" i="8"/>
  <c r="F23" i="14" s="1"/>
  <c r="F22" i="14"/>
  <c r="E30" i="5"/>
  <c r="E13" i="14" s="1"/>
  <c r="E12" i="14"/>
  <c r="E13" i="9"/>
  <c r="E11" i="15"/>
  <c r="E56" i="8"/>
  <c r="E64" i="8" s="1"/>
  <c r="E23" i="14"/>
  <c r="E29" i="14" s="1"/>
  <c r="E15" i="13"/>
  <c r="F49" i="14"/>
  <c r="C32" i="11"/>
  <c r="E32" i="11"/>
  <c r="G37" i="15" s="1"/>
  <c r="G39" i="15" s="1"/>
  <c r="F21" i="4"/>
  <c r="F59" i="4" s="1"/>
  <c r="E9" i="9"/>
  <c r="E14" i="9" s="1"/>
  <c r="E9" i="13"/>
  <c r="D16" i="9"/>
  <c r="E38" i="14" s="1"/>
  <c r="E34" i="14" s="1"/>
  <c r="E59" i="4"/>
  <c r="G7" i="5"/>
  <c r="G7" i="8"/>
  <c r="C14" i="6"/>
  <c r="C37" i="6" s="1"/>
  <c r="C38" i="6" s="1"/>
  <c r="C39" i="6" s="1"/>
  <c r="G35" i="6"/>
  <c r="F29" i="5"/>
  <c r="F23" i="4"/>
  <c r="F61" i="4" s="1"/>
  <c r="E60" i="4"/>
  <c r="G37" i="2"/>
  <c r="G37" i="14" s="1"/>
  <c r="H36" i="2"/>
  <c r="H23" i="2"/>
  <c r="H37" i="2" s="1"/>
  <c r="H37" i="14" s="1"/>
  <c r="E45" i="14" l="1"/>
  <c r="E38" i="5"/>
  <c r="E11" i="12" s="1"/>
  <c r="E50" i="4"/>
  <c r="C55" i="4" s="1"/>
  <c r="D55" i="4" s="1"/>
  <c r="E55" i="4" s="1"/>
  <c r="F55" i="4" s="1"/>
  <c r="G55" i="4" s="1"/>
  <c r="D29" i="4"/>
  <c r="F29" i="14"/>
  <c r="F56" i="8"/>
  <c r="F64" i="8" s="1"/>
  <c r="F12" i="13" s="1"/>
  <c r="F22" i="15"/>
  <c r="E23" i="15"/>
  <c r="E26" i="15" s="1"/>
  <c r="G47" i="14"/>
  <c r="E24" i="4"/>
  <c r="E65" i="4" s="1"/>
  <c r="E14" i="6" s="1"/>
  <c r="E37" i="6" s="1"/>
  <c r="E38" i="6" s="1"/>
  <c r="E39" i="6" s="1"/>
  <c r="E12" i="13"/>
  <c r="F45" i="14"/>
  <c r="E19" i="14"/>
  <c r="D12" i="12"/>
  <c r="E44" i="14"/>
  <c r="F30" i="5"/>
  <c r="F13" i="14" s="1"/>
  <c r="F12" i="14"/>
  <c r="F15" i="13"/>
  <c r="G49" i="14"/>
  <c r="C12" i="12"/>
  <c r="D44" i="14"/>
  <c r="C33" i="11"/>
  <c r="E33" i="11"/>
  <c r="H37" i="15" s="1"/>
  <c r="H39" i="15" s="1"/>
  <c r="G47" i="8"/>
  <c r="G21" i="4"/>
  <c r="G59" i="4" s="1"/>
  <c r="F9" i="9"/>
  <c r="F14" i="9" s="1"/>
  <c r="F15" i="9" s="1"/>
  <c r="F9" i="13"/>
  <c r="G29" i="5"/>
  <c r="G9" i="9"/>
  <c r="G14" i="9" s="1"/>
  <c r="G15" i="9" s="1"/>
  <c r="H11" i="15" s="1"/>
  <c r="G9" i="13"/>
  <c r="E15" i="9"/>
  <c r="F22" i="4"/>
  <c r="G23" i="4" s="1"/>
  <c r="G61" i="4" s="1"/>
  <c r="I51" i="14" l="1"/>
  <c r="F43" i="14"/>
  <c r="G45" i="14"/>
  <c r="C36" i="4"/>
  <c r="C66" i="4" s="1"/>
  <c r="C67" i="4" s="1"/>
  <c r="C35" i="4"/>
  <c r="D28" i="4"/>
  <c r="E29" i="4"/>
  <c r="D36" i="4"/>
  <c r="D66" i="4" s="1"/>
  <c r="D67" i="4" s="1"/>
  <c r="D30" i="4"/>
  <c r="C31" i="4"/>
  <c r="G22" i="15"/>
  <c r="F23" i="15"/>
  <c r="F26" i="15" s="1"/>
  <c r="H47" i="14"/>
  <c r="G13" i="9"/>
  <c r="G16" i="9" s="1"/>
  <c r="H38" i="14" s="1"/>
  <c r="H34" i="14" s="1"/>
  <c r="G11" i="15"/>
  <c r="F13" i="9"/>
  <c r="F16" i="9" s="1"/>
  <c r="G38" i="14" s="1"/>
  <c r="G34" i="14" s="1"/>
  <c r="F11" i="15"/>
  <c r="G15" i="13"/>
  <c r="H49" i="14"/>
  <c r="E12" i="12"/>
  <c r="F44" i="14"/>
  <c r="F19" i="14"/>
  <c r="G48" i="8"/>
  <c r="G22" i="14"/>
  <c r="F38" i="5"/>
  <c r="F11" i="12" s="1"/>
  <c r="G30" i="5"/>
  <c r="G13" i="14" s="1"/>
  <c r="G12" i="14"/>
  <c r="G22" i="4"/>
  <c r="G60" i="4" s="1"/>
  <c r="F60" i="4"/>
  <c r="F24" i="4"/>
  <c r="F65" i="4" s="1"/>
  <c r="F14" i="6" s="1"/>
  <c r="F37" i="6" s="1"/>
  <c r="F38" i="6" s="1"/>
  <c r="F39" i="6" s="1"/>
  <c r="E16" i="9"/>
  <c r="F38" i="14" s="1"/>
  <c r="F34" i="14" s="1"/>
  <c r="G38" i="5" l="1"/>
  <c r="G11" i="12" s="1"/>
  <c r="E28" i="4"/>
  <c r="F29" i="4"/>
  <c r="E36" i="4"/>
  <c r="E66" i="4" s="1"/>
  <c r="E67" i="4" s="1"/>
  <c r="C68" i="4"/>
  <c r="C38" i="4"/>
  <c r="D37" i="4"/>
  <c r="D69" i="4" s="1"/>
  <c r="D6" i="12" s="1"/>
  <c r="D31" i="4"/>
  <c r="E30" i="4"/>
  <c r="D35" i="4"/>
  <c r="H22" i="15"/>
  <c r="G23" i="15"/>
  <c r="G26" i="15" s="1"/>
  <c r="G24" i="4"/>
  <c r="G23" i="14"/>
  <c r="H33" i="15" s="1"/>
  <c r="G56" i="8"/>
  <c r="G64" i="8" s="1"/>
  <c r="F12" i="12"/>
  <c r="G44" i="14"/>
  <c r="G19" i="14"/>
  <c r="G43" i="14"/>
  <c r="H23" i="15" l="1"/>
  <c r="H26" i="15" s="1"/>
  <c r="I23" i="15"/>
  <c r="H43" i="14"/>
  <c r="E31" i="4"/>
  <c r="F30" i="4"/>
  <c r="E35" i="4"/>
  <c r="D68" i="4"/>
  <c r="E37" i="4"/>
  <c r="E69" i="4" s="1"/>
  <c r="E6" i="12" s="1"/>
  <c r="D38" i="4"/>
  <c r="C9" i="12"/>
  <c r="D12" i="15" s="1"/>
  <c r="C70" i="4"/>
  <c r="F28" i="4"/>
  <c r="F36" i="4"/>
  <c r="F66" i="4" s="1"/>
  <c r="F67" i="4" s="1"/>
  <c r="G29" i="4"/>
  <c r="G65" i="4"/>
  <c r="G14" i="6" s="1"/>
  <c r="G37" i="6" s="1"/>
  <c r="G38" i="6" s="1"/>
  <c r="G39" i="6" s="1"/>
  <c r="G12" i="12" s="1"/>
  <c r="G29" i="14"/>
  <c r="H45" i="14" s="1"/>
  <c r="G12" i="13"/>
  <c r="C7" i="12" l="1"/>
  <c r="C8" i="12" s="1"/>
  <c r="C10" i="12" s="1"/>
  <c r="C13" i="12" s="1"/>
  <c r="D31" i="15"/>
  <c r="D35" i="15" s="1"/>
  <c r="D40" i="15" s="1"/>
  <c r="D42" i="14"/>
  <c r="D40" i="14" s="1"/>
  <c r="G28" i="4"/>
  <c r="G36" i="4"/>
  <c r="G66" i="4" s="1"/>
  <c r="G67" i="4" s="1"/>
  <c r="G30" i="4"/>
  <c r="F35" i="4"/>
  <c r="F31" i="4"/>
  <c r="D9" i="12"/>
  <c r="E12" i="15" s="1"/>
  <c r="D70" i="4"/>
  <c r="F37" i="4"/>
  <c r="F69" i="4" s="1"/>
  <c r="F6" i="12" s="1"/>
  <c r="E38" i="4"/>
  <c r="E68" i="4"/>
  <c r="H44" i="14"/>
  <c r="D51" i="14" l="1"/>
  <c r="D53" i="14" s="1"/>
  <c r="E31" i="15"/>
  <c r="D7" i="12"/>
  <c r="D8" i="12" s="1"/>
  <c r="D10" i="12" s="1"/>
  <c r="D13" i="12" s="1"/>
  <c r="D16" i="12" s="1"/>
  <c r="E42" i="14"/>
  <c r="G31" i="4"/>
  <c r="G35" i="4"/>
  <c r="F68" i="4"/>
  <c r="G37" i="4"/>
  <c r="G69" i="4" s="1"/>
  <c r="G6" i="12" s="1"/>
  <c r="F38" i="4"/>
  <c r="E9" i="12"/>
  <c r="F12" i="15" s="1"/>
  <c r="E70" i="4"/>
  <c r="C16" i="12"/>
  <c r="C15" i="12"/>
  <c r="D10" i="15" l="1"/>
  <c r="E33" i="14"/>
  <c r="C17" i="12"/>
  <c r="C10" i="13" s="1"/>
  <c r="C11" i="13" s="1"/>
  <c r="C13" i="13" s="1"/>
  <c r="C16" i="13" s="1"/>
  <c r="C17" i="13" s="1"/>
  <c r="F9" i="12"/>
  <c r="G12" i="15" s="1"/>
  <c r="F70" i="4"/>
  <c r="E14" i="12"/>
  <c r="E13" i="15"/>
  <c r="G68" i="4"/>
  <c r="G38" i="4"/>
  <c r="D13" i="15"/>
  <c r="D14" i="12"/>
  <c r="D15" i="12" s="1"/>
  <c r="D17" i="12" s="1"/>
  <c r="D10" i="13" s="1"/>
  <c r="D11" i="13" s="1"/>
  <c r="D13" i="13" s="1"/>
  <c r="D16" i="13" s="1"/>
  <c r="F31" i="15"/>
  <c r="E7" i="12"/>
  <c r="E8" i="12" s="1"/>
  <c r="E10" i="12" s="1"/>
  <c r="E13" i="12" s="1"/>
  <c r="F42" i="14"/>
  <c r="D15" i="15" l="1"/>
  <c r="D27" i="15" s="1"/>
  <c r="C18" i="13"/>
  <c r="C19" i="13" s="1"/>
  <c r="D44" i="15" s="1"/>
  <c r="E32" i="15"/>
  <c r="E35" i="15" s="1"/>
  <c r="E40" i="15" s="1"/>
  <c r="D17" i="13"/>
  <c r="G31" i="15"/>
  <c r="G42" i="14"/>
  <c r="F7" i="12"/>
  <c r="F8" i="12" s="1"/>
  <c r="F10" i="12" s="1"/>
  <c r="F13" i="12" s="1"/>
  <c r="E48" i="14"/>
  <c r="E40" i="14" s="1"/>
  <c r="G9" i="12"/>
  <c r="H12" i="15" s="1"/>
  <c r="G70" i="4"/>
  <c r="E16" i="12"/>
  <c r="E15" i="12"/>
  <c r="D18" i="13" l="1"/>
  <c r="D19" i="13" s="1"/>
  <c r="D20" i="13" s="1"/>
  <c r="E46" i="15" s="1"/>
  <c r="F32" i="15"/>
  <c r="E51" i="14"/>
  <c r="E53" i="14" s="1"/>
  <c r="C20" i="13"/>
  <c r="D46" i="15" s="1"/>
  <c r="E45" i="15" s="1"/>
  <c r="H31" i="15"/>
  <c r="G7" i="12"/>
  <c r="G8" i="12" s="1"/>
  <c r="G10" i="12" s="1"/>
  <c r="G13" i="12" s="1"/>
  <c r="H42" i="14"/>
  <c r="F14" i="12"/>
  <c r="F15" i="12" s="1"/>
  <c r="F13" i="15"/>
  <c r="F16" i="12"/>
  <c r="E17" i="12"/>
  <c r="E10" i="13" s="1"/>
  <c r="E11" i="13" s="1"/>
  <c r="E13" i="13" s="1"/>
  <c r="E16" i="13" s="1"/>
  <c r="F35" i="15"/>
  <c r="F40" i="15" s="1"/>
  <c r="F48" i="14"/>
  <c r="F40" i="14" s="1"/>
  <c r="F45" i="15" l="1"/>
  <c r="E44" i="15"/>
  <c r="F33" i="14"/>
  <c r="F51" i="14" s="1"/>
  <c r="F53" i="14" s="1"/>
  <c r="F10" i="15" s="1"/>
  <c r="F15" i="15" s="1"/>
  <c r="F27" i="15" s="1"/>
  <c r="E10" i="15"/>
  <c r="E15" i="15" s="1"/>
  <c r="E27" i="15" s="1"/>
  <c r="D47" i="15"/>
  <c r="F17" i="12"/>
  <c r="F10" i="13" s="1"/>
  <c r="F11" i="13" s="1"/>
  <c r="F13" i="13" s="1"/>
  <c r="F16" i="13" s="1"/>
  <c r="F17" i="13" s="1"/>
  <c r="F18" i="13" s="1"/>
  <c r="F19" i="13" s="1"/>
  <c r="F20" i="13" s="1"/>
  <c r="G46" i="15" s="1"/>
  <c r="G14" i="12"/>
  <c r="G15" i="12" s="1"/>
  <c r="G13" i="15"/>
  <c r="E17" i="13"/>
  <c r="E18" i="13" s="1"/>
  <c r="E19" i="13" s="1"/>
  <c r="G16" i="12"/>
  <c r="H13" i="15" s="1"/>
  <c r="E47" i="15"/>
  <c r="E48" i="15" s="1"/>
  <c r="D48" i="15" l="1"/>
  <c r="D49" i="15" s="1"/>
  <c r="E49" i="15"/>
  <c r="G33" i="14"/>
  <c r="E20" i="13"/>
  <c r="F46" i="15" s="1"/>
  <c r="G45" i="15" s="1"/>
  <c r="H45" i="15" s="1"/>
  <c r="F44" i="15"/>
  <c r="G17" i="12"/>
  <c r="G10" i="13" s="1"/>
  <c r="G11" i="13" s="1"/>
  <c r="G13" i="13" s="1"/>
  <c r="G16" i="13" s="1"/>
  <c r="G17" i="13" s="1"/>
  <c r="G18" i="13" s="1"/>
  <c r="G19" i="13" s="1"/>
  <c r="G20" i="13" s="1"/>
  <c r="H46" i="15" s="1"/>
  <c r="G32" i="15"/>
  <c r="G35" i="15" s="1"/>
  <c r="G40" i="15" s="1"/>
  <c r="G48" i="14"/>
  <c r="G40" i="14" s="1"/>
  <c r="H32" i="15"/>
  <c r="H35" i="15" s="1"/>
  <c r="H40" i="15" s="1"/>
  <c r="H48" i="14"/>
  <c r="H40" i="14" s="1"/>
  <c r="I47" i="15" l="1"/>
  <c r="G51" i="14"/>
  <c r="G53" i="14" s="1"/>
  <c r="H33" i="14" s="1"/>
  <c r="F47" i="15"/>
  <c r="F48" i="15" s="1"/>
  <c r="F49" i="15" s="1"/>
  <c r="G44" i="15"/>
  <c r="G47" i="15" s="1"/>
  <c r="G48" i="15" s="1"/>
  <c r="H51" i="14" l="1"/>
  <c r="H53" i="14" s="1"/>
  <c r="H10" i="15" s="1"/>
  <c r="H15" i="15" s="1"/>
  <c r="H27" i="15" s="1"/>
  <c r="G10" i="15"/>
  <c r="G15" i="15" s="1"/>
  <c r="G27" i="15" s="1"/>
  <c r="G49" i="15" s="1"/>
  <c r="H44" i="15"/>
  <c r="H47" i="15" l="1"/>
  <c r="H48" i="15" s="1"/>
  <c r="H49" i="15" s="1"/>
  <c r="I4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Monica Arias</author>
  </authors>
  <commentList>
    <comment ref="E34" authorId="0" shapeId="0" xr:uid="{3E23AC68-D973-4E05-9E91-09EBD1DC5A59}">
      <text>
        <r>
          <rPr>
            <sz val="9"/>
            <color indexed="81"/>
            <rFont val="Tahoma"/>
            <family val="2"/>
          </rPr>
          <t>Ya se cumplieron los 3 años de la depreciación de los equipos de cómputo (2025, 2026 y 2027).</t>
        </r>
      </text>
    </comment>
    <comment ref="G34" authorId="0" shapeId="0" xr:uid="{C369A833-33BC-4FDD-8608-A410E2608D5C}">
      <text>
        <r>
          <rPr>
            <sz val="9"/>
            <color indexed="81"/>
            <rFont val="Tahoma"/>
            <family val="2"/>
          </rPr>
          <t>Ya se cumplieron los 5 años de la depreciación de los vehículos (2025, 2026, 2027, 2028 y 2029).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Monica Arias</author>
  </authors>
  <commentList>
    <comment ref="E62" authorId="0" shapeId="0" xr:uid="{93664145-B9BB-4F0C-9466-FA656D5C38E6}">
      <text>
        <r>
          <rPr>
            <sz val="9"/>
            <color indexed="81"/>
            <rFont val="Tahoma"/>
            <family val="2"/>
          </rPr>
          <t>Ya se cumplieron los 3 años de la depreciación de los equipos de cómputo (2025, 2026 y 2027).</t>
        </r>
      </text>
    </comment>
    <comment ref="G62" authorId="0" shapeId="0" xr:uid="{2BDFBE6E-E783-4DDF-B25D-E690DB88C796}">
      <text>
        <r>
          <rPr>
            <sz val="9"/>
            <color indexed="81"/>
            <rFont val="Tahoma"/>
            <family val="2"/>
          </rPr>
          <t>Ya se cumplieron los 5 años de la depreciación de los vehículos (2025, 2026, 2027, 2028 y 2029).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Monica Arias</author>
  </authors>
  <commentList>
    <comment ref="D42" authorId="0" shapeId="0" xr:uid="{2F8D61AA-D931-4B2C-B234-939424CE775D}">
      <text>
        <r>
          <rPr>
            <sz val="9"/>
            <color indexed="81"/>
            <rFont val="Tahoma"/>
            <family val="2"/>
          </rPr>
          <t>Recordemos que la política de pago a proveedores es a 30 días, lo que equivale a 1 mes. Por esa razón la fórmula utilizada multiplica por los 11 meses restantes para completar 1 año.</t>
        </r>
      </text>
    </comment>
    <comment ref="E46" authorId="0" shapeId="0" xr:uid="{2C2FAEA4-FF38-4D21-8BE1-AF201F3291A1}">
      <text>
        <r>
          <rPr>
            <sz val="9"/>
            <color indexed="81"/>
            <rFont val="Tahoma"/>
            <family val="2"/>
          </rPr>
          <t>Los valores causados al cierre del año se pagan en el año siguiente afectando el flujo de caja de ese último año.</t>
        </r>
      </text>
    </comment>
    <comment ref="E47" authorId="0" shapeId="0" xr:uid="{4B8F2DA5-B3E3-4B1C-85B3-8F6B79A79E9D}">
      <text>
        <r>
          <rPr>
            <sz val="9"/>
            <color indexed="81"/>
            <rFont val="Tahoma"/>
            <family val="2"/>
          </rPr>
          <t>Los valores causados al cierre del año se pagan en el año siguiente afectando el flujo de caja de ese último año.</t>
        </r>
      </text>
    </comment>
    <comment ref="E48" authorId="0" shapeId="0" xr:uid="{E1648A44-B3D8-4655-929F-B2E5DEB620AD}">
      <text>
        <r>
          <rPr>
            <sz val="9"/>
            <color indexed="81"/>
            <rFont val="Tahoma"/>
            <family val="2"/>
          </rPr>
          <t>El impuesto de renta calculado y causado para el AG 2025 es pagado en el 2026 afectando el flujo de caja de este último año, y así sucesivamente.</t>
        </r>
      </text>
    </comment>
    <comment ref="C51" authorId="0" shapeId="0" xr:uid="{195D77CA-AF04-4027-AD11-86513C7BD29E}">
      <text>
        <r>
          <rPr>
            <sz val="9"/>
            <color indexed="81"/>
            <rFont val="Tahoma"/>
            <family val="2"/>
          </rPr>
          <t>Valor del efectivo señalado en el presupuesto de inversión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Monica Arias</author>
  </authors>
  <commentList>
    <comment ref="D24" authorId="0" shapeId="0" xr:uid="{EE71F2DA-9225-43EF-928D-C57D0D3A7B94}">
      <text>
        <r>
          <rPr>
            <sz val="9"/>
            <color indexed="81"/>
            <rFont val="Tahoma"/>
            <family val="2"/>
          </rPr>
          <t>Máquina en comodato.</t>
        </r>
      </text>
    </comment>
    <comment ref="D31" authorId="0" shapeId="0" xr:uid="{837472DB-1842-42C9-B1EE-CFE8975198B6}">
      <text>
        <r>
          <rPr>
            <sz val="9"/>
            <color indexed="81"/>
            <rFont val="Tahoma"/>
            <family val="2"/>
          </rPr>
          <t>Se divide entre 12 meses la compra de materia prima para determnar el monto mensual, ya que la rotación de las cuentas por pagar corresponde a 30 días.</t>
        </r>
      </text>
    </comment>
    <comment ref="E32" authorId="0" shapeId="0" xr:uid="{6620AAB3-6D21-4652-8B49-3C304857076B}">
      <text>
        <r>
          <rPr>
            <sz val="9"/>
            <color indexed="81"/>
            <rFont val="Tahoma"/>
            <family val="2"/>
          </rPr>
          <t>Al cierre de cada año se registra el gasto del impuesto de renta contra el impuesto por pagar. Por lo tanto, este valor corresponde al impuesto causado por el AG 2025 que se pagará en el 2026 y por eso es clasificado como un pasivo en el nuevo año.</t>
        </r>
      </text>
    </comment>
  </commentList>
</comments>
</file>

<file path=xl/sharedStrings.xml><?xml version="1.0" encoding="utf-8"?>
<sst xmlns="http://schemas.openxmlformats.org/spreadsheetml/2006/main" count="2957" uniqueCount="2330">
  <si>
    <t>Presupuesto de ventas</t>
  </si>
  <si>
    <t>Inflación</t>
  </si>
  <si>
    <t>Cantidad</t>
  </si>
  <si>
    <t>Presupuesto de producción</t>
  </si>
  <si>
    <t>Unidades a vender</t>
  </si>
  <si>
    <t>Unidades a producir</t>
  </si>
  <si>
    <t>Madera</t>
  </si>
  <si>
    <t>Tornillo</t>
  </si>
  <si>
    <t>Lija</t>
  </si>
  <si>
    <t>Tela</t>
  </si>
  <si>
    <t>Espuma</t>
  </si>
  <si>
    <t>Tuerca</t>
  </si>
  <si>
    <t>Total</t>
  </si>
  <si>
    <t>Inventario final de materia prima</t>
  </si>
  <si>
    <t>Presupuesto de cartera</t>
  </si>
  <si>
    <t>Saldo inicial de cartera</t>
  </si>
  <si>
    <t>Total recaudo de cartera</t>
  </si>
  <si>
    <t>Salario básico</t>
  </si>
  <si>
    <t>Dotación</t>
  </si>
  <si>
    <t>Intereses a las cesantías</t>
  </si>
  <si>
    <t>Vacaciones</t>
  </si>
  <si>
    <t>Prima de servicios</t>
  </si>
  <si>
    <t>Salud</t>
  </si>
  <si>
    <t>Pensión</t>
  </si>
  <si>
    <t>ARL</t>
  </si>
  <si>
    <t>Arrendamiento</t>
  </si>
  <si>
    <t>Servicios públicos</t>
  </si>
  <si>
    <t>Papelería</t>
  </si>
  <si>
    <t>Aseo y mantenimiento</t>
  </si>
  <si>
    <t>% asumido por producción</t>
  </si>
  <si>
    <t>Costos fijos</t>
  </si>
  <si>
    <t>Costos variables</t>
  </si>
  <si>
    <t>Depreciación</t>
  </si>
  <si>
    <t>Empaque</t>
  </si>
  <si>
    <t>Inversión fija</t>
  </si>
  <si>
    <t>Edificios</t>
  </si>
  <si>
    <t>Vehículos</t>
  </si>
  <si>
    <t>Maquinaria y equipo</t>
  </si>
  <si>
    <t>Muebles y enseres</t>
  </si>
  <si>
    <t>Año</t>
  </si>
  <si>
    <t>Interés anual</t>
  </si>
  <si>
    <t>Abono a capital</t>
  </si>
  <si>
    <t>Saldo</t>
  </si>
  <si>
    <t>Estado de costos proyectado</t>
  </si>
  <si>
    <t>Inventario inicial de materia prima</t>
  </si>
  <si>
    <t>+ Compra de materiales</t>
  </si>
  <si>
    <t>= Materiales disponibles</t>
  </si>
  <si>
    <t>= Material usado</t>
  </si>
  <si>
    <t>+ CIF</t>
  </si>
  <si>
    <t xml:space="preserve"> - Inventario final</t>
  </si>
  <si>
    <t>= Costo de fabricación o producción</t>
  </si>
  <si>
    <t xml:space="preserve"> + Inventario inicial de productos terminados</t>
  </si>
  <si>
    <t>= Mercancía disponible</t>
  </si>
  <si>
    <t xml:space="preserve"> - Inventario final de productos terminados</t>
  </si>
  <si>
    <t>= Costo de ventas</t>
  </si>
  <si>
    <t>Estado de resultados proyectado</t>
  </si>
  <si>
    <t>Ventas netas</t>
  </si>
  <si>
    <t>Reserva legal</t>
  </si>
  <si>
    <t>Flujo de caja proyectado</t>
  </si>
  <si>
    <t>Saldo inicial</t>
  </si>
  <si>
    <t>Aporte de socios</t>
  </si>
  <si>
    <t>Créditos financiación</t>
  </si>
  <si>
    <t>Ventas de contado</t>
  </si>
  <si>
    <t>Recaudos de cartera</t>
  </si>
  <si>
    <t>Otros ingresos</t>
  </si>
  <si>
    <t>Egresos en efectivo</t>
  </si>
  <si>
    <t>Pagos a proveedores</t>
  </si>
  <si>
    <t>Pago mano de obra</t>
  </si>
  <si>
    <t>Pagos CIF</t>
  </si>
  <si>
    <t>Pagos de administración</t>
  </si>
  <si>
    <t>Pago por pasivos laborales</t>
  </si>
  <si>
    <t>Pago acreedores</t>
  </si>
  <si>
    <t>Pago impuesto de renta</t>
  </si>
  <si>
    <t>Pago intereses financieros</t>
  </si>
  <si>
    <t>Saldo de caja</t>
  </si>
  <si>
    <t>Inversión temporal</t>
  </si>
  <si>
    <t>Saldo final en caja</t>
  </si>
  <si>
    <t>Activo</t>
  </si>
  <si>
    <t>Efectivo</t>
  </si>
  <si>
    <t>Clientes</t>
  </si>
  <si>
    <t>Inventario materia prima</t>
  </si>
  <si>
    <t>Inventario producto terminado</t>
  </si>
  <si>
    <t>Total activo corriente</t>
  </si>
  <si>
    <t>Equipo de cómputo</t>
  </si>
  <si>
    <t>Propiedad planta y equipo</t>
  </si>
  <si>
    <t>Otros activos</t>
  </si>
  <si>
    <t>Total otros activos</t>
  </si>
  <si>
    <t>Total activos</t>
  </si>
  <si>
    <t>Pasivo</t>
  </si>
  <si>
    <t>Pasivo corriente</t>
  </si>
  <si>
    <t>Proveedores</t>
  </si>
  <si>
    <t>Impuesto por pagar</t>
  </si>
  <si>
    <t>Pasivos laborales</t>
  </si>
  <si>
    <t>Acreedores varios</t>
  </si>
  <si>
    <t>Total pasivo corriente</t>
  </si>
  <si>
    <t xml:space="preserve">Total pasivo </t>
  </si>
  <si>
    <t>Patrimonio</t>
  </si>
  <si>
    <t>Capital</t>
  </si>
  <si>
    <t>Reservas</t>
  </si>
  <si>
    <t>Utilidades acumuladas</t>
  </si>
  <si>
    <t>Utilidades del ejercicio</t>
  </si>
  <si>
    <t>Pasivo + patrimonio</t>
  </si>
  <si>
    <t>Ingresos en efectivo</t>
  </si>
  <si>
    <t>Año 0</t>
  </si>
  <si>
    <t>Abono a préstamos financieros</t>
  </si>
  <si>
    <t>Guía 2025 de la Dirección de investigaciones económicas, sectoriales y de mercado del grupo Bancolombia</t>
  </si>
  <si>
    <t>Informe de política monetaria - octubre de 2024 del Banco de la República</t>
  </si>
  <si>
    <t>Precio unitario</t>
  </si>
  <si>
    <t>Comedor</t>
  </si>
  <si>
    <t>Sala</t>
  </si>
  <si>
    <t>Alcoba</t>
  </si>
  <si>
    <t>Poltrona</t>
  </si>
  <si>
    <t>Sofacama</t>
  </si>
  <si>
    <t>Datos para elaborar el presupuesto de ventas</t>
  </si>
  <si>
    <t>Unidades para vender en 2025</t>
  </si>
  <si>
    <t>Producto</t>
  </si>
  <si>
    <t>Concepto</t>
  </si>
  <si>
    <t>Unidad</t>
  </si>
  <si>
    <t>Valor total</t>
  </si>
  <si>
    <t>Unidades totales</t>
  </si>
  <si>
    <t>Datos para elaborar el presupuesto de producción</t>
  </si>
  <si>
    <t>Días de inventario final de producto terminado</t>
  </si>
  <si>
    <t>Días de inventario final de materia prima</t>
  </si>
  <si>
    <t>+ Inventario final producto terminado</t>
  </si>
  <si>
    <t>- Inventario inicial producto terminado</t>
  </si>
  <si>
    <t>= Unidades a producir</t>
  </si>
  <si>
    <t>Unidades de materia prima a comprar</t>
  </si>
  <si>
    <t>+ Inventario final de materia prima</t>
  </si>
  <si>
    <t>+ Elementos de materia prima requeridos para la producción</t>
  </si>
  <si>
    <t>- Inventario inicial de materia prima</t>
  </si>
  <si>
    <t>= Unidades de materia prima a comprar</t>
  </si>
  <si>
    <t>Valor unitario</t>
  </si>
  <si>
    <t>Incremento de unidades a vender por año:</t>
  </si>
  <si>
    <t>Elaboración del presupuesto de ventas</t>
  </si>
  <si>
    <t>Incremento de elementos de materia prima requeridos para la producción</t>
  </si>
  <si>
    <t>Detalle de materia prima requerida</t>
  </si>
  <si>
    <t>Valor de la materia prima a comprar</t>
  </si>
  <si>
    <t>Proyección valor unitario promedio de materia prima</t>
  </si>
  <si>
    <t>Insumo para el presupuesto de producción</t>
  </si>
  <si>
    <t>Valor del inventario final de materia prima</t>
  </si>
  <si>
    <t>+ Valor de los elementos de materia prima requeridos para la producción</t>
  </si>
  <si>
    <t>Elaboración del presupuesto de producción</t>
  </si>
  <si>
    <t>+ Inventario final de producto en proceso</t>
  </si>
  <si>
    <t>- Inventario inicial de producto en proceso</t>
  </si>
  <si>
    <t>= Unidades procesadas</t>
  </si>
  <si>
    <t>= Costo de materia prima para unidades procesadas</t>
  </si>
  <si>
    <t>= Total compras de materia prima</t>
  </si>
  <si>
    <t xml:space="preserve"> </t>
  </si>
  <si>
    <t>Auxilio de transporte</t>
  </si>
  <si>
    <t>Prestaciones sociales y seguridad social</t>
  </si>
  <si>
    <t>Factor</t>
  </si>
  <si>
    <t>Cesantías</t>
  </si>
  <si>
    <t xml:space="preserve">Pensión </t>
  </si>
  <si>
    <t>ARL producción</t>
  </si>
  <si>
    <t>ARL administración y ventas</t>
  </si>
  <si>
    <t>Caja de compensación familiar</t>
  </si>
  <si>
    <t>Intereses de cesantías anual</t>
  </si>
  <si>
    <t>Otros (es necesario especificarlos)</t>
  </si>
  <si>
    <t>Valor</t>
  </si>
  <si>
    <t>% asumido por administración y ventas</t>
  </si>
  <si>
    <t>Total costos fijos</t>
  </si>
  <si>
    <t>Total costos variables</t>
  </si>
  <si>
    <t>Insumo para determinar el costo variable en el presupuesto CIF</t>
  </si>
  <si>
    <t>Valor para 2025</t>
  </si>
  <si>
    <t>Datos para elaborar el presupuesto de gastos de administración y ventas</t>
  </si>
  <si>
    <t>Nómina de administración y ventas</t>
  </si>
  <si>
    <t>Total nómina de administración y ventas</t>
  </si>
  <si>
    <t>Otros gastos de administración y ventas</t>
  </si>
  <si>
    <t>Total otros gastos de administración y ventas</t>
  </si>
  <si>
    <t>Porcentaje de ventas a crédito</t>
  </si>
  <si>
    <t>Política de cobro de cartera en días</t>
  </si>
  <si>
    <t>Datos para elaborar el presupuesto de cartera</t>
  </si>
  <si>
    <t>Total ventas</t>
  </si>
  <si>
    <t>+ Ventas a crédito</t>
  </si>
  <si>
    <t>- Saldo final de cartera</t>
  </si>
  <si>
    <t>Edificio</t>
  </si>
  <si>
    <t>Vehículo</t>
  </si>
  <si>
    <t>Equipos de cómputo</t>
  </si>
  <si>
    <t>Aportes de socios</t>
  </si>
  <si>
    <t>Financiación a largo plazo</t>
  </si>
  <si>
    <t xml:space="preserve">Datos para elaborar el plan de pagos o amortización de préstamos a largo plazo </t>
  </si>
  <si>
    <t>Costo de la obligación financiera</t>
  </si>
  <si>
    <t xml:space="preserve">Plan de pagos o amortización de préstamos a largo plazo </t>
  </si>
  <si>
    <t>Insumo para el estado de costos</t>
  </si>
  <si>
    <t>Valores tomados del presupuesto de producción</t>
  </si>
  <si>
    <t>Insumos para el estado de costos</t>
  </si>
  <si>
    <t>Valores tomados del presupuesto de mano de obra directa</t>
  </si>
  <si>
    <t>Unidades procesadas</t>
  </si>
  <si>
    <t>Valores tomados del presupuesto de costos indirectos de fabricación</t>
  </si>
  <si>
    <t>Valor unitario promedio de materia prima</t>
  </si>
  <si>
    <t>Valores tomados del presupuesto de ventas</t>
  </si>
  <si>
    <t>Valores tomados del estado de costos</t>
  </si>
  <si>
    <t>- Costo de ventas</t>
  </si>
  <si>
    <t>= Utilidad bruta</t>
  </si>
  <si>
    <t>- Gasos de administración</t>
  </si>
  <si>
    <t>Valores tomados del presupuesto de administración y  ventas</t>
  </si>
  <si>
    <t>= Utilidad operacional</t>
  </si>
  <si>
    <t>Insumo para el estado de resultados</t>
  </si>
  <si>
    <t>+ Ingresos financieros</t>
  </si>
  <si>
    <t>- Gastos financieros</t>
  </si>
  <si>
    <t>= Utilidad antes de impuestos</t>
  </si>
  <si>
    <t xml:space="preserve">Valores tomados de la amortización de préstamos a largo plazo </t>
  </si>
  <si>
    <t>Tarifa impuesto de renta</t>
  </si>
  <si>
    <t>Datos para elaborar el estado de resultados proyectado</t>
  </si>
  <si>
    <t>- Impuesto de renta</t>
  </si>
  <si>
    <t>= Utilidad neta</t>
  </si>
  <si>
    <t>- Reserva legal</t>
  </si>
  <si>
    <t>= Utilidad del ejercicio</t>
  </si>
  <si>
    <t>Insumo para el estado de situación financiera</t>
  </si>
  <si>
    <t xml:space="preserve">Valores tomados del presupuesto de inversión y la amortización de préstamos a largo plazo </t>
  </si>
  <si>
    <t>Porcentaje de ventas a contado</t>
  </si>
  <si>
    <t>Insumo para el presupuesto de cartera, estado de resultados y el flujo de caja</t>
  </si>
  <si>
    <t>Valores tomados del presupuesto de cartera</t>
  </si>
  <si>
    <t>Insumo para el flujo de caja</t>
  </si>
  <si>
    <t>Valores tomados del estado de resultados</t>
  </si>
  <si>
    <t>Valor tomado del presupuesto de inversión</t>
  </si>
  <si>
    <t>Política de pago a proveedores en días</t>
  </si>
  <si>
    <t>Valores a partir del presupuesto de producción</t>
  </si>
  <si>
    <t>Total inversión fija</t>
  </si>
  <si>
    <t>Valores de nómina que quedan causados (nómina producción)</t>
  </si>
  <si>
    <t>Valores a partir del presupuesto de costos indirectos de fabricación</t>
  </si>
  <si>
    <t>Valores a partir del presupuesto de mano de obra directa</t>
  </si>
  <si>
    <t>Valores a partir del presupuesto de gastos de administración y ventas</t>
  </si>
  <si>
    <t>Estado de situación financiera proyectado</t>
  </si>
  <si>
    <t>Valores tomados del flujo de caja</t>
  </si>
  <si>
    <t>Valores tomados del presupuesto de caja</t>
  </si>
  <si>
    <t>Valores tomados del presupuesto de inversión</t>
  </si>
  <si>
    <t>Vida útil (años)</t>
  </si>
  <si>
    <t>Datos para elaborar el estado de situación financiera proyectado</t>
  </si>
  <si>
    <t>Datos para elaborar el flujo de caja proyectado</t>
  </si>
  <si>
    <t>Valor de la propiedad planta y equipo</t>
  </si>
  <si>
    <t>Valores a partir del presupuesto CIF y gastos de administración y ventas</t>
  </si>
  <si>
    <t>Activo corriente</t>
  </si>
  <si>
    <t>Activo no corriente</t>
  </si>
  <si>
    <t>Total activo no corriente</t>
  </si>
  <si>
    <t>Obligaciones financieras</t>
  </si>
  <si>
    <t>Pasivo no corriente</t>
  </si>
  <si>
    <t>Total pasivo no corriente</t>
  </si>
  <si>
    <t>Depreciación asumida por producción</t>
  </si>
  <si>
    <t>% de depreciación asumida por producción</t>
  </si>
  <si>
    <t>% de depreciación asumida por administración y ventas</t>
  </si>
  <si>
    <t>Insumo para el flujo de caja y el estado de situación financiera</t>
  </si>
  <si>
    <t>Valores a partir del presupuesto de mano de obra, presupuesto de gastos de administración y ventas y flujo de caja</t>
  </si>
  <si>
    <t>- Valor inventario inicial de materia prima</t>
  </si>
  <si>
    <t>= Valor de materia prima a comprar</t>
  </si>
  <si>
    <t>Valores de nómina que quedan causados (nómina administración y ventas)</t>
  </si>
  <si>
    <t>Valores a partir del estado de resultados</t>
  </si>
  <si>
    <t>* Costo unitario de materia prima por unidad procesada</t>
  </si>
  <si>
    <t>Pegante</t>
  </si>
  <si>
    <t>Beneficio para deducción en el impuesto de renta</t>
  </si>
  <si>
    <t>Obligaciones con socios</t>
  </si>
  <si>
    <t>Incremento de unidades a vender por año</t>
  </si>
  <si>
    <t>Datos iniciales</t>
  </si>
  <si>
    <t>Para efectos prácticos se determina el impuesto de renta sobre la utilidad antes de impuesto, no obstante, lo adecuado sería realizarlo a partir de la depuración contable y fiscal.</t>
  </si>
  <si>
    <t>Se considera que al cierre de año no hay inventario inicial ni final de producto en proceso.</t>
  </si>
  <si>
    <t>Tarifa de impuesto de renta</t>
  </si>
  <si>
    <t>Valor asumido por producción</t>
  </si>
  <si>
    <t>Valor asumido por administración y ventas</t>
  </si>
  <si>
    <t>Depreciación asumida por administración y ventas</t>
  </si>
  <si>
    <t>Datos para elaborar el presupuesto de inversión inicial</t>
  </si>
  <si>
    <t>Para el salario básico y el auxilio de transporte del año 2026 y siguientes se considera el incremento conforme a la inflación.</t>
  </si>
  <si>
    <t>Presupuesto de inversión inicial</t>
  </si>
  <si>
    <t>x</t>
  </si>
  <si>
    <t>(Fecha de elaboración: enero 30 de 2025)</t>
  </si>
  <si>
    <r>
      <rPr>
        <b/>
        <sz val="12"/>
        <rFont val="Arial"/>
        <family val="2"/>
      </rPr>
      <t>Nota:</t>
    </r>
    <r>
      <rPr>
        <sz val="12"/>
        <rFont val="Arial"/>
        <family val="2"/>
      </rPr>
      <t xml:space="preserve"> el diseño, los datos o comentarios bajo los cuales se elaboró este formato y cada una de sus hojas de cálculo se entregan a título de guía y hacen parte de la interpretación de Actualícese. Será el usuario quien deba estudiar las normas requeridas, preparar y emitir la información a la que haya lugar. Actualícese no se hace responsable de las interpretaciones, operaciones o información derivadas del uso de esta herramienta.</t>
    </r>
  </si>
  <si>
    <t>Material relacionado:</t>
  </si>
  <si>
    <t>[Lista de chequeo] Principales actividades en el cierre mensual de una pyme</t>
  </si>
  <si>
    <t>ESTE ES EL LISTADO COMPLETO DE LAS HERRAMIENTAS PUBLICADAS</t>
  </si>
  <si>
    <t>Fecha de actualización: enero 30 de 2025</t>
  </si>
  <si>
    <t>Haz clic aquí para ver una versión actualizada de este listado</t>
  </si>
  <si>
    <t>IDEA:</t>
  </si>
  <si>
    <t>Si quieres buscar una herramienta en especial en este listado, dale "Buscar" en Excel (Ctrl + B, en casi todos lados).</t>
  </si>
  <si>
    <t>Liquidador de aportes a seguridad social de independientes bajo el esquema de presunción de costos (Resolución UGPP 532 de 2024)</t>
  </si>
  <si>
    <t>Liquidador automatizado de intereses a las cesantías y su comprobante de pago</t>
  </si>
  <si>
    <t>Liquidador de aportes a seguridad social para independientes con contrato de prestación de servicios</t>
  </si>
  <si>
    <t>Liquidador de aportes a seguridad social de independientes por cuenta propia y con contrato diferente al de prestación de servicios (vigente hasta el 31 de mayo de 2025)</t>
  </si>
  <si>
    <t>Histórico del índice de precios al consumidor –IPC–</t>
  </si>
  <si>
    <t>Modelo en Excel del certificado anual a socios y/o accionistas AG 2024</t>
  </si>
  <si>
    <t>Histórico de la variación nominal del salario mínimo e inflación 1993-2025</t>
  </si>
  <si>
    <t>[Guía] Requisitos para operar como no responsables de IVA, INC, IBUA e ICUI durante el 2025</t>
  </si>
  <si>
    <t>Tablas en Excel de retención en la fuente por renta para el año fiscal 2025</t>
  </si>
  <si>
    <t>Comparativo de normas del DUT 1625 de 2016 sobre el régimen simple afectadas con el Decreto 1545 de 2024</t>
  </si>
  <si>
    <t>Tablas en Word de retención en la fuente a título de impuestos nacionales durante el año fiscal 2025</t>
  </si>
  <si>
    <t>Histórico del salario mínimo y el auxilio de transporte 1990-2025</t>
  </si>
  <si>
    <t>Modelo en Excel para el cálculo de cesantías e intereses a las cesantías</t>
  </si>
  <si>
    <t>Modelo en Word para elaborar el comprobante de pago de intereses a las cesantías</t>
  </si>
  <si>
    <t>Tabla de tarifas de honorarios para contadores públicos en Colombia</t>
  </si>
  <si>
    <t>Liquidador e histórico de porcentajes de reajuste fiscal 2005-2024</t>
  </si>
  <si>
    <t>Liquidador del costo de la contratación de un trabajador con el salario mínimo</t>
  </si>
  <si>
    <t>Simulador del límite de pagos en efectivo</t>
  </si>
  <si>
    <t>Listado de códigos de responsabilidades tributarias (RUT casilla 53)</t>
  </si>
  <si>
    <t>Liquidador en Excel de retención en la fuente con procedimiento 1 durante 2025 sobre rentas de trabajo (laborales y no laborales)</t>
  </si>
  <si>
    <t>Guía de información laboral 2025</t>
  </si>
  <si>
    <t>Liquidador avanzado en Excel (con macros) de intereses moratorios sobre deudas tributarias</t>
  </si>
  <si>
    <t>Listado de convenios internacionales para evitar la doble tributación y otros acuerdos para el intercambio de información fiscal</t>
  </si>
  <si>
    <t>Cuadro comparativo con la estructura del sistema de pensiones en Colombia: Ley 100 de 1993 vs. Ley 2381 de 2024</t>
  </si>
  <si>
    <t>Convertidor de UVT</t>
  </si>
  <si>
    <t>Calendario tributario 2025 Versión descargable</t>
  </si>
  <si>
    <t>Calendario 2025 para el pago de aportes a seguridad social de empleadores e independientes</t>
  </si>
  <si>
    <t>Fórmulas para liquidar prestaciones, vacaciones y horas extra</t>
  </si>
  <si>
    <t>Matriz de responsabilidades en seguridad social de trabajadores independientes</t>
  </si>
  <si>
    <t>Modelo de nota 1 a los estados financieros bajo el Estándar para Pymes  </t>
  </si>
  <si>
    <t>Modelo de políticas contables (nota) “base para la preparación de estados financieros” para pymes</t>
  </si>
  <si>
    <t>Guía en Word con las revelaciones de la información financiera a presentar según el Estándar para Pymes</t>
  </si>
  <si>
    <t>[Pack de Formatos] Cierre anual 2024: estados financieros, impuesto diferido y contabilizaciones</t>
  </si>
  <si>
    <t>Excel para el cálculo del impuesto diferido al cierre del ejercicio 2023 y 2024</t>
  </si>
  <si>
    <t>Ejemplos de contabilización de activos bajo las NIIF para Pymes</t>
  </si>
  <si>
    <t>Caso práctico en Excel de corrección de errores de períodos anteriores</t>
  </si>
  <si>
    <t>Guía en Excel sobre hechos posteriores al cierre que implican o no ajustes</t>
  </si>
  <si>
    <t>Modelo en Excel de la estructura del balance de comprobación</t>
  </si>
  <si>
    <t>Modelo de proyecto de distribución de utilidades en una sociedad comercial</t>
  </si>
  <si>
    <t>Modelo en Excel del estado de resultados con enfoque de gastos por naturaleza o función</t>
  </si>
  <si>
    <t>Guía en Excel para el análisis vertical y horizontal aplicado al estado de situación financiera y al estado de resultado integral</t>
  </si>
  <si>
    <t>Modelo en Excel de la estructura del estado de resultados y ganancias acumuladas</t>
  </si>
  <si>
    <t>Modelo de notas a los estados financieros (estado de situación financiera)</t>
  </si>
  <si>
    <t>Modelo de notas a los estados financieros (estado de resultados)</t>
  </si>
  <si>
    <t>Liquidador en Excel del porcentaje fijo de retención en la fuente sobre salarios en diciembre de 2024 – Procedimiento 2</t>
  </si>
  <si>
    <t>Plantilla en Excel para elaborar el estado de cambios en el patrimonio</t>
  </si>
  <si>
    <t>Simulador en Excel del estado de situación financiera (análisis comparativo)</t>
  </si>
  <si>
    <t>[Guía] Planeador en Excel para contadores públicos</t>
  </si>
  <si>
    <t>Liquidador automatizado de la prima de servicios con comprobante de pago</t>
  </si>
  <si>
    <t>Casos prácticos de deterioro de cartera fiscal (provisión individual y general)</t>
  </si>
  <si>
    <t>[Pack de Formatos] 15 herramientas clave en Excel para la planeación estratégica, presupuestal, financiera y fiscal</t>
  </si>
  <si>
    <t>Casos prácticos para comprender la contabilización de pasivos en el cierre contable</t>
  </si>
  <si>
    <t>Casos prácticos para comprender la contabilización de activos en el cierre contable</t>
  </si>
  <si>
    <t>Carta de finalización del contrato individual de trabajo por justa causa</t>
  </si>
  <si>
    <t>Liquidador en Excel para la determinación de diferencias temporarias e impuesto diferido</t>
  </si>
  <si>
    <t>Impuesto diferido en la depreciación de propiedad, planta y equipo (caso práctico en Excel)</t>
  </si>
  <si>
    <t>Casos prácticos sobre métodos para determinar la naturaleza del impuesto diferido</t>
  </si>
  <si>
    <t>Simulador con las diferencias permanentes, temporales y temporarias: efectos en la utilidad contable y fiscal</t>
  </si>
  <si>
    <t>Simulador para la clasificación de entidades en los grupos 1, 2 o 3 de Estándares Internacionales</t>
  </si>
  <si>
    <t>Seleccionador de políticas contables y ejemplos prácticos</t>
  </si>
  <si>
    <t>Ejemplos prácticos sobre CINIIF y SIC aplicados a Colombia</t>
  </si>
  <si>
    <t>Simulador de préstamo para vivienda: modalidad de cuota fija en pesos</t>
  </si>
  <si>
    <t>Plantilla en Excel (con macros) del estado de costos de producción y de ventas</t>
  </si>
  <si>
    <t>Liquidador de indicadores de detrimento patrimonial e insolvencia financiera</t>
  </si>
  <si>
    <t>Caso práctico en Excel: utilidad del impuesto diferido en la corrección del efecto de las normas fiscales</t>
  </si>
  <si>
    <t>Casos prácticos en Excel con las diferencias más comunes en el proceso de conciliación fiscal de personas jurídicas</t>
  </si>
  <si>
    <t>Liquidador de indicadores financieros</t>
  </si>
  <si>
    <t>[Liquidador] Tabla de amortización en Excel de un contrato de leasing</t>
  </si>
  <si>
    <t>Formato de solicitud de licencia de calamidad doméstica</t>
  </si>
  <si>
    <t>[Simulador] Análisis de propuestas de inversión con el uso del valor presente y valor presente neto</t>
  </si>
  <si>
    <t>[Simulador] Cálculo del costo amortizado y la TIR</t>
  </si>
  <si>
    <t>[Liquidador] Modelos y formatos para la elaboración de estados financieros y cálculo de los indicadores financieros</t>
  </si>
  <si>
    <t>Liquidador en Excel para revisiones pertinentes en propiedad, planta y equipo en el proceso de cierre contable</t>
  </si>
  <si>
    <t>Simulador de casos de descuentos tributarios y donaciones: conciliación contable y tributaria</t>
  </si>
  <si>
    <t>Simulador en Excel del punto de equilibrio como herramienta de análisis financiero</t>
  </si>
  <si>
    <t>Análisis de la información de ventas y su pronóstico utilizando el método del índice de estacionalidad</t>
  </si>
  <si>
    <t>Ejercicios de conversión entre tasas de interés efectiva, nominal y periódica</t>
  </si>
  <si>
    <t>Lista de chequeo para la evaluación de las 4 fases de la planeación tributaria del impuesto de renta</t>
  </si>
  <si>
    <t>Contabilización de depreciación bajo Estándares Internacionales: casos prácticos en Excel</t>
  </si>
  <si>
    <t>Lista de chequeo de las etapas requeridas en el proceso presupuestal</t>
  </si>
  <si>
    <t>Liquidador para la clasificación de empresas en Colombia según sus ingresos y sector económico</t>
  </si>
  <si>
    <t>Modelo de certificación del tamaño de una empresa en Colombia</t>
  </si>
  <si>
    <t>Ejercicio en Excel para el reconocimiento del deterioro de inventarios al cierre contable de una pyme</t>
  </si>
  <si>
    <t>Guía en Excel con los principales índices de coherencia tributaria para las personas jurídicas  </t>
  </si>
  <si>
    <t>[Matriz] Tipos de sociedades en Colombia</t>
  </si>
  <si>
    <t>Ejercicios sobre métodos de depreciación: línea recta, decreciente, unidades de producción y más</t>
  </si>
  <si>
    <t>Liquidador en Excel para el cálculo de intereses de mora y su IVA en cuentas por cobrar vencidas</t>
  </si>
  <si>
    <t>Modelo de carta para el incremento anual del arrendamiento comercial</t>
  </si>
  <si>
    <t>[Guía] Beneficios tributarios en el impuesto de renta AG 2024</t>
  </si>
  <si>
    <t>[Liquidador] Formato de hoja de costos en Excel con macros</t>
  </si>
  <si>
    <t>Estado de flujos de efectivo por el método indirecto: ejercicio práctico y plantilla en Excel</t>
  </si>
  <si>
    <t>Casos prácticos en Excel de contabilización de contratos de prestación de servicios independientes</t>
  </si>
  <si>
    <t>Casos prácticos de contabilización de compras e impuestos asumidos</t>
  </si>
  <si>
    <t>Plantilla de control de cuentas por cobrar y política de recaudo a clientes</t>
  </si>
  <si>
    <t>Papeles de trabajo del auditor: cuestionarios de control interno para pymes y lista de chequeo</t>
  </si>
  <si>
    <t>Plantilla de control de cuentas por pagar y política de pago a proveedores</t>
  </si>
  <si>
    <t>Estado de flujos de efectivo por el método directo: ejercicio práctico y plantilla en Excel</t>
  </si>
  <si>
    <t>Modelo de contrato de arrendamiento de local comercial, oficina o bodega</t>
  </si>
  <si>
    <t>Clasificación de arrendamientos según la sección 20 del Estándar para Pymes: 5 casos prácticos en Excel</t>
  </si>
  <si>
    <t>Formato en Excel de circularización de clientes automatizado</t>
  </si>
  <si>
    <t>Modelos de conciliación bancaria (individual y conjunta) en Excel</t>
  </si>
  <si>
    <t>Liquidador en Excel para calcular la contribución 2024 a Supersociedades</t>
  </si>
  <si>
    <t>Modelo de contrato de outsourcing o tercerización</t>
  </si>
  <si>
    <t>Liquidador (con macros) de sanciones relacionadas con la declaración informativa de precios de transferencia</t>
  </si>
  <si>
    <t>Caso práctico en Excel: contabilización de ajustes por conciliación bancaria</t>
  </si>
  <si>
    <t>Caso práctico en Excel: contabilización de sobrantes y faltantes de caja</t>
  </si>
  <si>
    <t>Formato en Excel de circularización de proveedores automatizado</t>
  </si>
  <si>
    <t>Modelo en Excel: cálculo de intereses presuntivos en 2024 sobre préstamos entre socios y sociedades</t>
  </si>
  <si>
    <t>Casos prácticos de contabilización de ingresos en pymes bajo Estándares Internacionales</t>
  </si>
  <si>
    <t>Formato de flujo de caja real y presupuestado</t>
  </si>
  <si>
    <t>Casos prácticos de contabilización de arrendamientos financiero y operativo</t>
  </si>
  <si>
    <t>Ejercicio para la distribución de las rentas exentas y deducciones imputables limitadas en las personas naturales residentes (Resolución 000120 de 2024)</t>
  </si>
  <si>
    <t>Carta de finalización del contrato de arrendamiento por vencimiento del término</t>
  </si>
  <si>
    <t>Certificación de baja de inventarios por obsolescencia (Excel con macros)</t>
  </si>
  <si>
    <t>Modelo de notificación de sanción disciplinaria al trabajador</t>
  </si>
  <si>
    <t>Simulador para comparar créditos bancarios con tabla de amortización</t>
  </si>
  <si>
    <t>Modelo de pagaré en blanco y carta de instrucción</t>
  </si>
  <si>
    <t>Comparativo de normas de la Resolución 000165 de 2023 sobre facturación electrónica modificadas con la Resolución 000119 de 2024</t>
  </si>
  <si>
    <t>Formato de arqueo de caja general con macros</t>
  </si>
  <si>
    <t>Modelo en Word de acuerdo de pago</t>
  </si>
  <si>
    <t>Cálculo del límite de subcapitalización: casos prácticos en Excel</t>
  </si>
  <si>
    <t>Modelo de citación a descargos</t>
  </si>
  <si>
    <t>Modelo de carta de respuesta a la solicitud de un servicio</t>
  </si>
  <si>
    <t>Liquidador de auxilio de incapacidad (valores asumidos por el empleador, la EPS o la ARL)</t>
  </si>
  <si>
    <t>Formato de control de clientes de declaración de renta de persona natural</t>
  </si>
  <si>
    <t>Liquidador en Excel sobre efectos fiscales de escriturar bienes inmuebles por debajo del valor comercial</t>
  </si>
  <si>
    <t>[Liquidador] Excel del formulario 210 y formato 2517 para la declaración de renta de personas naturales residentes que llevan contabilidad AG 2023</t>
  </si>
  <si>
    <t>[Pack de Formatos] Top 15 de los mejores liquidadores para elaborar tus declaraciones de renta de personas naturales AG 2023</t>
  </si>
  <si>
    <t>[Liquidador] Excel del formulario 210 para la declaración de renta de personas naturales residentes que no llevan contabilidad AG 2023</t>
  </si>
  <si>
    <t>Plantilla automática para control y auditoría del gasto de servicios públicos</t>
  </si>
  <si>
    <t>Casos prácticos sobre AIU: cálculo del IVA y retención en la fuente en esta figura</t>
  </si>
  <si>
    <t>Caso práctico de contabilización de un préstamo bancario en pymes y microempresas</t>
  </si>
  <si>
    <t>Caso práctico de declaración de renta a partir de información reportada por terceros</t>
  </si>
  <si>
    <t>Caso práctico de contabilización de devoluciones en ventas</t>
  </si>
  <si>
    <t>Valor patrimonial de acciones y aportes en la declaración de renta de personas naturales por el AG 2023</t>
  </si>
  <si>
    <t>Formato de arqueo de caja menor con macros</t>
  </si>
  <si>
    <t>Acta de diligencia de descargos</t>
  </si>
  <si>
    <t>Formato en Excel para la toma de inventario físico (con macros)</t>
  </si>
  <si>
    <t>Modelo de carta de renuncia</t>
  </si>
  <si>
    <t>Modelo de carta de aceptación de renuncia de un trabajador</t>
  </si>
  <si>
    <t>Modelo de memorial para solicitar al juez librar medida cautelar de embargo  </t>
  </si>
  <si>
    <t>[Liquidador] Excel del formulario 110 y formato 2516 para la declaración de renta de personas naturales no residentes que llevan contabilidad AG 2023</t>
  </si>
  <si>
    <t>Normas del impuesto de renta de personas naturales afectadas con la Ley 2277 de 2022 que se deben tomar en cuenta para preparar las declaraciones del AG 2023</t>
  </si>
  <si>
    <t>Liquidador de aportes a seguridad social durante la licencia de maternidad</t>
  </si>
  <si>
    <t>Modelo de solicitud de permiso para autorizar el trabajo en horas extra</t>
  </si>
  <si>
    <t>Caso práctico sobre liquidación de sucesión ilíquida e impuesto de ganancia ocasional</t>
  </si>
  <si>
    <t>Comparativo de las normas afectadas por la reforma tributaria – Ley 2277 de 2022</t>
  </si>
  <si>
    <t>[Liquidador] Excel del formulario 110 para la declaración de renta de personas naturales no residentes que no llevan contabilidad AG 2023</t>
  </si>
  <si>
    <t>Modelo en Word de un acuerdo de confidencialidad</t>
  </si>
  <si>
    <t>Modelo de revocatoria de poder otorgado a un abogado  </t>
  </si>
  <si>
    <t>Carta para solicitar a la empresa de servicios públicos la cancelación del contrato de telefonía e internet</t>
  </si>
  <si>
    <t>Carta para solicitar el pago de acreencias laborales</t>
  </si>
  <si>
    <t>Liquidador del componente inflacionario de los rendimientos o costos financieros</t>
  </si>
  <si>
    <t>Ejercicios sobre la determinación de la renta líquida de trabajo cuando hay rentas laborales y honorarios</t>
  </si>
  <si>
    <t>Liquidador del anticipo del impuesto de renta 2024 para personas jurídicas y naturales</t>
  </si>
  <si>
    <t>Liquidador en Excel del porcentaje fijo de retención en la fuente sobre salarios en junio de 2024 – Procedimiento 2</t>
  </si>
  <si>
    <t>Modelo de llamado de atención  </t>
  </si>
  <si>
    <t>Modelo de derecho de petición para solicitar certificado laboral  </t>
  </si>
  <si>
    <t>Carta otorgando poder</t>
  </si>
  <si>
    <t>[Guía] Características básicas de la cedulación de personas naturales residentes AG 2023</t>
  </si>
  <si>
    <t>Cuestionario para definir si una persona natural está obligada a presentar declaración de renta AG 2023</t>
  </si>
  <si>
    <t>Modelo de derecho de petición para el pago de incapacidades de trabajadores independientes</t>
  </si>
  <si>
    <t>Simulador del beneficio de auditoría</t>
  </si>
  <si>
    <t>Liquidador y caso práctico para calcular y contabilizar horas extra y recargos durante la reducción de la jornada laboral en 2024</t>
  </si>
  <si>
    <t>Simulador en Excel para realizar la liquidación de contratos de trabajo</t>
  </si>
  <si>
    <t>Simulador para determinar si una persona natural es residente fiscal en Colombia</t>
  </si>
  <si>
    <t>Liquidador en Excel de nómina para trabajadora en licencia de maternidad</t>
  </si>
  <si>
    <t>Liquidador de auxilio de incapacidad aplicado a salario variable, fijo o integral</t>
  </si>
  <si>
    <t>[Lista de chequeo] soportes para preparación y presentación de la declaración de renta de personas naturales</t>
  </si>
  <si>
    <t>Contrato de obra o labor</t>
  </si>
  <si>
    <t>Simulador de sanción por no pagar la liquidación del contrato laboral</t>
  </si>
  <si>
    <t>Modelo de contrato de mandato</t>
  </si>
  <si>
    <t>[Liquidador] Calculadora de monetización de la cuota de aprendizaje Sena</t>
  </si>
  <si>
    <t>Liquidador de prestaciones sociales y vacaciones con salario variable</t>
  </si>
  <si>
    <t>Simulador del impuesto para dividendos y participaciones no gravados de 2017 y siguientes luego de la Ley 2277 de 2022</t>
  </si>
  <si>
    <t>Simulador del impuesto para dividendos y participaciones gravados de 2017 y siguientes luego de la Ley 2277 de 2022</t>
  </si>
  <si>
    <t>Liquidador de prestaciones sociales para trabajadores domésticos por días</t>
  </si>
  <si>
    <t>Liquidador de seguridad social para trabajadores domésticos por días con múltiples empleadores</t>
  </si>
  <si>
    <t>Caso práctico de liquidación de nómina con salario integral</t>
  </si>
  <si>
    <t>Modelo de contrato de trabajo a término fijo</t>
  </si>
  <si>
    <t>Liquidador automático de utilidad por venta de activo fijo depreciable que será renta por recuperación de deducciones</t>
  </si>
  <si>
    <t>Notificación al empleado de la reducción de la jornada laboral</t>
  </si>
  <si>
    <t>[Liquidador] Excel del formulario 2593 AG 2024: declaración de anticipos bimestrales – régimen simple</t>
  </si>
  <si>
    <t>[Pack de Formatos] 15 herramientas que te facilitarán la declaración de renta de personas jurídicas AG 2023</t>
  </si>
  <si>
    <t>Modelo del certificado de donación para que proceda el descuento tributario en la declaración de renta</t>
  </si>
  <si>
    <t>Liquidador de indemnización por despido sin justa causa (contrato indefinido)</t>
  </si>
  <si>
    <t>Modelo de certificado de no declarante del impuesto de renta y complementario</t>
  </si>
  <si>
    <t>Notificación a empleado de la reducción de la jornada laboral</t>
  </si>
  <si>
    <t>Plantilla en Excel del formulario 310 AG 2024: declaración del impuesto nacional al consumo –INC–</t>
  </si>
  <si>
    <t>Plantilla en Excel del formulario 420 AG 2024: declaración anual del impuesto al patrimonio</t>
  </si>
  <si>
    <t>Modelo de carta de solicitud de corrección de información exógena</t>
  </si>
  <si>
    <t>[Pack de Formatos] 15 plantillas y guías para el reporte de información exógena 2023</t>
  </si>
  <si>
    <t>[Liquidador] Plantilla del formato 1004 de exógena 2023: reporte de descuentos al impuesto de renta y el SIMPLE</t>
  </si>
  <si>
    <t>[Liquidador] Plantilla del formato 1010 de exógena 2023: información de socios, cooperados o comuneros</t>
  </si>
  <si>
    <t>[Liquidador] Plantilla del formato 1647 de exógena 2023: reporte de ingresos recibidos para terceros</t>
  </si>
  <si>
    <t>Liquidador del cálculo de retención en la fuente por pensiones</t>
  </si>
  <si>
    <t>Liquidador de aportes al fondo de solidaridad pensional por parte de un empleado</t>
  </si>
  <si>
    <t>Liquidador (con macros) de nómina de empleados de servicio doméstico que laboran por días</t>
  </si>
  <si>
    <t>[Liquidador] Plantilla en Excel para el control de entrega de dotación a empleados</t>
  </si>
  <si>
    <t>[Liquidador] Plantilla de los formatos de exógena del 5247 al 5252 por el AG 2023: reportes de los mandatarios</t>
  </si>
  <si>
    <t>[Liquidador] Plantilla del formato 1009 de exógena 2023: información de cuentas por pagar</t>
  </si>
  <si>
    <t>[Liquidador] Plantilla del formato 1008 de exógena 2023: información de cuentas por cobrar</t>
  </si>
  <si>
    <t>[Liquidador] Plantilla del formato 1007 de exógena 2023: información de ingresos propios</t>
  </si>
  <si>
    <t>[Lista de chequeo] Guía en Excel para auditar el formato 2516: conciliación fiscal de las personas jurídicas</t>
  </si>
  <si>
    <t>Liquidador de indemnización por despido sin justa causa (contrato fijo y de obra o labor)</t>
  </si>
  <si>
    <t>Casos prácticos de retención en la fuente por compras, servicios y honorarios</t>
  </si>
  <si>
    <t>[Liquidador] Formulario 260 AG 2023 – declaración anual del régimen simple (personas naturales que no llevan contabilidad)</t>
  </si>
  <si>
    <t>[Liquidador] Formulario 260 AG 2023 – declaración anual del régimen simple (personas naturales y jurídicas que llevan contabilidad)</t>
  </si>
  <si>
    <t>[Liquidador] Plantilla del formato 2276, 2280 y 2743 para el reporte de información exógena de 2023</t>
  </si>
  <si>
    <t>[Liquidador] Plantilla del formato 1003 de exógena 2023: retenciones que le practicaron al informante</t>
  </si>
  <si>
    <t>[Liquidador] Plantilla de los formatos 1005 y 1006 de exógena 2023: reporte del INC e IVA descontable y generados</t>
  </si>
  <si>
    <t>[Liquidador] Plantilla de los formatos 1011, 1012 y 2275 de exógena 2023 para el reporte de otros datos en renta e IVA</t>
  </si>
  <si>
    <t>Modelo en Word de un contrato de transacción laboral para la terminación del contrato de trabajo</t>
  </si>
  <si>
    <t>[Liquidador] Plantilla del formato 1001 del año gravable 2023: reporte de exógena de pagos o abonos en cuenta</t>
  </si>
  <si>
    <t>Carta para solicitar licencia por luto</t>
  </si>
  <si>
    <t>Modelo de poder para adelantar sucesión ante notaría</t>
  </si>
  <si>
    <t>Herramienta en Excel para la consulta de terceros en la Dian</t>
  </si>
  <si>
    <t>Liquidador del auxilio de incapacidad de origen común para trabajador independiente</t>
  </si>
  <si>
    <t>Modelo de autorización para el tratamiento y la protección de datos personales</t>
  </si>
  <si>
    <t>[Matriz] Resumen con las categorías de los informantes de exógena AG 2023 y los formatos que deben usar</t>
  </si>
  <si>
    <t>Liquidador en Excel del formulario 110 y el formato 2516: declaración de renta de personas jurídicas AG 2023</t>
  </si>
  <si>
    <t>[Liquidador] Excel del formulario 350 de retención en la fuente (vigente a partir de agosto 1 de 2024)</t>
  </si>
  <si>
    <t>Modelo de contrato de trabajo a término indefinido</t>
  </si>
  <si>
    <t>Liquidador de prestaciones sociales y vacaciones</t>
  </si>
  <si>
    <t>Liquidador de topes de ingresos para presentar formatos de conciliación fiscal 2516 y 2517</t>
  </si>
  <si>
    <t>[Guía] Clasificación de las personas jurídicas frente al impuesto de renta y el SIMPLE AG 2023</t>
  </si>
  <si>
    <t>[Lista de chequeo] Guía para evitar errores en la presentación de información exógena</t>
  </si>
  <si>
    <t>Formato de cálculo de horas extra y recargos mensuales o quincenales</t>
  </si>
  <si>
    <t>Modelo de certificado laboral  </t>
  </si>
  <si>
    <t>Carta de recomendación laboral</t>
  </si>
  <si>
    <t>Liquidador de prestaciones sociales en período de incapacidad</t>
  </si>
  <si>
    <t>Tabla en Excel de retención en la fuente 2024</t>
  </si>
  <si>
    <t>Tabla automatizada con las tarifas de autorretención especial en renta (Decretos 0261 de 2023 y 0242 de 2024)</t>
  </si>
  <si>
    <t>[Liquidador] Formulario 160 AG 2024 para la declaración de activos en el exterior</t>
  </si>
  <si>
    <t>[Liquidador] Certificado de ingresos y retenciones: plantilla del formulario 220 y del formato 2276 AG 2023</t>
  </si>
  <si>
    <t>Simulador para contrastar los efectos de pertenecer al régimen ordinario del impuesto a la renta o al régimen simple de tributación AG 2024</t>
  </si>
  <si>
    <t>Lista de chequeo de estándares mínimos de SST para empresas con 11 a 50 trabajadores</t>
  </si>
  <si>
    <t>Lista de chequeo de documentos para la asamblea de accionistas o junta de socios</t>
  </si>
  <si>
    <t>Modelo en Excel del certificado anual a socios y/o accionistas AG 2023</t>
  </si>
  <si>
    <t>[Liquidador] Tributación sobre dividendos y cálculo de su retención en la fuente a título de renta durante el año 2024</t>
  </si>
  <si>
    <t>Simulador de retenciones a practicar entre regímenes</t>
  </si>
  <si>
    <t>Liquidador de aportes a ARL para trabajadores independientes</t>
  </si>
  <si>
    <t>Lista de chequeo en Excel para efectuar el cierre contable y fiscal de una entidad</t>
  </si>
  <si>
    <t>Modelo en Word de un acuerdo de exclusividad laboral</t>
  </si>
  <si>
    <t>Listado de actividades económicas (códigos CIIU)</t>
  </si>
  <si>
    <t>Modelo de contrato de prestación de servicios</t>
  </si>
  <si>
    <t>Acta de entrega de dotación</t>
  </si>
  <si>
    <t>Solicitud de compensación en dinero de las vacaciones</t>
  </si>
  <si>
    <t>Modelo de acta de reunión del máximo órgano social para cambio de representante legal</t>
  </si>
  <si>
    <t>Lista de chequeo de estándares mínimos de SST para empresas con 10 o menos trabajadores</t>
  </si>
  <si>
    <t>Lista de chequeo para contratación laboral</t>
  </si>
  <si>
    <t>[Liquidador] Plantilla para elaborar el formulario 300 para las declaraciones del IVA en 2024</t>
  </si>
  <si>
    <t>Tabla para liquidar indemnizaciones por pérdida de capacidad laboral</t>
  </si>
  <si>
    <t>Liquidador y desprendible mensual de nómina básico en Excel</t>
  </si>
  <si>
    <t>Liquidador con macros para calcular la renta gravable por comparación patrimonial</t>
  </si>
  <si>
    <t>3 modelos del certificado de dependientes para aplicar la deducción en la declaración de renta</t>
  </si>
  <si>
    <t>12 liquidadores para calcular la prima de servicios semestral</t>
  </si>
  <si>
    <t>Modelo de certificado de retención en la fuente por conceptos diferentes a rentas laborales</t>
  </si>
  <si>
    <t>[Liquidador] Cálculo del costo de renovación de matrícula mercantil y de establecimientos de comercio (2024)</t>
  </si>
  <si>
    <t>Modelo en Word de documento de otorgamiento de viáticos permanentes</t>
  </si>
  <si>
    <t>Liquidador de sanción por corrección presentada por el contribuyente</t>
  </si>
  <si>
    <t>Liquidador de sanción por inexactitud con macros</t>
  </si>
  <si>
    <t>Modelo en Word de carta de terminación del contrato de trabajo sin justa causa por parte del empleador</t>
  </si>
  <si>
    <t>Calendario tributario 2024 (versión descargable)</t>
  </si>
  <si>
    <t>Simulador del impuesto sobre dividendos y participaciones gravados de 2016 y anteriores</t>
  </si>
  <si>
    <t>Comparativo de pagos a trabajador (contrato de trabajo vs. contrato de prestación de servicios)</t>
  </si>
  <si>
    <t>Liquidador en Excel para la contabilización de la nómina (ejemplo práctico)</t>
  </si>
  <si>
    <t>Liquidador de sanción por extemporaneidad antes del emplazamiento</t>
  </si>
  <si>
    <t>Liquidador de sanción por extemporaneidad después del emplazamiento</t>
  </si>
  <si>
    <t>Liquidador de sanción por no consignar las cesantías y no pagar los intereses</t>
  </si>
  <si>
    <t>Liquidador de cesantías y sus intereses aplicado a 11 casos prácticos</t>
  </si>
  <si>
    <t>Liquidador de vacaciones en Excel aplicado a 10 casos prácticos</t>
  </si>
  <si>
    <t>[Guía] Requisitos para operar como no responsables de IVA durante el 2024</t>
  </si>
  <si>
    <t>Calendario para pago de aportes a seguridad social para empleadores e independientes 2023-2024</t>
  </si>
  <si>
    <t>Tablas de retención en la fuente a título de impuestos nacionales durante el año fiscal 2024</t>
  </si>
  <si>
    <t>Liquidador e histórico de porcentajes de reajuste fiscal 2005-2023</t>
  </si>
  <si>
    <t>Liquidador en Excel de retención en la fuente con procedimiento 1 durante 2024 sobre rentas de trabajo (laborales y no laborales)</t>
  </si>
  <si>
    <t>Histórico de la variación nominal del salario mínimo e inflación 1993-2024</t>
  </si>
  <si>
    <t>Liquidador de horas extra diurnas, nocturnas, dominicales y festivas</t>
  </si>
  <si>
    <t>Liquidador de aportes a seguridad social de independientes por cuenta propia y con contrato diferente al de prestación de servicios</t>
  </si>
  <si>
    <t>Comparativo de normas del DUT 1625 de 2016 afectadas con el Decreto 2231 de 2023</t>
  </si>
  <si>
    <t>Histórico del salario mínimo y el auxilio de transporte 1990-2024</t>
  </si>
  <si>
    <t>Guía de información laboral 2024</t>
  </si>
  <si>
    <t>Modelo en Excel para el cálculo de intereses a las cesantías</t>
  </si>
  <si>
    <t>Modelo para elaborar el comprobante de pago de intereses a las cesantías</t>
  </si>
  <si>
    <t>Cuadro comparativo de regímenes pensionales en Colombia</t>
  </si>
  <si>
    <t>Caso práctico de liquidación de un trabajador doméstico que devenga el salario mínimo</t>
  </si>
  <si>
    <t>Liquidador de sanciones por incumplir con la obligación de inscribirse en el RUT</t>
  </si>
  <si>
    <t>Liquidadores de sanciones relacionadas con la información exógena</t>
  </si>
  <si>
    <t>Liquidadores de sanción por no declarar</t>
  </si>
  <si>
    <t>Pack de Formatos para la revisoría fiscal: dictámenes, informes, certificaciones y más</t>
  </si>
  <si>
    <t>Listado de convenios internacionales para evitar la doble tributación</t>
  </si>
  <si>
    <t>Dictamen de estados financieros consolidados: opinión con salvedades cuando no se obtiene evidencia</t>
  </si>
  <si>
    <t>Informe sobre los hallazgos obtenidos en la auditoría de inventarios, según la NISR 4400</t>
  </si>
  <si>
    <t>Informe de compilación de estados financieros con fines específicos</t>
  </si>
  <si>
    <t>Informe del revisor fiscal sobre irregularidades y deficiencias en el control interno</t>
  </si>
  <si>
    <t>Presencia económica significativa –PES–: comparativo en Word de las normas del DUT 1625 de 2016 afectadas con el Decreto 2039 de 2023</t>
  </si>
  <si>
    <t>Guía: estructura del informe del revisor fiscal bajo NIA 701 (comunicación de las cuestiones clave de auditoría)</t>
  </si>
  <si>
    <t>Modelo de carta de aceptación de un encargo de auditoría concreto</t>
  </si>
  <si>
    <t>Dictamen del revisor fiscal con comunicación de cuestiones clave (NIA 700 revisada y NIA 701)</t>
  </si>
  <si>
    <t>Dictamen del revisor fiscal que incluye opinión con salvedades</t>
  </si>
  <si>
    <t>Certificación del contador o revisor fiscal para la inscripción de libros en la Cámara de Comercio</t>
  </si>
  <si>
    <t>Modelo básico en Excel para proyectar el impuesto al patrimonio 2023 y años siguientes</t>
  </si>
  <si>
    <t>Liquidador en Excel del porcentaje fijo de retención en la fuente sobre salarios en diciembre de 2023 – Procedimiento 2</t>
  </si>
  <si>
    <t>NIA 700 vs. NIA 700 (revisada): comparativo de estructura del informe del revisor fiscal</t>
  </si>
  <si>
    <t>Modelo en Excel (con macros) del documento soporte para operaciones con no obligados a facturar</t>
  </si>
  <si>
    <t>Modelo de acta de distribución de utilidades y pago de dividendos</t>
  </si>
  <si>
    <t>Modelo de acta del máximo órgano social para cambio de los miembros de junta directiva</t>
  </si>
  <si>
    <t>Modelo de acta de nombramiento del revisor fiscal</t>
  </si>
  <si>
    <t>Modelo de acta de asamblea general de accionistas</t>
  </si>
  <si>
    <t>Papeles de trabajo del auditor: cuestionarios de control interno para pymes</t>
  </si>
  <si>
    <t>Modelo de poder de representación para nombrar delegado en asamblea de copropietarios</t>
  </si>
  <si>
    <t>Cuestionario de auditoría y control interno para el área de nómina</t>
  </si>
  <si>
    <t>Cuestionario de auditoría y control interno para el área de ventas</t>
  </si>
  <si>
    <t>Modelo de convocatoria a asamblea general ordinaria de copropietarios</t>
  </si>
  <si>
    <t>Modelo de acta de reunión de junta directiva</t>
  </si>
  <si>
    <t>Modelo de acta de decisiones de asamblea de copropietarios</t>
  </si>
  <si>
    <t>Informe del revisor fiscal dirigido a la asamblea de accionistas o junta de socios</t>
  </si>
  <si>
    <t>Modelo de convocatoria a asamblea general ordinaria de socios o accionistas</t>
  </si>
  <si>
    <t>Modelo de convocatoria extraordinaria a asamblea de accionistas o junta de socios</t>
  </si>
  <si>
    <t>Modelo de poder de representación en asamblea de accionistas o junta de socios</t>
  </si>
  <si>
    <t>Modelo de informe de gestión</t>
  </si>
  <si>
    <t>Cuestionario de auditoría y control interno para el área de compras</t>
  </si>
  <si>
    <t>[Pack de Formatos] Liquidadores, simuladores y guías para el cierre contable y fiscal del año gravable 2023</t>
  </si>
  <si>
    <t>Formato de solicitud de permiso compensatorio por votaciones</t>
  </si>
  <si>
    <t>Modelo de solicitud de compensación y disfrute de vacaciones</t>
  </si>
  <si>
    <t>Cuestionario de auditoría en Excel para el control de propiedades, planta y equipo</t>
  </si>
  <si>
    <t>Cuestionario en Excel para el control interno de inventarios</t>
  </si>
  <si>
    <t>Cuestionario en Excel de control interno de provisiones y contingencias</t>
  </si>
  <si>
    <t>Caso práctico en Excel sobre adquisición de activos (inventarios) con interés implícito</t>
  </si>
  <si>
    <t>Guía en Excel y casos prácticos de tributación en el impuesto de renta de los dividendos y participaciones AG 2023</t>
  </si>
  <si>
    <t>Pack de Formatos para el análisis financiero en Excel</t>
  </si>
  <si>
    <t>Modelo de autorización de descuento por libranza</t>
  </si>
  <si>
    <t>Liquidador Dupont: índice de rentabilidad  </t>
  </si>
  <si>
    <t>Modelo en Excel de estructura del estado de resultados y ganancias acumuladas</t>
  </si>
  <si>
    <t>Clasificación de arrendamientos según la sección 20 del Estándar para Pymes: casos prácticos en Excel</t>
  </si>
  <si>
    <t>Guía en Excel para determinar el control de una entidad sobre otra</t>
  </si>
  <si>
    <t>Casos prácticos en Excel sobre la distribución de los CIF (costos indirectos de fabricación)</t>
  </si>
  <si>
    <t>Modelo de presentación del estado de resultado integral por enfoques</t>
  </si>
  <si>
    <t>Modelo de certificación de estados financieros (versión simplificada)</t>
  </si>
  <si>
    <t>Modelo de certificación de estados financieros consolidados</t>
  </si>
  <si>
    <t>Simulador de casos para clasificar instrumentos financieros como pasivos o patrimonio</t>
  </si>
  <si>
    <t>Guía en Excel sobre el sistema de facturación electrónica, documento soporte y nómina electrónica AG 2023</t>
  </si>
  <si>
    <t>Ejercicio práctico en Excel: valuación de inventarios por el método de identificación específica</t>
  </si>
  <si>
    <t>Liquidador en Excel para calcular la contribución 2023 a Supersociedades</t>
  </si>
  <si>
    <t>Caso práctico en Excel sobre bancarización en personas jurídicas</t>
  </si>
  <si>
    <t>Liquidador de indicadores financieros de actividad y rentabilidad</t>
  </si>
  <si>
    <t>Liquidador de indicadores financieros de endeudamiento</t>
  </si>
  <si>
    <t>Liquidador de indicadores financieros: márgenes de utilidad o rentabilidad</t>
  </si>
  <si>
    <t>Liquidador de indicadores financieros de liquidez</t>
  </si>
  <si>
    <t>Liquidador de indicadores financieros de mercado</t>
  </si>
  <si>
    <t>Modelo de cesión de acciones  </t>
  </si>
  <si>
    <t>Matriz en Excel: rentas exentas, descuentos, costos y deducciones para personas jurídicas en 2023</t>
  </si>
  <si>
    <t>Cuestionario de control interno para el efectivo y equivalentes al efectivo</t>
  </si>
  <si>
    <t>Pack de Formatos en Excel para calcular el impuesto diferido en 2023: guías, casos prácticos y más</t>
  </si>
  <si>
    <t>Modelo de políticas contables (nota) “base para la preparación de estados financieros” para Pymes</t>
  </si>
  <si>
    <t>Liquidador de actualización de sanciones tributarias</t>
  </si>
  <si>
    <t>Pack de Formatos para realizar contabilizaciones en operaciones diarias</t>
  </si>
  <si>
    <t>Casos prácticos de contabilización de sanciones e intereses tributarios a la Dian</t>
  </si>
  <si>
    <t>Liquidador y caso práctico para calcular y contabilizar horas extra y recargos durante la reducción de la jornada laboral en 2023</t>
  </si>
  <si>
    <t>Casos prácticos sobre contabilización de combinación de negocios y determinación de la plusvalía</t>
  </si>
  <si>
    <t>Plantilla para el control y auditoría del gasto de celulares</t>
  </si>
  <si>
    <t>Simulador para la aplicación de la renta exenta de las cesantías y sus intereses AG 2022 (numeral 4 del artículo 206 del ET)</t>
  </si>
  <si>
    <t>Liquidador en Excel con macros del porcentaje de retención en la fuente sobre salarios, procedimiento 1 (2023)</t>
  </si>
  <si>
    <t>Impuesto diferido por diferencia en cambio en 2023: caso práctico en Excel</t>
  </si>
  <si>
    <t>Caso práctico en Excel: impuesto diferido por deterioro de inventario en 2023</t>
  </si>
  <si>
    <t>Caso práctico en Excel: impuesto diferido por valorización de activos intangibles</t>
  </si>
  <si>
    <t>Ejercicios para determinar si una persona natural está obligada a presentar renta por el AG 2022</t>
  </si>
  <si>
    <t>Matriz y ejemplos de residencia fiscal de las personas naturales</t>
  </si>
  <si>
    <t>Aplicación del impuesto a los dividendos recibidos por personas naturales (caso práctico en Excel)</t>
  </si>
  <si>
    <t>Simulador para el cálculo del límite del descuento por impuestos pagados en el exterior</t>
  </si>
  <si>
    <t>Caso práctico de impuesto diferido: compensación de pérdidas fiscales y exceso de renta presuntiva</t>
  </si>
  <si>
    <t>Caso práctico en Excel: impuesto diferido por provisiones contables no aceptadas fiscalmente</t>
  </si>
  <si>
    <t>Impuesto diferido por activos biológicos en 2023: caso práctico en Excel</t>
  </si>
  <si>
    <t>Caso práctico en Excel de impuesto diferido por acciones medidas a valor razonable</t>
  </si>
  <si>
    <t>Impuesto diferido en la depreciación de propiedad, planta y equipo 2023 (caso práctico en Excel)</t>
  </si>
  <si>
    <t>Modelo en Excel: cálculo de intereses presuntivos en 2023 sobre préstamos entre socios y sociedades</t>
  </si>
  <si>
    <t>Caso práctico de determinación de la renta líquida cedular por pensiones del exterior</t>
  </si>
  <si>
    <t>Simulador del límite de pagos en efectivo a partir de 2018</t>
  </si>
  <si>
    <t>Liquidador del impuesto sobre la renta líquida de las cédulas general y de pensiones</t>
  </si>
  <si>
    <t>Caso práctico de determinación de la ganancia ocasional gravable de una persona natural residente</t>
  </si>
  <si>
    <t>Caso práctico sobre deducciones y descuentos tributarios con los cambios de la Ley 2277 de 2022</t>
  </si>
  <si>
    <t>Liquidador con macros del porcentaje fijo de retención en la fuente sobre salarios, procedimiento 2 (segundo semestre 2023)</t>
  </si>
  <si>
    <t>Caso práctico: cálculo del valor a adicionar y límites de beneficios tributarios</t>
  </si>
  <si>
    <t>Listado de contribuyentes inscritos en el régimen simple</t>
  </si>
  <si>
    <t>Ejemplo en Excel de la declaración de renta de un pensionado en Colombia</t>
  </si>
  <si>
    <t>Caso práctico en Excel: impuesto diferido por valoración de propiedades de inversión</t>
  </si>
  <si>
    <t>Pack de Formatos para profundizar en las novedades de la Ley de reforma tributaria 2277 de 2022</t>
  </si>
  <si>
    <t>Casos prácticos en Excel del impuesto al patrimonio AG 2023</t>
  </si>
  <si>
    <t>Impuesto diferido por venta de bienes inmuebles a largo plazo en 2023: caso práctico en Excel</t>
  </si>
  <si>
    <t>Guía en Excel y casos prácticos de tributación en el impuesto de renta de los dividendos y participaciones AG 2022</t>
  </si>
  <si>
    <t>Dividendos y sus retenciones: comparativo de normas del DUT 1625 de 2016 modificadas con el Decreto 1103 de 2023</t>
  </si>
  <si>
    <t>Impuesto diferido por gastos de establecimiento en 2023: caso práctico en Excel</t>
  </si>
  <si>
    <t>Impuesto diferido ante deterioro de cartera en 2023: caso práctico en Excel</t>
  </si>
  <si>
    <t>Ejercicio práctico en Excel: impuesto diferido cuando hay compensación de pérdidas fiscales</t>
  </si>
  <si>
    <t>Simulador del impuesto para dividendos y participaciones gravados de 2017 y siguientes</t>
  </si>
  <si>
    <t>Simulador del impuesto para dividendos y participaciones no gravados de 2017 y siguientes</t>
  </si>
  <si>
    <t>Modelo de contrato de mandato: descarga y simplifica tus procesos de delegación</t>
  </si>
  <si>
    <t>Lista de chequeo para trasladarse de régimen de pensiones: pasos esenciales a seguir</t>
  </si>
  <si>
    <t>Modelos y guías sobre aspectos laborales y comerciales que deben atender los trabajadores independientes</t>
  </si>
  <si>
    <t>Casos prácticos de liquidación y contabilización de sanciones por no inscribirse o actualizar el RUT</t>
  </si>
  <si>
    <t>Formulario 110 y formato 2516 para la declaración de renta de personas naturales no residentes que llevan contabilidad AG 2022</t>
  </si>
  <si>
    <t>Cuestionario para definir si una persona natural está obligada a presentar declaración de renta AG 2022</t>
  </si>
  <si>
    <t>Casos prácticos de retención en la fuente sobre prima de servicios</t>
  </si>
  <si>
    <t>Simulador del beneficio de auditoría para 2021, 2022 y 2023</t>
  </si>
  <si>
    <t>Formulario 110: declaración de renta de personas naturales no residentes que no llevan contabilidad AG 2022</t>
  </si>
  <si>
    <t>Pack de Formatos para elaborar la declaración de renta de personas naturales AG 2022</t>
  </si>
  <si>
    <t>Beneficio de auditoría para personas naturales AG 2022: casos prácticos en Excel</t>
  </si>
  <si>
    <t>Valor patrimonial de acciones y aportes en la declaración de renta de personas naturales AG 2022</t>
  </si>
  <si>
    <t>Lista de chequeo: soportes para preparación y presentación de la declaración de renta de personas naturales</t>
  </si>
  <si>
    <t>Notificación de embargo de la prima de servicios</t>
  </si>
  <si>
    <t>Formulario 210 y formato 2517 para la declaración de renta de personas naturales residentes que llevan contabilidad AG 2022</t>
  </si>
  <si>
    <t>Notificación a trabajadores que no tienen derecho a la prima de servicios</t>
  </si>
  <si>
    <t>Calendario tributario 2023 – versión automatizada en Excel</t>
  </si>
  <si>
    <t>Formulario 2593 AG 2023 en excel: declaración de anticipos bimestrales – régimen simple</t>
  </si>
  <si>
    <t>[Liquidador] Modelo en Excel para calcular la nueva «tasa mínima de tributación» de personas jurídicas, según Ley 2277 de reforma tributaria 2022</t>
  </si>
  <si>
    <t>Calendario tributario 2023 – versión para imprimir</t>
  </si>
  <si>
    <t>Liquidador en Excel del porcentaje fijo de retención en la fuente sobre salarios en junio de 2023 – Procedimiento 2</t>
  </si>
  <si>
    <t>Formulario 160 AG 2023 para la declaración de activos en el exterior</t>
  </si>
  <si>
    <t>Formulario 420 AG 2023 para la declaración del impuesto al patrimonio</t>
  </si>
  <si>
    <t>Formulario 210: declaración de renta de personas naturales residentes que no llevan contabilidad AG 2022</t>
  </si>
  <si>
    <t>Modelo de certificado de no declarante del impuesto de renta y complementario AG 2022</t>
  </si>
  <si>
    <t>Simulador: cálculo de la distribución de rentas exentas y deducciones limitadas</t>
  </si>
  <si>
    <t>Tratamiento del ICA como descuento o deducción en la declaración de renta personas naturales: caso práctico en Excel</t>
  </si>
  <si>
    <t>Plantilla para elaborar el formulario 300 para las declaraciones del IVA en 2023</t>
  </si>
  <si>
    <t>[Guía] Características básicas de la cedulación de personas naturales residentes AG 2022</t>
  </si>
  <si>
    <t>Modelo de carta para solicitar el certificado de donación para efectuar el descuento tributario</t>
  </si>
  <si>
    <t>[Pack de Formatos] Herramientas y guías para el reporte de información exógena 2022</t>
  </si>
  <si>
    <t>Casos prácticos de criptoactivos de una persona natural en la declaración de renta AG 2022</t>
  </si>
  <si>
    <t>Liquidador de aportes a caja de compensación para trabajadores independientes</t>
  </si>
  <si>
    <t>Herramienta con macros en Excel para elaborar y analizar estados financieros</t>
  </si>
  <si>
    <t>Plantilla en Excel del formulario 350 AG 2023 – declaración de retención en la fuente</t>
  </si>
  <si>
    <t>Plantilla del formulario 310 AG 2023: declaración del impuesto nacional al consumo</t>
  </si>
  <si>
    <t>Simulador con los efectos de los cambios introducidos por la Ley 2277 de 2022 al impuesto de renta bajo el régimen ordinario de las personas naturales residentes</t>
  </si>
  <si>
    <t>Liquidador en Excel del formulario 110 y el formato 2516: declaración de renta de personas jurídicas AG 2022</t>
  </si>
  <si>
    <t>Casos prácticos de liquidación de intereses moratorios y sanción de extemporaneidad, Ley 2277 de 2022</t>
  </si>
  <si>
    <t>Simulador del límite de costos y gastos no soportados en factura electrónica</t>
  </si>
  <si>
    <t>Plantilla del formato 1009 para el reporte de exógena 2022: información de cuentas por pagar</t>
  </si>
  <si>
    <t>Plantilla del formato 1008 para el reporte de exógena 2022: información de cuentas por cobrar</t>
  </si>
  <si>
    <t>Plantilla de los formatos 1011, 1012 y 2275 de exógena 2022 para el reporte de otros datos en renta e IVA</t>
  </si>
  <si>
    <t>Plantilla de los formatos 1005 y 1006 de exógena 2022 para el reporte del IVA descontable e IVA y/o INC generados</t>
  </si>
  <si>
    <t>Plantilla del formato 1007 para el reporte de exógena 2022: información de ingresos propios</t>
  </si>
  <si>
    <t>Plantilla del formato 1647 para el reporte de ingresos recibidos para terceros – exógena 2022</t>
  </si>
  <si>
    <t>Facturación electrónica: comparativo de normas del DUT 1625 de 2016 afectadas con el Decreto 442 de 2023</t>
  </si>
  <si>
    <t>Plantilla del formato 1004 de exógena de 2022: reporte de descuentos al impuesto de renta y el SIMPLE</t>
  </si>
  <si>
    <t>Plantilla del formato 1003 para el reporte de exógena 2022: retenciones que le practicaron al informante</t>
  </si>
  <si>
    <t>Plantilla de los formatos de exógena del 5247 al 5252 por el AG 2022: reportes de los mandatarios</t>
  </si>
  <si>
    <t>Pack de Formatos para elaborar la declaración de renta de personas jurídicas año gravable 2022</t>
  </si>
  <si>
    <t>Guía en Excel para auditar el formato 2516: conciliación fiscal de las personas jurídicas</t>
  </si>
  <si>
    <t>Requisitos para reportar información exógena por el AG 2022 (guía y casos prácticos)</t>
  </si>
  <si>
    <t>Plantilla del formato 1010 para reporte de exógena 2022: información de socios, cooperados o comuneros</t>
  </si>
  <si>
    <t>Casos prácticos sobre el reporte de información exógena AG 2022</t>
  </si>
  <si>
    <t>Liquidador en Excel de intereses moratorios sobre deudas tributarias</t>
  </si>
  <si>
    <t>Plantilla del formato 2276, 2280 y 2743 para el reporte de información exógena de 2022</t>
  </si>
  <si>
    <t>Plantilla del formato 1001 por el año gravable 2022: reporte de exógena de pagos o abonos en cuenta</t>
  </si>
  <si>
    <t>Guía en Excel para evitar errores en la presentación de información exógena</t>
  </si>
  <si>
    <t>[Liquidador] Certificado de ingresos y retenciones: plantilla del formulario 220 y del formato 2276 AG 2022</t>
  </si>
  <si>
    <t>Liquidador del anticipo del impuesto de renta 2023 para personas jurídicas y naturales</t>
  </si>
  <si>
    <t>Formulario 260 AG 2022 – declaración anual régimen simple (personas naturales que no llevan contabilidad)</t>
  </si>
  <si>
    <t>Matriz de categorías para el reporte de información exógena y los formatos para el AG 2022</t>
  </si>
  <si>
    <t>[Liquidador] Tributación sobre dividendos y cálculo de su retención luego de la Ley 2277 de 2022</t>
  </si>
  <si>
    <t>Modelo de certificación laboral para deducción del primer empleo</t>
  </si>
  <si>
    <t>Formatos para la liquidación de la nómina paso a paso</t>
  </si>
  <si>
    <t>Casos prácticos de liquidación de sanciones relacionadas con la información exógena</t>
  </si>
  <si>
    <t>Liquidador de seguridad social, parafiscales y prestaciones en vacaciones</t>
  </si>
  <si>
    <t>Modelo en Excel: cálculo de intereses presuntivos en 2022 sobre préstamos entre socios y sociedades</t>
  </si>
  <si>
    <t>Actualícese 110.xls: una herramienta amigable y eficiente para declaraciones de renta de personas jurídicas</t>
  </si>
  <si>
    <t>Excel interactivo: resultados de la Encuesta Actualícese ¿Cómo están realmente los honorarios profesionales del contador público?</t>
  </si>
  <si>
    <t>Caso práctico de liquidación de nómina cuando hay incapacidad</t>
  </si>
  <si>
    <t>Liquidador de nómina mensual de trabajador pensionado por vejez</t>
  </si>
  <si>
    <t>Formulario 260 AG 2022 – declaración anual régimen simple (personas naturales y jurídicas que llevan contabilidad)</t>
  </si>
  <si>
    <t>Liquidador de aportes en el piso de protección social: trabajadores dependientes e independientes</t>
  </si>
  <si>
    <t>Liquidador del costo de renovación de matrícula mercantil y de establecimientos de comercio (2023)</t>
  </si>
  <si>
    <t>[Pack de formatos] Modelos y guías para asambleas de accionistas, socios y copropietarios al cierre del AG 2022</t>
  </si>
  <si>
    <t>Modelo de acta de reunión de asamblea general para constituir una empresa o fundación</t>
  </si>
  <si>
    <t>Modelo de acta de cesión y venta de cuotas sociales a terceros en la sociedad de responsabilidad limitada</t>
  </si>
  <si>
    <t>Modelo de acta de reunión de junta de socios o asamblea general de accionistas por derecho propio</t>
  </si>
  <si>
    <t>Modelo de acta para la ampliación del término de duración de una sociedad</t>
  </si>
  <si>
    <t>Modelo de carta para notificar la exclusión de un socio de la sociedad</t>
  </si>
  <si>
    <t>Lista de chequeo de documentos presentados en la asamblea de accionistas o junta de socios</t>
  </si>
  <si>
    <t>Modelo de segunda convocatoria a asamblea general ordinaria de accionistas o junta de socios</t>
  </si>
  <si>
    <t>Planilla de asistencia y toma de decisiones en asamblea de accionistas o junta de socios</t>
  </si>
  <si>
    <t>[Guía] Clasificación de las personas jurídicas frente al impuesto de renta y al SIMPLE – AG 2022</t>
  </si>
  <si>
    <t>Liquidador de horas extra, diurnas, nocturnas, dominicales y festivas</t>
  </si>
  <si>
    <t>Histórico de salario mínimo y auxilio de transporte 1990-2023</t>
  </si>
  <si>
    <t>Histórico de la variación nominal del salario mínimo e inflación 1993-2023</t>
  </si>
  <si>
    <t>Modelo del certificado anual a socios y/o accionistas AG 2022</t>
  </si>
  <si>
    <t>Calendario tributario distrital 2023</t>
  </si>
  <si>
    <t>[Guía] Información laboral 2023</t>
  </si>
  <si>
    <t>[Pack de Formatos] 30 dictámenes e informes del revisor fiscal al cierre del AG 2022</t>
  </si>
  <si>
    <t>Tabla de retención en la fuente 2023</t>
  </si>
  <si>
    <t>Tablas de retención en la fuente 2023 a título de impuestos nacionales</t>
  </si>
  <si>
    <t>Liquidador de cesantías en Excel aplicado a 11 casos prácticos</t>
  </si>
  <si>
    <t>Liquidador de retención en la fuente con procedimiento 1 durante 2023 sobre rentas de trabajo (laborales y no laborales)</t>
  </si>
  <si>
    <t>Histórico de la TRM en 2022</t>
  </si>
  <si>
    <t>Histórico de tasas de intereses moratorios Dian</t>
  </si>
  <si>
    <t>Liquidador e histórico de porcentajes de reajuste fiscal 2005-2022</t>
  </si>
  <si>
    <t>Listado de convenios internacionales para evitar la doble tributación – año gravable 2022 y 2023</t>
  </si>
  <si>
    <t>Informe del revisor fiscal sobre el control interno: manifestación sobre pruebas de cumplimiento y sustantivas</t>
  </si>
  <si>
    <t>Informe de auditoría sobre un solo estado financiero, elemento, partida o cuenta específicos</t>
  </si>
  <si>
    <t>Informe sobre los hallazgos obtenidos en el efectivo y equivalentes al efectivo, según la NISR 4400</t>
  </si>
  <si>
    <t>Simulador en Excel para realizar la liquidación de contrato de trabajo</t>
  </si>
  <si>
    <t>Certificación del contador o revisor fiscal para la inscripción de libros en la cámara de comercio</t>
  </si>
  <si>
    <t>Informe de revisión de información financiera intermedia: conclusión sin salvedades</t>
  </si>
  <si>
    <t>Informe de revisión de información financiera intermedia: conclusión con salvedades</t>
  </si>
  <si>
    <t>Dictamen del revisor fiscal para empresas en liquidación: opinión favorable</t>
  </si>
  <si>
    <t>Informe de verificación del cumplimiento de requerimientos del programa de incentivo por creación de nuevos empleos, según la NISR 4400</t>
  </si>
  <si>
    <t>Liquidador del costo de la contratación de un trabajador: salario mínimo 2023</t>
  </si>
  <si>
    <t>Cuadro temático con las normas afectadas por la Ley de reforma tributaria 2277 de 2022</t>
  </si>
  <si>
    <t>Informe sobre los hallazgos obtenidos en las cuentas por pagar, según la NISR 4400</t>
  </si>
  <si>
    <t>Informe de verificación del cumplimiento de los requerimientos del Paef, según la NISR 4400</t>
  </si>
  <si>
    <t>[Pack de Formatos] 30 formatos de análisis financiero en Excel</t>
  </si>
  <si>
    <t>Informe de verificación del cumplimiento del sistema de facturación y nómina electrónica, según la NISR 4400</t>
  </si>
  <si>
    <t>Guía en Word con los principales cambios en el impuesto de renta de personas jurídicas, Ley 2277 de reforma tributaria 2022</t>
  </si>
  <si>
    <t>Liquidador en Excel del porcentaje fijo de retención en la fuente sobre salarios en diciembre de 2022 – Procedimiento 2</t>
  </si>
  <si>
    <t>Modelo en Excel para calcular el valor del impuesto a las bebidas azucaradas, según Ley 2277 de reforma tributaria 2022</t>
  </si>
  <si>
    <t>Métodos de medición de activos y pasivos según el Estándar para Pymes</t>
  </si>
  <si>
    <t>Informe de compilación de estados financieros con fines generales</t>
  </si>
  <si>
    <t>Dictamen del revisor fiscal en entidades del grupo 3 (opinión favorable)</t>
  </si>
  <si>
    <t>Liquidador y desprendible de nómina básico en Excel</t>
  </si>
  <si>
    <t>Dictamen del revisor fiscal con comunicación de cuestiones clave y párrafo de énfasis</t>
  </si>
  <si>
    <t>Dictamen de estados financieros consolidados: opinión desfavorable por incorrección material</t>
  </si>
  <si>
    <t>Dictamen del revisor fiscal con párrafos de cuestiones clave y de otras cuestiones</t>
  </si>
  <si>
    <t>Dictamen de estados financieros consolidados: opinión sin salvedades</t>
  </si>
  <si>
    <t>Lista de convenios internacionales para evitar la doble tributación – año gravable 2021</t>
  </si>
  <si>
    <t>Liquidador Dupont: índice de rentabilidad</t>
  </si>
  <si>
    <t>Dictamen del revisor fiscal con opinión adversa o desfavorable</t>
  </si>
  <si>
    <t>Guía en Excel y casos prácticos de tributación en el impuesto de renta de los dividendos y participaciones 2022</t>
  </si>
  <si>
    <t>Casos prácticos de liquidación de aportes a seguridad social de independientes con varios contratos de prestación de servicios</t>
  </si>
  <si>
    <t>[Liquidador] Grados de apalancamiento operativo, financiero y combinado</t>
  </si>
  <si>
    <t>Pack de Formatos para el cierre contable y fiscal del año gravable 2022</t>
  </si>
  <si>
    <t>[Liquidador] Caso práctico en Excel sobre bancarización por el año gravable 2022</t>
  </si>
  <si>
    <t>[Liquidador] Casos prácticos en Excel con las diferencias más comunes en el proceso de conciliación fiscal de personas jurídicas</t>
  </si>
  <si>
    <t>[Liquidador] Casos prácticos en Excel de liquidación de aportes a seguridad social de independientes del transporte de carga</t>
  </si>
  <si>
    <t>Dictamen del revisor fiscal con denegación (abstención) de opinión por no obtener evidencia</t>
  </si>
  <si>
    <t>Modelo de certificado para acceder al incentivo a la creación de nuevos empleos</t>
  </si>
  <si>
    <t>Guía en Excel con los principales índices de coherencia tributaria para las personas jurídicas</t>
  </si>
  <si>
    <t>[Guía] Modelo de notas a los estados financieros (estado de resultados)</t>
  </si>
  <si>
    <t>[Guía] Funciones, responsabilidades y conocimientos para aplicar al cargo de contador público de una empresa industrial</t>
  </si>
  <si>
    <t>Análisis en Excel de la información de ventas y su pronóstico utilizando el método del índice de estacionalidad</t>
  </si>
  <si>
    <t>Carta de solicitud de licencia no remunerada</t>
  </si>
  <si>
    <t>Cuenta de cobro para una persona que presta servicios y no es responsable del IVA</t>
  </si>
  <si>
    <t>[Liquidador] Casos prácticos en Excel de análisis de propuestas de inversión con el uso del valor presente y valor presente neto</t>
  </si>
  <si>
    <t>[Liquidador] Ejercicios de conversión entre tasas de interés efectiva, nominal y periódica</t>
  </si>
  <si>
    <t>[Liquidador] Modelo para la elaboración de estados financieros y pautas para el análisis financiero</t>
  </si>
  <si>
    <t>[Guía] Modelo en Word de nota 2 a los estados financieros: bases de elaboración y política contable bajo el Estándar para Pymes</t>
  </si>
  <si>
    <t>Formulario en Excel (con macros) de reclamos del usuario o cliente</t>
  </si>
  <si>
    <t>[Carta] Modelo en Word de reclamación directa contra proveedor o productor</t>
  </si>
  <si>
    <t>Lista de chequeo en Excel de las etapas requeridas en el proceso presupuestal</t>
  </si>
  <si>
    <t>[Guía] Plantilla en Excel (con macros) de la nota crédito</t>
  </si>
  <si>
    <t>[Guía] Plantilla en Excel (con macros) de la nota débito</t>
  </si>
  <si>
    <t>[Guía] Informe de entrega del cargo de contador externo a la dirección de una entidad</t>
  </si>
  <si>
    <t>Caso práctico en Excel de contabilización de ingresos en contratos de construcción</t>
  </si>
  <si>
    <t>Modelo en Word de reclamación por garantía sobre bienes o servicios</t>
  </si>
  <si>
    <t>[Pack de Formatos] Casos prácticos en Excel sobre impuesto diferido en 2022</t>
  </si>
  <si>
    <t>[Liquidador] Kárdex por el método del promedio ponderado: caso práctico en Excel</t>
  </si>
  <si>
    <t>Caso práctico en Excel: contabilización de beneficios a empleados por terminación</t>
  </si>
  <si>
    <t>[Liquidador] Casos prácticos en Excel de contabilización de contratos de renting</t>
  </si>
  <si>
    <t>[Guía] Modelo de notas a los estados financieros (estado de situación financiera)</t>
  </si>
  <si>
    <t>[Guía] Modelo en Excel de la estructura del balance de comprobación</t>
  </si>
  <si>
    <t>[Guía] Matriz en Excel de costos y deducciones de las personas jurídicas en 2022</t>
  </si>
  <si>
    <t>Casos prácticos de liquidación de seguridad social de independientes con contrato de prestación de servicios</t>
  </si>
  <si>
    <t>[Guía] Caso práctico en Excel: utilidad del impuesto diferido en la corrección del efecto de las normas fiscales</t>
  </si>
  <si>
    <t>[Liquidador] Casos prácticos sobre métodos para determinar la naturaleza del impuesto diferido</t>
  </si>
  <si>
    <t>[Guía] Plantilla en Excel (con macros) del estado de costos de producción y de ventas</t>
  </si>
  <si>
    <t>[Guía] Plantilla para clasificar una entidad en un grupo de aplicación de los Estándares Internacionales</t>
  </si>
  <si>
    <t>[Guía] Matriz en Excel: rentas exentas y descuentos tributarios de las personas jurídicas en 2022</t>
  </si>
  <si>
    <t>[Liquidador] Casos prácticos de liquidación de aportes a seguridad social de independientes cuenta propia y rentistas de capital</t>
  </si>
  <si>
    <t>Guía en Excel para revisiones pertinentes en propiedad, planta y equipo en el proceso de cierre contable</t>
  </si>
  <si>
    <t>[Liquidador] Formato en Excel de circularización de proveedores automatizado</t>
  </si>
  <si>
    <t>[Liquidador] Impuesto diferido por venta de bienes inmuebles a largo plazo en 2022: caso práctico en Excel</t>
  </si>
  <si>
    <t>[Liquidador] Liquidador en Excel del capital de trabajo</t>
  </si>
  <si>
    <t>[Liquidador] Impuesto diferido ante deterioro de cartera en 2022: caso práctico en Excel</t>
  </si>
  <si>
    <t>Impuesto diferido por gastos de establecimiento en 2022: caso práctico en Excel</t>
  </si>
  <si>
    <t>[Contrato] Modelo en Word de acuerdo de pago</t>
  </si>
  <si>
    <t>[Guía] Modelo de presentación del estado de resultado integral por enfoques</t>
  </si>
  <si>
    <t>Modelo de certificado de ingresos de persona natural</t>
  </si>
  <si>
    <t>Caso práctico en Excel: impuesto diferido por deterioro de inventario en 2022</t>
  </si>
  <si>
    <t>Impuesto diferido por diferencia en cambio en 2022: caso práctico en Excel</t>
  </si>
  <si>
    <t>Impuesto diferido en la depreciación de propiedad, planta y equipo 2022 (caso práctico en Excel)</t>
  </si>
  <si>
    <t>Caso práctico en Excel de evaluación de diferencias temporarias, temporales y permanentes</t>
  </si>
  <si>
    <t>Carta de finalización de un contrato de prestación de servicios</t>
  </si>
  <si>
    <t>Modelo en Excel de solicitud de permiso laboral</t>
  </si>
  <si>
    <t>Caso práctico en Excel: impuesto diferido por provisiones no aceptadas fiscalmente</t>
  </si>
  <si>
    <t>Impuesto diferido por activos biológicos en 2022: caso práctico en Excel</t>
  </si>
  <si>
    <t>Guía y casos prácticos en Excel para la medición de inversiones según el Estándar Internacional</t>
  </si>
  <si>
    <t>Carta en Word de aviso a empleados para la elección del fondo de cesantías</t>
  </si>
  <si>
    <t>Cálculo del costo amortizado y la TIR</t>
  </si>
  <si>
    <t>Liquidador en Excel de aportes a ARL para trabajadores independientes</t>
  </si>
  <si>
    <t>[Guía] Formato en Excel para reembolso de caja menor</t>
  </si>
  <si>
    <t>Modelo en Excel de orden de compra</t>
  </si>
  <si>
    <t>Casos prácticos en Excel del efecto del cálculo del valor residual en el estado de resultados</t>
  </si>
  <si>
    <t>[Pack de formatos] Pack de Formatos para gestionar tus finanzas personales</t>
  </si>
  <si>
    <t>Ejemplos de reconocimiento de provisiones y pasivos contingentes según el Estándar para Pymes</t>
  </si>
  <si>
    <t>Liquidador en Excel para calcular la contribución 2022 a la Supersociedades</t>
  </si>
  <si>
    <t>[Liquidador] Caso práctico en Excel: contabilización de reembolso de caja menor</t>
  </si>
  <si>
    <t>Modelo de llamado de atención</t>
  </si>
  <si>
    <t>[Guía] Modelo de políticas contables “Base para la preparación de Estados Financieros” bajo el Estándar Internacional para Pymes</t>
  </si>
  <si>
    <t>Informe en Word de entrega de soportes de declaración de renta de persona natural</t>
  </si>
  <si>
    <t>Simulador en Excel de firmeza de las declaraciones de renta del año gravable 2021</t>
  </si>
  <si>
    <t>Carta en Word de aceptación de renuncia de trabajador</t>
  </si>
  <si>
    <t>Modelo de nota 1 a los Estados Financieros bajo el Estándar para Pymes</t>
  </si>
  <si>
    <t>[Liquidador] Casos prácticos en Excel de contabilización de utilidades y dividendos</t>
  </si>
  <si>
    <t>[Liquidador] Casos prácticos en Excel de contabilización de aportes a capital social</t>
  </si>
  <si>
    <t>Formulario 210: declaración de renta de personas naturales residentes que no llevan contabilidad AG 2021</t>
  </si>
  <si>
    <t>[Liquidador] Casos prácticos en Excel de contabilización de inversiones en criptomonedas</t>
  </si>
  <si>
    <t>[Liquidador] Casos prácticos en Excel de contabilización de inversiones en CDT</t>
  </si>
  <si>
    <t>Solicitud al banco por desacuerdo en estado de cuenta o extracto</t>
  </si>
  <si>
    <t>Casos prácticos de contabilización de venta de activos fijos</t>
  </si>
  <si>
    <t>Formato de arqueo de caja menor</t>
  </si>
  <si>
    <t>Formato de arqueo de caja general</t>
  </si>
  <si>
    <t>Liquidador de aportes a seguridad social de independientes por cuenta propia y rentistas de capital</t>
  </si>
  <si>
    <t>Solicitud de cancelación de cuenta bancaria</t>
  </si>
  <si>
    <t>Caso práctico de baja de cuentas por cobrar</t>
  </si>
  <si>
    <t>Caso práctico de contabilización de cheques devueltos</t>
  </si>
  <si>
    <t>Proyecto de reforma tributaria de Petro: cuadro temático de las normas que se modificarían</t>
  </si>
  <si>
    <t>Certificación de mora en propiedad horizontal</t>
  </si>
  <si>
    <t>Casos prácticos de contabilización de compras con tarjetas de crédito</t>
  </si>
  <si>
    <t>Solicitud de retiro de cesantías para estudio</t>
  </si>
  <si>
    <t>Caso práctico de contabilización de compras a crédito</t>
  </si>
  <si>
    <t>Caso práctico de contabilización de compras de contado</t>
  </si>
  <si>
    <t>Liquidador de refinanciación de deuda: método ecuación de valor equivalente</t>
  </si>
  <si>
    <t>Derecho de petición para solicitar información a entidad financiera</t>
  </si>
  <si>
    <t>Liquidador del nivel de endeudamiento de una persona</t>
  </si>
  <si>
    <t>Solicitud de inversión de capital</t>
  </si>
  <si>
    <t>Simulador de CDT</t>
  </si>
  <si>
    <t>Caso práctico de contabilización de impuestos asumidos</t>
  </si>
  <si>
    <t>Casos prácticos de contabilización de ventas de contado y a crédito</t>
  </si>
  <si>
    <t>Modelo para proyectar el presupuesto personal del contador</t>
  </si>
  <si>
    <t>Solicitud de certificado de inversiones realizadas en una entidad</t>
  </si>
  <si>
    <t>Modelo de propuesta de proyecto empresarial</t>
  </si>
  <si>
    <t>Caso práctico de contabilización de incapacidades laborales</t>
  </si>
  <si>
    <t>Modelo de contrato de teletrabajo</t>
  </si>
  <si>
    <t>Comparativo de normas del DUT 1625 de 2016 sobre el beneficio de obras por impuestos afectadas con el Decreto 1208 de 2022</t>
  </si>
  <si>
    <t>20 liquidadores de sanciones y procedimiento tributario 2022</t>
  </si>
  <si>
    <t>Caso práctico de contabilización de prestaciones sociales y vacaciones</t>
  </si>
  <si>
    <t>Beneficio de auditoría para personas naturales AG 2021: casos prácticos en Excel</t>
  </si>
  <si>
    <t>Casos prácticos del cálculo de la materialidad en auditoría</t>
  </si>
  <si>
    <t>Formato de circularización de clientes automatizado</t>
  </si>
  <si>
    <t>Contabilización de sobregiros bancarios (caso práctico)</t>
  </si>
  <si>
    <t>Cálculo del anticipo de impuesto de renta (casos prácticos)</t>
  </si>
  <si>
    <t>Carta de solicitud de inmovilización de cesantías para adquisición de vivienda</t>
  </si>
  <si>
    <t>Formato de control de vacaciones de empleados</t>
  </si>
  <si>
    <t>Modelo para tramitar una queja ante la Superintendencia Financiera de Colombia</t>
  </si>
  <si>
    <t>Modelo para calcular cuota variable de un crédito con abonos a capital iguales</t>
  </si>
  <si>
    <t>Abonos a capital realizados a un préstamo en un rango de tiempo</t>
  </si>
  <si>
    <t>Cálculo de intereses pagados por un préstamo en un rango de tiempo determinado</t>
  </si>
  <si>
    <t>Número de cuotas o pagos de un proyecto de financiación o inversión</t>
  </si>
  <si>
    <t>Calculadora de fechas</t>
  </si>
  <si>
    <t>Solicitud de acuerdo de pago para saldar obligación financiera</t>
  </si>
  <si>
    <t>Casos prácticos del valor patrimonial de los vehículos en la declaración de renta de personas naturales</t>
  </si>
  <si>
    <t>Plantilla para elaborar el presupuesto de consumo de materiales (costos variables)</t>
  </si>
  <si>
    <t>Ejercicios para determinar si una persona natural está obligada a presentar renta por el AG 2021</t>
  </si>
  <si>
    <t>Caso práctico del tratamiento de las cesantías en la declaración de renta</t>
  </si>
  <si>
    <t>Formato de quejas y reclamos</t>
  </si>
  <si>
    <t>Formulario 160 AG 2022 para la declaración de activos en el exterior</t>
  </si>
  <si>
    <t>Modelo de carta para notificar vacaciones a empleados</t>
  </si>
  <si>
    <t>Sanción por inexactitud para declarantes de ingresos y patrimonio</t>
  </si>
  <si>
    <t>Caso práctico de impuesto diferido por mejoras en propiedades ajenas</t>
  </si>
  <si>
    <t>Caso práctico: aportes del Paef en la declaración de renta de personas naturales</t>
  </si>
  <si>
    <t>Casos prácticos de sanción por extemporaneidad después de emplazamiento</t>
  </si>
  <si>
    <t>Casos prácticos de contabilización de inventarios en pymes</t>
  </si>
  <si>
    <t>Plantilla para el control del incremento de salario de empleados</t>
  </si>
  <si>
    <t>[Pack de formatos] Guías laborales para notificaciones por parte del empleador</t>
  </si>
  <si>
    <t>Plantilla automática para el control y auditoría del gasto de servicios públicos</t>
  </si>
  <si>
    <t>Casos prácticos de sanción por extemporaneidad antes de emplazamiento</t>
  </si>
  <si>
    <t>Valor patrimonial de acciones y aportes en la declaración de renta de personas naturales AG 2021</t>
  </si>
  <si>
    <t>Modelo de política de desconexión laboral</t>
  </si>
  <si>
    <t>Carta de recomendación</t>
  </si>
  <si>
    <t>Carta de terminación del contrato por dificultades económicas del empleador</t>
  </si>
  <si>
    <t>Notificación de vacaciones colectivas</t>
  </si>
  <si>
    <t>Modelo de certificación para notificar al empleado exámenes médicos ocupacionales</t>
  </si>
  <si>
    <t>Certificado de prácticas laborales realizadas por el estudiante o pasante</t>
  </si>
  <si>
    <t>Carta para retiro de cesantías por terminación del contrato laboral</t>
  </si>
  <si>
    <t>Diferencias principales en el impuesto de renta AG 2021 para personas naturales obligadas y no obligadas a llevar contabilidad</t>
  </si>
  <si>
    <t>Acuerdo para pago de auxilios extralegales o no salariales</t>
  </si>
  <si>
    <t>Carta de bienvenida para un nuevo trabajador</t>
  </si>
  <si>
    <t>Carta deseando felices fiestas a empleados</t>
  </si>
  <si>
    <t>Carta para invitar al empleado a disfrutar del día de la familia</t>
  </si>
  <si>
    <t>Control de disfrute del día de la familia (planilla en Excel)</t>
  </si>
  <si>
    <t>Guía y casos prácticos de tributación en el impuesto de renta de los dividendos y participaciones AG 2021</t>
  </si>
  <si>
    <t>Casos prácticos de liquidación de intereses moratorios de obligaciones tributarias</t>
  </si>
  <si>
    <t>Caso práctico de liquidación de nómina en junio de trabajador que devenga el salario mínimo 2022</t>
  </si>
  <si>
    <t>Liquidador de sanción por no presentar la conciliación fiscal</t>
  </si>
  <si>
    <t>Casos prácticos de contabilización de donaciones</t>
  </si>
  <si>
    <t>Matriz y 9 ejemplos de residencia fiscal de las personas naturales</t>
  </si>
  <si>
    <t>Liquidador de sanciones aplicables a la documentación comprobatoria</t>
  </si>
  <si>
    <t>Liquidador de sanciones relacionadas con la declaración informativa de precios de transferencia</t>
  </si>
  <si>
    <t>Carta para solicitar acuerdo de pago para obligaciones vencidas ante la Dian</t>
  </si>
  <si>
    <t>Carta de solicitud de desembargo de bienes ante la Dian</t>
  </si>
  <si>
    <t>Formato de estado de flujos de efectivo</t>
  </si>
  <si>
    <t>Formato de cotización comercial</t>
  </si>
  <si>
    <t>Casos prácticos de determinación del valor patrimonial de los bienes inmuebles de personas naturales</t>
  </si>
  <si>
    <t>Pack de 33 formatos para la declaración de renta de personas naturales 2021</t>
  </si>
  <si>
    <t>Modelo de carta de renuncia del revisor fiscal</t>
  </si>
  <si>
    <t>Guía para muestra de auditoría simple y aleatoria</t>
  </si>
  <si>
    <t>Modelo de certificación del revisor fiscal sobre pagos a la seguridad social y parafiscales</t>
  </si>
  <si>
    <t>Calendario tributario 2022 – versión para imprimir</t>
  </si>
  <si>
    <t>Calendario tributario 2022 – versión automatizada en Excel</t>
  </si>
  <si>
    <t>Simulador del impuesto de renta de personas naturales (honorarios o compensación de servicios)</t>
  </si>
  <si>
    <t>Modelo de convenio de prácticas estudiantiles profesionales</t>
  </si>
  <si>
    <t>Modelo de contrato de prestación de servicios de revisoría fiscal</t>
  </si>
  <si>
    <t>Implicaciones básicas de ser residente fiscal frente al impuesto de renta de personas naturales AG 2021</t>
  </si>
  <si>
    <t>Liquidador de porcentaje fijo de retención en la fuente sobre salarios en junio de 2022 – procedimiento 2</t>
  </si>
  <si>
    <t>20 formatos para elaborar contratos de trabajo</t>
  </si>
  <si>
    <t>Modelo de contrato de aprendizaje</t>
  </si>
  <si>
    <t>Formato de acuerdo de confidencialidad</t>
  </si>
  <si>
    <t>Contrato de trabajo de servicio doméstico al día</t>
  </si>
  <si>
    <t>Carta de preaviso de terminación del contrato a término fijo</t>
  </si>
  <si>
    <t>Contrato de trabajo con salario integral a término fijo e indefinido</t>
  </si>
  <si>
    <t>Acuerdo de suspensión del contrato de trabajo</t>
  </si>
  <si>
    <t>Contrato de trabajo con menor de edad a término indefinido</t>
  </si>
  <si>
    <t>Casos prácticos de depuración del impuesto de ganancia ocasional en 4 escenarios</t>
  </si>
  <si>
    <t>Formulario 110 y formato 2516 AG 2021 – declaración de renta de personas naturales no residentes que llevan contabilidad</t>
  </si>
  <si>
    <t>Caso práctico de descuento por pronto pago en pymes y microempresas</t>
  </si>
  <si>
    <t>Lista de chequeo: documentos para elaborar la declaración de renta de personas naturales</t>
  </si>
  <si>
    <t>Normas del impuesto de renta de personas naturales que sufrieron cambios para el AG 2021</t>
  </si>
  <si>
    <t>Lista de documentos para la terminación laboral cuando el trabajador se retira</t>
  </si>
  <si>
    <t>Modelo de comunicación para la habilitación del trabajo en casa</t>
  </si>
  <si>
    <t>Formulario 110 AG 2021 – declaración de renta de personas naturales no residentes que no llevan contabilidad</t>
  </si>
  <si>
    <t>Modelo de contrato de trabajo de servicio doméstico a término fijo</t>
  </si>
  <si>
    <t>Modelo de contrato de trabajo de auxiliar contable a término indefinido</t>
  </si>
  <si>
    <t>Formulario 210 y formato 2517 para la declaración de renta AG 2021 – residentes que llevan contabilidad</t>
  </si>
  <si>
    <t>10 liquidadores de sanción por no declarar</t>
  </si>
  <si>
    <t>Caso práctico de criptoactivos de una persona natural en la declaración de renta AG 2021</t>
  </si>
  <si>
    <t>Comparativo de normas del DUT 1625 de 2016 relacionadas con el RUT y afectadas por el Decreto 678 de 2022</t>
  </si>
  <si>
    <t>Modelo de contrato de trabajo remoto</t>
  </si>
  <si>
    <t>Caso práctico de liquidación de un trabajador doméstico que devenga el salario mínimo en 2022</t>
  </si>
  <si>
    <t>Ejercicio en Excel de depreciación en línea recta según la limitación del artículo 137 del ET</t>
  </si>
  <si>
    <t>Excel del formulario 2593 AG 2022: declaración de anticipos bimestrales – régimen simple</t>
  </si>
  <si>
    <t>Modelo de citación a descargos en la propiedad horizontal</t>
  </si>
  <si>
    <t>Modelo de notificación de sanción disciplinaria a trabajador</t>
  </si>
  <si>
    <t>Lista de chequeo de documentos para contratación laboral a solicitar al trabajador</t>
  </si>
  <si>
    <t>Modelo de contrato de prestación de servicios de auditoría externa</t>
  </si>
  <si>
    <t>Matriz de características básicas de la depuración de las 3 cédulas del formulario 210 AG 2021</t>
  </si>
  <si>
    <t>Modelo para el incremento anual del arrendamiento comercial</t>
  </si>
  <si>
    <t>Liquidador para determinar la periodicidad del IVA</t>
  </si>
  <si>
    <t>Simulador para que independientes decidan si restan costos o gastos, o renta exenta del 25 %</t>
  </si>
  <si>
    <t>Modelos de certificación de dependientes para deducción en declaración de renta</t>
  </si>
  <si>
    <t>Ejemplo de la depuración de la sección de rentas de capital del formulario 210</t>
  </si>
  <si>
    <t>Modelo de derecho de petición para solicitar certificado laboral</t>
  </si>
  <si>
    <t>Depuración de la sección de rentas no laborales del formulario 210 (caso práctico en Excel)</t>
  </si>
  <si>
    <t>Tratamiento del ICA como descuento o deducción para personas naturales: caso práctico en Excel</t>
  </si>
  <si>
    <t>Formulario 260 AG 2021 – declaración anual del régimen simple (personas naturales que no llevan contabilidad)</t>
  </si>
  <si>
    <t>Formulario 260 AG 2021 – declaración anual régimen simple (personas naturales y jurídicas que llevan contabilidad)</t>
  </si>
  <si>
    <t>Certificado de no declarante del impuesto de renta y complementario 2021</t>
  </si>
  <si>
    <t>[Pack de Formatos] 30 formatos para elaborar la declaración de renta de personas jurídicas año gravable 2021</t>
  </si>
  <si>
    <t>Matriz de categorías para el reporte de información exógena y los formatos para el año gravable 2021</t>
  </si>
  <si>
    <t>Plantilla del formato 1001 por el año gravable 2021: reporte de exógena de pagos o abonos en cuenta</t>
  </si>
  <si>
    <t>Plantilla del formato 2276 y del 2280 para el reporte de información exógena de 2021</t>
  </si>
  <si>
    <t>Plantilla de los formatos 1005 y 1006 para el reporte de exógena 2021: reportes de IVA generados y descontables</t>
  </si>
  <si>
    <t>Plantilla del formato 1003 para el reporte de exógena 2021: retenciones que le practicaron al informante</t>
  </si>
  <si>
    <t>Plantilla de formatos 1011, 1012 y 2275 de exógena: reporte de otros datos en renta e IVA en 2021</t>
  </si>
  <si>
    <t>Plantilla del formato 1009 para el reporte de exógena 2021: información de cuentas por pagar</t>
  </si>
  <si>
    <t>Plantilla de los formatos de exógena por el año gravable 2021: reportes de los mandatarios</t>
  </si>
  <si>
    <t>Plantilla del formato 1008 para el reporte de exógena 2021: información de cuentas por cobrar</t>
  </si>
  <si>
    <t>Plantilla del formato 1010 para reporte de exógena 2021: información de socios, cooperados o comuneros</t>
  </si>
  <si>
    <t>Plantilla del formato 1007 para el reporte de exógena 2021: información de ingresos propios</t>
  </si>
  <si>
    <t>Plantilla del formato 1647 para el reporte de ingresos recibidos para terceros – exógena 2021</t>
  </si>
  <si>
    <t>Plantilla del formato 1004 de exógena de 2021: reporte de descuentos al impuesto de renta y el SIMPLE</t>
  </si>
  <si>
    <t>[Pack de Formatos] Guías para el reporte de información exógena 2021: ¡descárgalas ya!</t>
  </si>
  <si>
    <t>Modelo de certificado laboral para deducción del primer empleo</t>
  </si>
  <si>
    <t>31 casos prácticos sobre el reporte de información exógena por el año gravable 2021</t>
  </si>
  <si>
    <t>Liquidador del costo de renovación de matrícula mercantil y de establecimientos de comercio (2022)</t>
  </si>
  <si>
    <t>Histórico de la TRM en 2021</t>
  </si>
  <si>
    <t>Formulario 310 AG 2022: declaración del impuesto nacional al consumo (plantilla para borrador)</t>
  </si>
  <si>
    <t>Listado de códigos de usuario aduanero para diligenciar la casilla 54 del RUT</t>
  </si>
  <si>
    <t>[2022] Histórico de salario mínimo y auxilio de transporte</t>
  </si>
  <si>
    <t>[2022] Histórico de la variación nominal del salario mínimo vs. la inflación 1993-2022</t>
  </si>
  <si>
    <t>Guía para auditar el formato 2516 AG 2021: conciliación fiscal de las personas jurídicas</t>
  </si>
  <si>
    <t>Liquidador del anticipo del impuesto de renta 2022 para personas jurídicas y naturales</t>
  </si>
  <si>
    <t>Liquidador del formulario 110 y formato 2516: declaración de renta de personas jurídicas AG 2021</t>
  </si>
  <si>
    <t>Contabilización de los ingresos del Paef y otros beneficios laborales: ejercicio en Excel</t>
  </si>
  <si>
    <t>Casos prácticos en Excel sobre ventas en los días sin IVA en 2022</t>
  </si>
  <si>
    <t>Certificado de ingresos y retenciones: plantilla del formulario 220 y del formato 2276 – AG 2021</t>
  </si>
  <si>
    <t>Modelo de certificado de donación para que proceda descuento tributario en la declaración de renta</t>
  </si>
  <si>
    <t>Certificación de baja de inventarios por obsolescencia</t>
  </si>
  <si>
    <t>Modelo de certificado laboral</t>
  </si>
  <si>
    <t>Carta para notificar un incremento de salario</t>
  </si>
  <si>
    <t>Calendario de implementación del documento soporte de pago de nómina electrónica</t>
  </si>
  <si>
    <t>Dictámenes e informes del revisor fiscal actualizados al 2022</t>
  </si>
  <si>
    <t>Caso práctico de liquidación de nómina con salario integral 2022</t>
  </si>
  <si>
    <t>Informe de verificación del cumplimiento del sistema de facturación y nómina electrónica</t>
  </si>
  <si>
    <t>Listado de códigos de responsabilidades tributarias (casilla 53 del RUT)</t>
  </si>
  <si>
    <t>Informe NISR 4400 para revisión de requerimientos del programa de incentivo por creación de nuevos empleos</t>
  </si>
  <si>
    <t>Informe del revisor fiscal al finalizar el encargo</t>
  </si>
  <si>
    <t>[Carta] Propuesta para la prestación de servicios de revisoría fiscal en una copropiedad</t>
  </si>
  <si>
    <t>Tabla de retención en la fuente 2022</t>
  </si>
  <si>
    <t>Informe NISR 4400 de revisión de ingresos para acceder al apoyo a empresas afectadas por el paro nacional</t>
  </si>
  <si>
    <t>Dictamen de revisor fiscal con comunicación de cuestiones clave y párrafo de énfasis</t>
  </si>
  <si>
    <t>Ingresos por venta de criptoactivos en la declaración de renta: caso práctico en Excel</t>
  </si>
  <si>
    <t>Plantilla para elaborar el formulario 300 para las declaraciones del IVA en 2022</t>
  </si>
  <si>
    <t>Simulador de tributación en el régimen simple vs. régimen ordinario – año gravable 2022</t>
  </si>
  <si>
    <t>Clasificación de las personas jurídicas frente al impuesto de renta y al SIMPLE – año gravable 2021</t>
  </si>
  <si>
    <t>Simulador para determinar el valor patrimonial de los criptoactivos</t>
  </si>
  <si>
    <t>Matriz: rentas exentas y descuentos tributarios de las personas jurídicas en 2021</t>
  </si>
  <si>
    <t>Carta de aceptación de un encargo de auditoría concreto</t>
  </si>
  <si>
    <t>Informe de revisión de información financiera intermedia con salvedades</t>
  </si>
  <si>
    <t>Modelo de dictamen con opinión adversa o desfavorable</t>
  </si>
  <si>
    <t>Guía: estructura del informe del revisor fiscal bajo NIA 701 (cuestiones clave de auditoría)</t>
  </si>
  <si>
    <t>Liquidador del cálculo de retención en la fuente por pensiones obtenidas en 2022</t>
  </si>
  <si>
    <t>Liquidador del costo fiscal de los inventarios para obligados a llevar contabilidad</t>
  </si>
  <si>
    <t>Liquidador del impuesto de normalización tributaria 2022 y su anticipo para 2021</t>
  </si>
  <si>
    <t>[Pack de formatos] 24 modelos y guías para asambleas de accionistas, socios y copropietarios</t>
  </si>
  <si>
    <t>Modelo de acta de cesión y venta de cuotas sociales a terceros a la sociedad de responsabilidad limitada</t>
  </si>
  <si>
    <t>Acta de reunión de junta de socios o asamblea por derecho propio</t>
  </si>
  <si>
    <t>Modelo en Excel: cálculo de intereses presuntivos en 2021 sobre préstamos entre socios y sociedades</t>
  </si>
  <si>
    <t>Modelo de acta de ampliación del término de duración de una sociedad comercial</t>
  </si>
  <si>
    <t>Plantilla en Excel del formulario 350 AG 2022 – declaración de retención en la fuente</t>
  </si>
  <si>
    <t>Modelo de acta de asamblea de constitución de empresa o fundación</t>
  </si>
  <si>
    <t>Modelo de acta de reunión de máximo órgano social para cambio de representante legal</t>
  </si>
  <si>
    <t>Tributación sobre dividendos y el cálculo de su retención luego de la Ley 2010 de 2019</t>
  </si>
  <si>
    <t>Modelo de convocatoria de asamblea de copropietarios</t>
  </si>
  <si>
    <t>Lista de chequeo de documentos presentados en asamblea de accionistas o junta de socios</t>
  </si>
  <si>
    <t>Dictamen de estados financieros consolidados (opinión sin salvedades)</t>
  </si>
  <si>
    <t>Simulador de casos de deducciones y costos estimados para la declaración de renta 2021</t>
  </si>
  <si>
    <t>Modelo del certificado anual para socios y/o accionistas por el año 2021</t>
  </si>
  <si>
    <t>Rentas exentas para empresas de economía naranja – año gravable 2021</t>
  </si>
  <si>
    <t>Casos de ganancia ocasional por venta de activos fijos depreciables del año gravable 2021</t>
  </si>
  <si>
    <t>Carta para notificar la exclusión de un socio de la sociedad</t>
  </si>
  <si>
    <t>Informe sobre los hallazgos obtenidos en las cuentas por pagar</t>
  </si>
  <si>
    <t>Informe sobre los hallazgos obtenidos en la auditoría de inventarios</t>
  </si>
  <si>
    <t>Efectivo y equivalentes al efectivo: informe sobre los hallazgos obtenidos</t>
  </si>
  <si>
    <t>[Guía] Información laboral 2022</t>
  </si>
  <si>
    <t>Plantilla para clasificar una entidad en un grupo de aplicación de los Estándares Internacionales</t>
  </si>
  <si>
    <t>Aviso de pago de salarios y prestaciones sociales de trabajador fallecido</t>
  </si>
  <si>
    <t>[Pack de formatos] Formatos para la liquidación de nómina paso a paso</t>
  </si>
  <si>
    <t>Responsabilidad en seguridad social de trabajadores independientes</t>
  </si>
  <si>
    <t>Contabilización de la nómina: ejemplo práctico</t>
  </si>
  <si>
    <t>Tablas de retención en la fuente 2022 a título de impuestos nacionales</t>
  </si>
  <si>
    <t>Liquidador de indemnización por despido sin justa causa (para contrato fijo u obra o labor)</t>
  </si>
  <si>
    <t>Solicitud compensación en dinero de las vacaciones</t>
  </si>
  <si>
    <t>Carta de terminación de contrato de trabajo con justa causa</t>
  </si>
  <si>
    <t>Formato de autorización de descuentos sobre salarios por préstamos al trabajador</t>
  </si>
  <si>
    <t>Liquidación de nómina cuando hay incapacidad: caso práctico</t>
  </si>
  <si>
    <t>Liquidador de retención en la fuente con procedimiento 1 sobre rentas de trabajo durante 2022</t>
  </si>
  <si>
    <t>Liquidador de la prima legal de servicios semestral</t>
  </si>
  <si>
    <t>Guía sobre propiedad horizontal en Colombia: 379 preguntas resueltas</t>
  </si>
  <si>
    <t>Liquidador e histórico de porcentajes de reajuste fiscal 2005-2021</t>
  </si>
  <si>
    <t>Calendario tributario distrital 2022</t>
  </si>
  <si>
    <t>Herramienta Interactiva para elaborar la hoja de vida de un contador público</t>
  </si>
  <si>
    <t>Nota por aplicar la exención de contabilización del impuesto diferido de 2021</t>
  </si>
  <si>
    <t>Liquidador del costo de la contratación de un trabajador: salario mínimo 2022</t>
  </si>
  <si>
    <t>Liquidador de sanciones por no facturar</t>
  </si>
  <si>
    <t>Liquidador de sanciones por expedir facturas sin los requisitos legales</t>
  </si>
  <si>
    <t>Carta para solicitar el certificado de donación para efectuar descuento tributario</t>
  </si>
  <si>
    <t>Liquidadores de sanciones relacionadas con la información exógena resueltas en 2022</t>
  </si>
  <si>
    <t>Liquidador de sanción por inexactitud en Excel</t>
  </si>
  <si>
    <t>Listado de ingresos de fuente extranjera – período gravable 2021</t>
  </si>
  <si>
    <t>[Pack de Formatos] Guías para profundizar las novedades de la reforma tributaria Ley de Inversión Social 2155 de 2021</t>
  </si>
  <si>
    <t>Derecho de petición para retiro de centrales de riesgo</t>
  </si>
  <si>
    <t>Cuestionario de control interno de provisiones y contingencias en Excel</t>
  </si>
  <si>
    <t>Liquidador de intereses moratorios reducidos con la tasa transitoria de la Ley de Inversión Social</t>
  </si>
  <si>
    <t>Casos prácticos de reducción de sanción por corrección: reforma tributaria 2021</t>
  </si>
  <si>
    <t>Cuestionario para definir obligados a declarar renta por 2021</t>
  </si>
  <si>
    <t>Auditoría de nómina: informe de control interno</t>
  </si>
  <si>
    <t>Porcentaje fijo de retención en la fuente sobre salarios en diciembre de 2021 – procedimiento 2</t>
  </si>
  <si>
    <t>Ejemplos de aplicación de los beneficios de la ley de borrón y cuenta nueva</t>
  </si>
  <si>
    <t>Modelo de informe de control interno</t>
  </si>
  <si>
    <t>Casos de reducción de sanción por extemporaneidad antes del emplazamiento: reforma tributaria 2021</t>
  </si>
  <si>
    <t>Casos de reducción de sanción por extemporaneidad después del emplazamiento: reforma tributaria 2021</t>
  </si>
  <si>
    <t>Informe sobre el control interno por parte del revisor fiscal</t>
  </si>
  <si>
    <t>Informe sobre el control interno: manifestación sobre las pruebas de cumplimiento y sustantivas</t>
  </si>
  <si>
    <t>Solicitud de retiro parcial de cesantías para vivienda</t>
  </si>
  <si>
    <t>Notificación al empleador sobre el fondo donde debe consignar el auxilio de cesantías</t>
  </si>
  <si>
    <t>Modelo de dictamen del revisor fiscal para empresas en liquidación (opinión favorable)</t>
  </si>
  <si>
    <t> 21 formatos de análisis financiero en Excel</t>
  </si>
  <si>
    <t>Cuestionario de control interno de inventarios en Excel</t>
  </si>
  <si>
    <t>Dupont: índice de rentabilidad</t>
  </si>
  <si>
    <t>Grados de apalancamiento financiero y operativo</t>
  </si>
  <si>
    <t>Indicadores financieros de actividad y rentabilidad</t>
  </si>
  <si>
    <t>Indicadores financieros de endeudamiento</t>
  </si>
  <si>
    <t>Indicadores financieros: márgenes de utilidad o rentabilidad</t>
  </si>
  <si>
    <t>Indicadores financieros de liquidez</t>
  </si>
  <si>
    <t>Simulador del punto de equilibrio en Excel – herramienta de análisis financiero</t>
  </si>
  <si>
    <t>[ORO] Análisis vertical y horizontal aplicados a la interpretación de información financiera</t>
  </si>
  <si>
    <t>Análisis de información de ventas utilizando el método del índice de estacionalidad</t>
  </si>
  <si>
    <t>Modelo para analizar el valor presente y el valor presente neto de una inversión</t>
  </si>
  <si>
    <t>Indicadores financieros de mercado</t>
  </si>
  <si>
    <t>Inscripción en el RUT: lista de chequeo para inscribirse a través de las cámaras de comercio</t>
  </si>
  <si>
    <t>Apoyo a empresas afectadas por el paro nacional: matriz en Excel y casos prácticos</t>
  </si>
  <si>
    <t>Modelo para la elaboración de estados financieros y cálculo de los indicadores financieros</t>
  </si>
  <si>
    <t>Casos prácticos en Excel sobre ventas en los días sin IVA</t>
  </si>
  <si>
    <t>Matriz sobre las nuevas condiciones para aplicar a la exención de los 3 días sin IVA</t>
  </si>
  <si>
    <t>Guía con casos de verificación de requisitos para acceder al apoyo por generar nuevos empleos</t>
  </si>
  <si>
    <t>Lista de chequeo de revelaciones de la sección 18 – “Activos intangibles distintos de la plusvalía”</t>
  </si>
  <si>
    <t>Lista de chequeo de revelaciones de la sección 20 – “Arrendamientos”</t>
  </si>
  <si>
    <t>Lista de chequeo de revelaciones de la NIC 38 – “Activos intangibles”</t>
  </si>
  <si>
    <t>Liquidador del número de empleados y cálculo del aporte del Paef</t>
  </si>
  <si>
    <t>Simulador de la reducción de multas de tránsito contemplada en la Ley de Inversión Social</t>
  </si>
  <si>
    <t>Plantilla para auditar la declaración del impuesto sobre las ventas –IVA–</t>
  </si>
  <si>
    <t>Matriz: nuevas condiciones para postularse al Programa de Apoyo al Empleo Formal –Paef–</t>
  </si>
  <si>
    <t>Matriz: novedades en el sistema de facturación con la reforma tributaria Ley 2155 de 2021</t>
  </si>
  <si>
    <t>Cuestionario de auditoría para las propiedades, planta y equipo</t>
  </si>
  <si>
    <t>Matriz: requisitos y condiciones para la normalización tributaria de 2022</t>
  </si>
  <si>
    <t>Comparativo de normas afectadas con la Ley de Inversión Social 2155 de septiembre 14 de 2021</t>
  </si>
  <si>
    <t>Liquidador para revisar aportes a salud y pensión de independientes a partir del reporte de exógena</t>
  </si>
  <si>
    <t>Lista de chequeo de revelaciones de la sección 28: “Beneficios a los empleados”</t>
  </si>
  <si>
    <t>Modelo de política contable de las cuentas por cobrar: presentación y revelación</t>
  </si>
  <si>
    <t>Lista de chequeo de revelaciones de la sección 21: “Provisiones y contingencias”</t>
  </si>
  <si>
    <t>Lista de chequeo de revelaciones de la sección 11 – Instrumentos financieros básicos</t>
  </si>
  <si>
    <t>Casos prácticos en Excel sobre impuesto diferido para el cierre contable y fiscal de 2021</t>
  </si>
  <si>
    <t>Modelo para elaborar políticas contables sobre el tratamiento a los intangibles</t>
  </si>
  <si>
    <t>Ejercicios de verificación de requisitos para acceder al apoyo por contratar jóvenes</t>
  </si>
  <si>
    <t>Lista de chequeo de revelaciones de la sección 12: “Otros temas relacionados con los instrumentos financieros”</t>
  </si>
  <si>
    <t>Impuesto diferido en la depreciación de propiedad, planta y equipo (caso práctico para 2021)</t>
  </si>
  <si>
    <t>Cuadro temático con los cambios introducidos por la Ley de Inversión Social 2155 de 2021</t>
  </si>
  <si>
    <t>Impuesto diferido por venta de bienes inmuebles a largo plazo en 2021: caso práctico en Excel</t>
  </si>
  <si>
    <t>Matriz: costos y deducciones de las personas jurídicas en 2021</t>
  </si>
  <si>
    <t>Valorización de activos intangibles: caso de impuesto diferido en 2021</t>
  </si>
  <si>
    <t>Guía para diligenciar la planilla integrada de liquidación de aportes de los independientes</t>
  </si>
  <si>
    <t>Casos de descuentos tributarios vigentes en el año gravable 2021 (liquidador en Excel)</t>
  </si>
  <si>
    <t>Lista de chequeo para trasladarse de régimen de pensiones</t>
  </si>
  <si>
    <t>[Pack de Formatos] Formatos para la implementación del control de calidad y ética en la ejecución de encargos de auditoría</t>
  </si>
  <si>
    <t>Simulador del estado de situación financiera (análisis comparativo)</t>
  </si>
  <si>
    <t>Formulario 260 AG 2020 – declaración anual régimen simple (personas naturales que no llevan contabilidad)</t>
  </si>
  <si>
    <t>Formulario 260 AG 2020 – declaración anual régimen simple (personas naturales y jurídicas que llevan contabilidad)</t>
  </si>
  <si>
    <t>Formato de evaluación de desempeño laboral para un auditor</t>
  </si>
  <si>
    <t>Impuesto diferido por activos biológicos en 2021: caso práctico en Excel</t>
  </si>
  <si>
    <t>Liquidador para calcular la contribución 2021 a la Supersociedades</t>
  </si>
  <si>
    <t>Calendario para pago de aportes a seguridad social para empleadores e independientes 2021-2022</t>
  </si>
  <si>
    <t>Carta para notificar deficiencias en el proceso de inspección del seguimiento del control de calidad</t>
  </si>
  <si>
    <t>Lista de chequeo para el control de calidad aplicado a recursos humanos en un encargo de auditoría</t>
  </si>
  <si>
    <t>Lista de chequeo para revisar el control de calidad en un encargo de auditoría</t>
  </si>
  <si>
    <t>Acta de entrega del manual de procedimientos y políticas de calidad</t>
  </si>
  <si>
    <t>Acta de entrega de normas de ética aplicables a encargos de auditoría</t>
  </si>
  <si>
    <t>Lista de chequeo para la planeación de la ejecución de un encargo NICC 1</t>
  </si>
  <si>
    <t>Lista de chequeo para la etapa de seguimiento en encargo de auditoría bajo la NICC 1</t>
  </si>
  <si>
    <t>Matriz para identificar quiénes están obligados a aplicar la NICC 1</t>
  </si>
  <si>
    <t>Carta para comunicar asuntos que generan amenazas a la independencia</t>
  </si>
  <si>
    <t>Acta de investigación para la aceptación de los clientes del revisor fiscal</t>
  </si>
  <si>
    <t>Notificación de la asignación de responsabilidad en el sistema de control de calidad</t>
  </si>
  <si>
    <t>Impuesto diferido ante deterioro de cartera en 2021: ejercicio práctico en Excel</t>
  </si>
  <si>
    <t>Informe de entrega del cargo de contador externo al finalizar un contrato</t>
  </si>
  <si>
    <t>Impuesto diferido por valoración de propiedades de inversión en 2021: caso práctico en Excel</t>
  </si>
  <si>
    <t>Impuesto diferido por deterioro de inventario en 2021: caso práctico en Excel</t>
  </si>
  <si>
    <t>Matriz de licencias de maternidad y paternidad: tipos y características</t>
  </si>
  <si>
    <t>Solicitud de licencia de paternidad a la EPS por parte de un trabajador independiente</t>
  </si>
  <si>
    <t>Solicitud de licencia de maternidad ante la EPS por parte de una trabajadora independiente</t>
  </si>
  <si>
    <t>Matriz de lineamientos del Código de Ética del contador público: principios fundamentales, amenazas y salvaguardas</t>
  </si>
  <si>
    <t>Impuesto diferido por diferencia en cambio en 2021: caso práctico en Excel</t>
  </si>
  <si>
    <t>Tratamientos contable y fiscal de la depreciación de activos en desuso: casos prácticos en Excel</t>
  </si>
  <si>
    <t>Solicitud de licencia de paternidad</t>
  </si>
  <si>
    <t>Modelo de acción de tutela para reclamo de pago de licencia de maternidad</t>
  </si>
  <si>
    <t>Modelo de declaración de confidencialidad de los miembros de la firma de auditoría</t>
  </si>
  <si>
    <t>Impuesto diferido por gastos de establecimiento en 2021: caso práctico en Excel</t>
  </si>
  <si>
    <t>Guías y casos para preparar la declaración de renta de personas naturales por el año gravable 2020</t>
  </si>
  <si>
    <t>Cuestionario de independencia para el personal de una firma de auditoría</t>
  </si>
  <si>
    <t>Clasificación de pasivos entre corrientes y no corrientes: caso práctico en Excel</t>
  </si>
  <si>
    <t>Plantilla del estado de costos de producción y ventas</t>
  </si>
  <si>
    <t>Beneficio de auditoría para personas naturales año gravable 2020: casos prácticos en Excel</t>
  </si>
  <si>
    <t>Liquidador de la licencia de maternidad cuando procede pago proporcional</t>
  </si>
  <si>
    <t>Modelo para proyectar el presupuesto de un encargo de auditoría o revisoría fiscal</t>
  </si>
  <si>
    <t>Hoja de costos en Excel</t>
  </si>
  <si>
    <t>Plantilla para la revisión de la declaración sugerida del impuesto sobre las ventas –IVA–</t>
  </si>
  <si>
    <t>Modelo de certificado para acceder a los beneficios por contratar adultos mayores no pensionados</t>
  </si>
  <si>
    <t>Cuestionario en Excel para la aceptación de clientes en una firma de auditoría</t>
  </si>
  <si>
    <t>Kárdex por el método del promedio ponderado: caso práctico en Excel</t>
  </si>
  <si>
    <t>Listado de códigos para diligenciar la casilla 51 del RUT con la ocupación de las personas naturales</t>
  </si>
  <si>
    <t>Modelo de las políticas sobre conservación de los papeles de trabajo de una firma de auditoría</t>
  </si>
  <si>
    <t>Lista de convenios internacionales para evitar la doble tributación – año gravable 2020</t>
  </si>
  <si>
    <t>Liquidador del costo fiscal de la propiedad, planta y equipo y de las propiedades de inversión</t>
  </si>
  <si>
    <t>Poder especial para tramitar solicitud de reconocimiento y pago de la pensión de sobrevivencia</t>
  </si>
  <si>
    <t>Matriz: comparativo de las diferencias al emprender como persona natural o sociedad</t>
  </si>
  <si>
    <t>Liquidador del anticipo de renta 2021 para personas jurídicas y naturales</t>
  </si>
  <si>
    <t>Liquidador del pago faltante de aportes al sistema general de pensiones de abril y mayo de 2020</t>
  </si>
  <si>
    <t>Liquidador del monto del salario y de prestaciones sociales que se puede embargar a un trabajador</t>
  </si>
  <si>
    <t>Formulario 110 y formato 2516 para declaración de renta 2020 de personas naturales obligadas a llevar contabilidad</t>
  </si>
  <si>
    <t>Ejercicios para determinar si una persona natural está obligada a presentar renta por el AG 2020</t>
  </si>
  <si>
    <t>[Pack de formatos] Modelos para elaborar contratos comerciales en Colombia</t>
  </si>
  <si>
    <t>Cuestionario para clasificar una obligación como provisión o pasivo contingente</t>
  </si>
  <si>
    <t>Formulario 310 AG 2021: declaración del impuesto nacional al consumo (plantilla para borrador)</t>
  </si>
  <si>
    <t>Formulario 110 AG 2020: declaración de renta de personas naturales no residentes que no llevan contabilidad</t>
  </si>
  <si>
    <t>Modelo en Excel: cálculo de intereses presuntivos sobre préstamos entre socios y sociedades en 2020</t>
  </si>
  <si>
    <t>Formulario 210 y formato 2517 para declaración de renta AG 2020 – residentes que llevan contabilidad</t>
  </si>
  <si>
    <t>Liquidador de porcentaje fijo de retención en la fuente sobre salarios en junio de 2021 – procedimiento 2</t>
  </si>
  <si>
    <t>Formulario 210: declaración de renta personas naturales residentes que no llevan contabilidad – AG 2020</t>
  </si>
  <si>
    <t>Modelo de contrato de permuta</t>
  </si>
  <si>
    <t>Simulador del impuesto si la renta presuntiva es mayor a la renta líquida gravable de la cédula general</t>
  </si>
  <si>
    <t>Modelo de contrato de comisión o corretaje</t>
  </si>
  <si>
    <t>Matriz de características básicas de la depuración de las 3 cédulas del formulario 210 AG 2020</t>
  </si>
  <si>
    <t>Formulario 420: declaración de impuesto al patrimonio 2021</t>
  </si>
  <si>
    <t>Plantilla para elaborar el formulario 300 para las declaraciones del IVA durante 2021</t>
  </si>
  <si>
    <t>Cuestionario de auditoría para el área de compras</t>
  </si>
  <si>
    <t>Carta para designar al responsable del seguimiento del sistema de control de calidad – NICC 1</t>
  </si>
  <si>
    <t>Plantilla en Excel para la declaración de anticipos bimestrales en 2021 – régimen simple</t>
  </si>
  <si>
    <t>Modelo de contrato de prestación de servicios – servicios generales</t>
  </si>
  <si>
    <t>Contrato de prestación de servicios para mensajería externa</t>
  </si>
  <si>
    <t>Cuestionario de auditoría para área de nómina</t>
  </si>
  <si>
    <t>Cuestionario de auditoría para el área de ventas</t>
  </si>
  <si>
    <t>Acta de análisis de rotación del equipo de auditoría o revisoría fiscal</t>
  </si>
  <si>
    <t>Simulador de deducciones por GMF, fiestas a empleados, publicidad e inversiones en transporte aéreo</t>
  </si>
  <si>
    <t>Liquidador del formulario 110 y formato 2516: declaración de renta de personas jurídicas AG 2020</t>
  </si>
  <si>
    <t>Contrato de promesa de compraventa de carro o motocicleta</t>
  </si>
  <si>
    <t>Modelo de contrato de cuentas en participación</t>
  </si>
  <si>
    <t>Contrato de prestación de servicios</t>
  </si>
  <si>
    <t>Plantilla para elaborar un contrato de unión temporal</t>
  </si>
  <si>
    <t>Carta de aceptación de los términos del encargo de revisoría fiscal conforme a la NIA 210</t>
  </si>
  <si>
    <t>Contrato de prestación de servicios contables</t>
  </si>
  <si>
    <t>Matriz para definir casos en que las personas naturales son agentes de retención a título de renta</t>
  </si>
  <si>
    <t>Guías para el reporte de exógena 2020: ¡descárgalas ya!</t>
  </si>
  <si>
    <t>Contrato de prestación de servicios de administración de propiedad horizontal</t>
  </si>
  <si>
    <t>Acta de criterios que debe cumplir el revisor de control de calidad de un encargo de auditoría</t>
  </si>
  <si>
    <t>Matriz de categorías de informantes de exógena por el año gravable 2020 y los formatos que deben usar</t>
  </si>
  <si>
    <t>Plantilla de los formatos exógena por el año gravable 2020: reportes de los mandatarios</t>
  </si>
  <si>
    <t>Plantilla del formato exógena 1647 por el año gravable 2020: reporte de ingresos recibidos para terceros</t>
  </si>
  <si>
    <t>Plantilla de los formatos 2276 y 2280 para el reporte de información exógena de 2020</t>
  </si>
  <si>
    <t>Plantilla del formato exógena 1003 por el año gravable 2020: retenciones que le practicaron al informante</t>
  </si>
  <si>
    <t>Plantilla de los formatos exógena 1011, 1012 y 2275 por el año gravable 2020: reporte de otros datos en renta e IVA</t>
  </si>
  <si>
    <t>Plantilla del formato exógena 1008 por el año gravable 2020: reporte de cuentas por cobrar</t>
  </si>
  <si>
    <t>Plantilla del formato de exógena 1007 por el año gravable 2020: reportes de ingresos propios</t>
  </si>
  <si>
    <t>Plantilla del formato de exógena 1009 por el año gravable 2020: reporte de cuentas por pagar</t>
  </si>
  <si>
    <t>Plantilla del formato 1004 exógena de 2020: reporte de descuentos al impuesto de renta y el SIMPLE</t>
  </si>
  <si>
    <t>Plantilla de los formatos exógena 1005 y 1006 del año gravable 2020: reportes de IVA generados y descontables</t>
  </si>
  <si>
    <t>Plantilla del formato exógena 1010 por el año gravable 2020: reporte de socios, cooperados o comuneros</t>
  </si>
  <si>
    <t>Plantilla del formato exógena 1001 por el año gravable 2020: reporte de pagos o abonos en cuenta</t>
  </si>
  <si>
    <t>Modelo de contrato de maquila</t>
  </si>
  <si>
    <t>Carta de ofrecimiento de servicios de una empresa</t>
  </si>
  <si>
    <t>Notificación de sanción disciplinaria para el empleado de una firma de auditoría</t>
  </si>
  <si>
    <t>Modelo de contrato de mercancías en consignación</t>
  </si>
  <si>
    <t>Modelo de contrato de arrendamiento de vivienda urbana</t>
  </si>
  <si>
    <t>Modelos de notas a los estados financieros 2020: 5 casos que pueden presentarse por el COVID-19</t>
  </si>
  <si>
    <t>27 formatos para preparar la declaración de renta de personas jurídicas por el año gravable 2020</t>
  </si>
  <si>
    <t>Simulador de casos de beneficios tributarios por donaciones en el año gravable 2020</t>
  </si>
  <si>
    <t>[Pack de formatos] Dictámenes e informes del revisor fiscal actualizados al 2021</t>
  </si>
  <si>
    <t>Simulador de 4 casos de deducciones y costos estimados para la declaración de renta</t>
  </si>
  <si>
    <t>Notificación de entrega de manual de funciones del auditor dentro de la firma</t>
  </si>
  <si>
    <t>Simulador de casos de descuentos y donaciones especiales: conciliación contable y tributaria</t>
  </si>
  <si>
    <t>Modelo de inventario de entrega de inmueble</t>
  </si>
  <si>
    <t>Modelo de contrato de obra civil</t>
  </si>
  <si>
    <t>Desistimiento de la acción de tutela</t>
  </si>
  <si>
    <t>Liquidador del costo de renovación de matrícula mercantil y de establecimientos de comercio (2021)</t>
  </si>
  <si>
    <t>Clasificación de las personas jurídicas frente al impuesto de renta y al SIMPLE – año gravable 2020</t>
  </si>
  <si>
    <t>Carta para notificar un incidente de desacato de acción de tutela</t>
  </si>
  <si>
    <t>Modelo de acción de tutela para reclamar incapacidades</t>
  </si>
  <si>
    <t>Plantilla en Excel para diligenciar el formulario 350 de retención en la fuente en 2021</t>
  </si>
  <si>
    <t>Carta para comunicarle a los proveedores las operaciones con facturadores electrónicos</t>
  </si>
  <si>
    <t>Calendario tributario 2021 – automatizado en Excel</t>
  </si>
  <si>
    <t>Certificado de persona natural no declarante del impuesto de renta y complementario 2020</t>
  </si>
  <si>
    <t>Modelo de acción de tutela contra entidades financieras</t>
  </si>
  <si>
    <t>Plantilla para elaborar formulario 220: certificado de ingresos y retenciones – año gravable 2020</t>
  </si>
  <si>
    <t>Rentas exentas para personas jurídicas – período gravable 2020</t>
  </si>
  <si>
    <t>Modelo del certificado anual para socios y/o accionistas por el año 2020</t>
  </si>
  <si>
    <t>Normativa relacionada con la liquidación de nómina</t>
  </si>
  <si>
    <t>Información laboral 2021</t>
  </si>
  <si>
    <t>[2021] Histórico de salario mínimo y auxilio de transporte</t>
  </si>
  <si>
    <t>Régimen sancionatorio: 15 formatos para liquidar obligaciones en 2021</t>
  </si>
  <si>
    <t>Liquidador de retención en la fuente con procedimiento 1 sobre rentas de trabajo durante 2021</t>
  </si>
  <si>
    <t>[2021] Formularios e instructivos de la Dian 2021</t>
  </si>
  <si>
    <t>[2021] Histórico de la variación nominal del salario mínimo vs. la inflación 1993 – 2020</t>
  </si>
  <si>
    <t>[Guía] Tabla de retención en la fuente para el año fiscal 2021</t>
  </si>
  <si>
    <t>Tablas de retención en la fuente a título de impuestos nacionales durante el año fiscal 2021</t>
  </si>
  <si>
    <t>Histórico de la tasa representativa del mercado –TRM– 2020</t>
  </si>
  <si>
    <t>Comparativo de normas tributarias afectadas con las leyes 2068, 2069 y 2070 de diciembre 31 de 2020</t>
  </si>
  <si>
    <t>[Calendario] Calendario tributario 2021 – versión para imprimir</t>
  </si>
  <si>
    <t>[Calendario] Calendario tributario distrital 2021</t>
  </si>
  <si>
    <t>[ORO] Liquidador de sanciones por no enviar información exógena, enviarla con errores o de forma extemporánea</t>
  </si>
  <si>
    <t>[ORO] Modelo para cálculo de depreciación por el método de reducción de saldos</t>
  </si>
  <si>
    <t>[ORO] Acta administrativa para la baja de activos fijos dañados y obsoletos</t>
  </si>
  <si>
    <t>[ORO] Modelo para identificar ingresos que no se consideran de fuente nacional – período gravable 2020</t>
  </si>
  <si>
    <t>[ORO] Contabilización de los rubros asociados a la dotación a empleados</t>
  </si>
  <si>
    <t>21 formatos para preparar el cierre contable de 2020</t>
  </si>
  <si>
    <t>[ORO] Nuevos descuentos tributarios para el cierre fiscal 2020: casos prácticos</t>
  </si>
  <si>
    <t>[ORO] Liquidador de procedimiento 2 con porcentaje fijo para la retención sobre salarios en diciembre de 2020</t>
  </si>
  <si>
    <t>[ORO] Plantilla para definir el perfil del cargo de un empleado y sus funciones</t>
  </si>
  <si>
    <t>[ORO] Políticas contables para las propiedades de inversión</t>
  </si>
  <si>
    <t>[ORO] Nota sobre la determinación de valores razonables</t>
  </si>
  <si>
    <t>[ORO] Liquidador de nómina en un contrato de aprendizaje</t>
  </si>
  <si>
    <t>[ORO] Venta de bienes inmuebles a largo plazo: caso práctico de impuesto diferido</t>
  </si>
  <si>
    <t>[ORO] Impuesto diferido de propiedades de inversión en un contrato de leasing operativo</t>
  </si>
  <si>
    <t>Corrección de errores de períodos anteriores</t>
  </si>
  <si>
    <t>[ORO] Impuesto diferido por diferencias en la tasa de depreciación de propiedades, planta y equipo</t>
  </si>
  <si>
    <t>[ORO] Simulador de sanción por no pagar la liquidación del contrato laboral</t>
  </si>
  <si>
    <t>[ORO] Plantilla en Excel para la declaración de anticipos bimestrales en 2020 – régimen simple</t>
  </si>
  <si>
    <t>Calendario automatizado de implementación de la facturación electrónica</t>
  </si>
  <si>
    <t>[ORO] Tratamiento contable y fiscal de los gastos de establecimiento: caso práctico</t>
  </si>
  <si>
    <t>[ORO] Liquidador para el cálculo de la renta presuntiva del año gravable 2020</t>
  </si>
  <si>
    <t>[ORO] Depreciación y valor máximo a deducir en impuesto de renta</t>
  </si>
  <si>
    <t>[ORO] Carta de terminación de contrato de arrendamiento de vivienda urbana</t>
  </si>
  <si>
    <t>[ORO] Contabilización de impuesto diferido ante deterioro de cartera</t>
  </si>
  <si>
    <t>[ORO] Modelo de contrato de mutuo comercial o préstamo con intereses</t>
  </si>
  <si>
    <t>[ORO] Modelo de contrato de franquicia</t>
  </si>
  <si>
    <t>[ORO] Contrato de permuta</t>
  </si>
  <si>
    <t>[ORO] Modelo de contrato de concesión comercial</t>
  </si>
  <si>
    <t>[ORO] Modelo de contrato de anticresis</t>
  </si>
  <si>
    <t>[ORO] Modelo de contrato de edición</t>
  </si>
  <si>
    <t>[ORO] Modelo de acuerdo de dación en pago</t>
  </si>
  <si>
    <t>[ORO] Modelo de contrato de preposición</t>
  </si>
  <si>
    <t>[ORO] Modelo de contrato de agencia comercial</t>
  </si>
  <si>
    <t>[ORO] Formato de promesa de compraventa de bien inmueble</t>
  </si>
  <si>
    <t>​[ORO] Contrato de comisión o corretaje</t>
  </si>
  <si>
    <t>[ORO] Certificación de bienes y derechos recibidos por donaciones inter vivos</t>
  </si>
  <si>
    <t>[ORO] Formulario 260 AG 2019 – régimen simple (personas naturales y jurídicas que llevan contabilidad)</t>
  </si>
  <si>
    <t>[ORO] Formulario 260 AG 2019 – declaración anual del SIMPLE (personas naturales que no llevan contabilidad)</t>
  </si>
  <si>
    <t>[ORO] Planilla automatizada para controlar la asistencia a pausas activas</t>
  </si>
  <si>
    <t>¿Cómo liquidar un contrato de trabajo?</t>
  </si>
  <si>
    <t>[Pack de formatos] 17 herramientas para mejorar tu análisis financiero</t>
  </si>
  <si>
    <t>[ORO] Compensación de pérdidas fiscales y exceso de renta presuntiva (caso impuesto diferido)</t>
  </si>
  <si>
    <t>[ORO] Impuesto diferido cuando hay compensación de pérdidas fiscales</t>
  </si>
  <si>
    <t>[ORO] Formato de entrega de dotación (elementos físicos)</t>
  </si>
  <si>
    <t>[ORO] Constancia de entrega de equipos y elementos de protección personal</t>
  </si>
  <si>
    <t>[ORO] Certificado de prestación de servicios</t>
  </si>
  <si>
    <t>[ORO] Simulador de retenciones a practicar entre regímenes</t>
  </si>
  <si>
    <t>[ORO] Aportes al fondo de solidaridad pensional por parte de un empleado</t>
  </si>
  <si>
    <t>[ORO] Certificado de normalización de actividades afectadas por el COVID-19</t>
  </si>
  <si>
    <t>[ORO] Formulario 210 de declaración de renta, año gravable 2019 – residentes no obligados a llevar contabilidad</t>
  </si>
  <si>
    <t>[ORO] Formulario 210 y formato 2517 para declaración de renta AG 2019 – residentes que llevan contabilidad</t>
  </si>
  <si>
    <t>[ORO] Contrato de aprendizaje: certificado de desempeño y descripción de logros en la etapa práctica</t>
  </si>
  <si>
    <t>[ORO] Cálculo de la contribución 2020 a Supersociedades</t>
  </si>
  <si>
    <t>[Pack de formatos] 21 herramientas para facilitar la elaboración de solicitudes emitidas por un empleado</t>
  </si>
  <si>
    <t>[ORO] Solicitud de información sobre afiliaciones a salud y riesgos laborales en un contrato de aprendizaje</t>
  </si>
  <si>
    <t>[ORO] Notificación de suspensión del contrato de aprendizaje</t>
  </si>
  <si>
    <t>[ORO] Solicitud de no pago de cheque</t>
  </si>
  <si>
    <t>[ORO] Solicitud de intervención de la inspección de trabajo</t>
  </si>
  <si>
    <t>[ORO] Formulario 420: declaración de impuesto al patrimonio 2020</t>
  </si>
  <si>
    <t>[ORO] Formulario 445 – impuesto de normalización tributaria 2020 (plantilla en Excel)</t>
  </si>
  <si>
    <t>[ORO] Derecho de petición para solicitar al empleador información sobre afiliaciones al sistema de seguridad integral</t>
  </si>
  <si>
    <t>[ORO] Poder para adelantar trámite de solicitud de calificación de pérdida de capacidad laboral</t>
  </si>
  <si>
    <t>[ORO] Porcentaje fijo de retención en la fuente sobre pagos laborales en junio de 2020 – procedimiento 2</t>
  </si>
  <si>
    <t>[ORO] Modelo para definir el IVA sobre el AIU en los servicios del artículo 462-1 del ET</t>
  </si>
  <si>
    <t>[ORO] Cálculo de intereses presuntivos sobre préstamos entre socios y sociedades durante 2019</t>
  </si>
  <si>
    <t>[ORO] Certificación de contador para acceder al subsidio de la prima de servicios</t>
  </si>
  <si>
    <t>[ORO] Acuerdo para no laborar el sábado y distribuir jornada entre semana (sin generar horas extra)</t>
  </si>
  <si>
    <t>[ORO] Formulario 110 y formato 2516 para declaración de renta 2019 de personas naturales obligadas a llevar contabilidad</t>
  </si>
  <si>
    <t>[ORO] Aplicación de las rentas exentas en la renta presuntiva en el formulario 210</t>
  </si>
  <si>
    <t>[ORO] Formulario 110 de declaración de renta de personas naturales, AG 2019 – no obligados a llevar contabilidad</t>
  </si>
  <si>
    <t>[Contrato] Otrosí – nuevos plazos para pago de la prima de servicios de 2020 (primer semestre)</t>
  </si>
  <si>
    <t>[Carta] Solicitud de no cobro del IVA en arrendamiento de local o establecimiento comercial</t>
  </si>
  <si>
    <t>[ORO] Plantilla en Excel para diligenciar el formulario 350 de retención en la fuente en 2020</t>
  </si>
  <si>
    <t>[ORO] Solicitud de trabajador para incorporarse al teletrabajo</t>
  </si>
  <si>
    <t>[ORO] Formulario 110 y formato 2516: declaración de renta o ingresos y patrimonio – personas jurídicas AG 2019</t>
  </si>
  <si>
    <t>Calendario tributario 2020 – Versión para imprimir</t>
  </si>
  <si>
    <t>[Liquidador] Liquidador del número de trabajadores por los cuales se tiene derecho al subsidio de nómina del Paef</t>
  </si>
  <si>
    <t>[Certificaciones] Certificación para subsidio de nómina Paef – entidad sin ánimo de lucro</t>
  </si>
  <si>
    <t>[Certificaciones] Certificación para subsidio de nómina Paef – entidad del régimen tributario especial</t>
  </si>
  <si>
    <t>[Certificaciones] Certificación para que una persona natural acceda al subsidio de nómina – Paef –</t>
  </si>
  <si>
    <t>[Certificaciones] Informe del contador o revisor fiscal para que una entidad acceda al subsidio de nómina</t>
  </si>
  <si>
    <t>[Certificaciones] Certificado para modificar o suspender beneficios extralegales a causa del COVID-19</t>
  </si>
  <si>
    <t>[Liquidador] Simulador de crédito en período de gracia: estrategia de entidades financieras ante el COVID-19</t>
  </si>
  <si>
    <t>[Guía] Cuadro temático: cambios de la Resolución 000042 de 2020 sobre facturación electrónica</t>
  </si>
  <si>
    <t>[Pack de formatos] Guías para el reporte de exógena 2019: ¡descárgalas ya!</t>
  </si>
  <si>
    <t>[ORO] Categorías de informantes de exógena por el año gravable 2019 y los formatos que deben usar</t>
  </si>
  <si>
    <t>[ORO] Formatos de exógena por el año gravable 2019: reportes de los mandatarios</t>
  </si>
  <si>
    <t>[Certificaciones] Certificado de licencia remunerada compensable: protección al empleo ante el COVID-19</t>
  </si>
  <si>
    <t>[ORO] Plantilla para elaborar el formulario 300 para las declaraciones del IVA durante 2020</t>
  </si>
  <si>
    <t>[ORO] Modelo del certificado anual para socios y/o accionistas por el año 2019</t>
  </si>
  <si>
    <t>[ORO] Modificación de la jornada laboral y concertación de salario – COVID-19</t>
  </si>
  <si>
    <t>[Liquidador] Pago parcial del aporte al sistema general de pensiones – COVID-19</t>
  </si>
  <si>
    <t>[ORO] Sanciones relacionadas con la declaración informativa de precios de transferencia</t>
  </si>
  <si>
    <t>Solicitud de retiro parcial de cesantías con ocasión del COVID-19</t>
  </si>
  <si>
    <t>[ORO] Formato exógena 1010 por el año gravable 2019: reporte de socios, cooperados o comuneros</t>
  </si>
  <si>
    <t>[ORO] Formato exógena 1004 de 2019: reporte de descuentos al impuesto de renta y régimen simple</t>
  </si>
  <si>
    <t>[ORO] Formato exógena 5253 por el año gravable 2019: información de los beneficiarios efectivos</t>
  </si>
  <si>
    <t>[ORO] Formato exógena 1007 por el año gravable 2019: reportes de ingresos propios</t>
  </si>
  <si>
    <t>[ORO] Formato exógena 1647 por el año gravable 2019: reporte de ingresos recibidos para terceros</t>
  </si>
  <si>
    <t>[ORO] Formato exógena 1009 por el año gravable 2019: reporte de cuentas por pagar</t>
  </si>
  <si>
    <t>[ORO] Formato exógena 1008 por el año gravable 2019: reporte de cuentas por cobrar</t>
  </si>
  <si>
    <t>[ORO] Formato exógena 1003 por el año gravable 2019: retenciones que le practicaron al informante</t>
  </si>
  <si>
    <t>[ORO] Formatos exógena 1005 y 1006 del año gravable 2019: reportes de IVA generados y descontables</t>
  </si>
  <si>
    <t>[ORO] Formatos exógena 1011, 1012 y 2275 por el año gravable 2019: reporte de otros datos en renta e IVA</t>
  </si>
  <si>
    <t>[ORO] Formato exógena 1001 por el año gravable 2019: reporte de pagos o abonos en cuenta</t>
  </si>
  <si>
    <t>[ORO] Formatos 2276 y 2280 para el reporte de información exógena de 2019</t>
  </si>
  <si>
    <t>[Pack de formatos] Asamblea de accionistas y junta de socios: realice una correcta convocatoria</t>
  </si>
  <si>
    <t>[ORO] Plantilla para elaborar formulario 220: certificado de ingresos y retenciones – año gravable 2019</t>
  </si>
  <si>
    <t>[Calendario] Calendario tributario 2019 – versión para imprimir</t>
  </si>
  <si>
    <t>[Pack de formatos] Dictámenes e informes del revisor fiscal actualizados al 2020</t>
  </si>
  <si>
    <t>[ORO] Clasificación de las personas jurídicas frente al impuesto de renta y al SIMPLE – año gravable 2019</t>
  </si>
  <si>
    <t>Informe de revisión de información financiera intermedia con conclusión adversa</t>
  </si>
  <si>
    <t>Revisión de información financiera intermedia sin salvedades</t>
  </si>
  <si>
    <t>[ORO] Cálculo del costo de renovación de matrícula mercantil y de establecimientos de comercio (año 2020)</t>
  </si>
  <si>
    <t>[ORO] Impuesto de renta de personas naturales residentes en el régimen ordinario, año gravable 2019 vs. 2020</t>
  </si>
  <si>
    <t>[ORO] Sanciones aplicables a la documentación comprobatoria</t>
  </si>
  <si>
    <t>[ORO] Listado de contribuyentes inscritos en el régimen simple con corte a septiembre 30 de 2019</t>
  </si>
  <si>
    <t>[ORO] Proyección del impuesto al patrimonio y cálculo del de normalización y/o saneamiento 2020</t>
  </si>
  <si>
    <t>[ORO] Simulador de tributación en el régimen simple vs. régimen ordinario – año gravable 2020</t>
  </si>
  <si>
    <t>[ORO] Tablas de retención en la fuente a título de impuestos nacionales durante el año fiscal 2020</t>
  </si>
  <si>
    <t>[ORO] Comparativo de normas afectadas con la Ley de crecimiento económico 2010 de diciembre 27 de 2019</t>
  </si>
  <si>
    <t>[Guía] Cálculo de renta presuntiva para el período gravable 2019</t>
  </si>
  <si>
    <t>[ORO] Carta para solicitar un incremento de salario al empleador</t>
  </si>
  <si>
    <t>Tributación sobre dividendos y su respectiva retención fue reglamentada por el Ministerio de Hacienda</t>
  </si>
  <si>
    <t>[ORO] Retención en la fuente con procedimiento 1 sobre rentas de trabajo durante 2020</t>
  </si>
  <si>
    <t>Tabla de retención en la fuente para el año fiscal 2020</t>
  </si>
  <si>
    <t>[ORO] Tasa representativa del mercado –TRM– 2019</t>
  </si>
  <si>
    <t>[2020] Histórico de la variación nominal del salario mínimo vs. la inflación 1993 – 2019</t>
  </si>
  <si>
    <t>Novedades en la clasificación de bienes y servicios frente al IVA y el INC con la Ley 2010 de 2019</t>
  </si>
  <si>
    <t>[Calendario] Calendario tributario distrital 2020</t>
  </si>
  <si>
    <t>[ORO] Cuadro temático con los cambios introducidos por la Ley de crecimiento 2010 de 2019</t>
  </si>
  <si>
    <t>[2020] Histórico de salario mínimo y auxilio de transporte</t>
  </si>
  <si>
    <t>[Guía] Información laboral 2020</t>
  </si>
  <si>
    <t>[ORO] Porcentaje fijo de retención en la fuente sobre salarios en diciembre de 2019 – Procedimiento 2</t>
  </si>
  <si>
    <t>[Guía] Certificado de persona natural no declarante del impuesto de renta y complementario 2019</t>
  </si>
  <si>
    <t>[Lista de chequeo] Cuestionario control interno – Efectivo y equivalentes de efectivo</t>
  </si>
  <si>
    <t>[Guía] Lista de chequeo información ESF Patrimonio – Formato de conciliación fiscal 2516 versión 3 AG 2020</t>
  </si>
  <si>
    <t>[Guía] Convenios para evitar la doble tributación aplicables al año gravable 2019</t>
  </si>
  <si>
    <t>[Guía] Ingresos que no se consideran de fuente nacional – período gravable 2019</t>
  </si>
  <si>
    <t>[ORO] Rentas exentas para personas jurídicas – período gravable 2019</t>
  </si>
  <si>
    <t>[ORO] Aportes a seguridad social para trabajadores independientes con un contrato por días</t>
  </si>
  <si>
    <t>Carta para notificar terminación de contrato mercantil de forma unilateral</t>
  </si>
  <si>
    <t>[Liquidador] Simulador de subsidio de vivienda de interés social o prioritario</t>
  </si>
  <si>
    <t>[Liquidador] Formulario 350: Declaración Mensual de Retenciones en la Fuente</t>
  </si>
  <si>
    <t>[ORO] Plantilla para elaborar el formulario 445 complementario de normalización tributaria 2019</t>
  </si>
  <si>
    <t>[ORO] Formulario 350: Declaración Mensual de Retención en la Fuente (plantilla avanzada)</t>
  </si>
  <si>
    <t>[Guía] Conozca quiénes están obligados a aplicar la NICC 1</t>
  </si>
  <si>
    <t>[Guía] Lista de chequeo: requisitos por cumplir para solicitar ser autorretenedor de renta</t>
  </si>
  <si>
    <t>[ORO] Recomendaciones a la junta directiva emitida por empleado que renuncia con justa causa</t>
  </si>
  <si>
    <t>[ORO] Terminación de contrato justa causa</t>
  </si>
  <si>
    <t>[Guía] Evaluación de las competencias y recursos de la firma</t>
  </si>
  <si>
    <t>[ORO] Formulario 310: declaración del impuesto nacional al consumo (plantilla para borrador)</t>
  </si>
  <si>
    <t>[Poder] Diligencias en la Dian</t>
  </si>
  <si>
    <t>[ORO] Cálculo de intereses presuntivos sobre préstamos entre socios y sociedades durante 2018</t>
  </si>
  <si>
    <t>[Guía] Tablas para el cálculo del tiempo entre dos fechas</t>
  </si>
  <si>
    <t>[Guía] Cálculo de la contribución 2019 a Supersociedades</t>
  </si>
  <si>
    <t>[Guía] Convenios para evitar la doble tributación aplicables al año gravable 2018</t>
  </si>
  <si>
    <t>[ORO] Formulario 420 – Declaración de impuesto al patrimonio</t>
  </si>
  <si>
    <t>[ORO] Aspectos generales del contrato de aprendizaje</t>
  </si>
  <si>
    <t>[ORO] Indicadores financieros de liquidez, endeudamiento, actividad y rentabilidad</t>
  </si>
  <si>
    <t>[ORO] Consecuencias derivadas de la obligación de llevar contabilidad</t>
  </si>
  <si>
    <t>[ORO] Tabla para liquidar indemnizaciones por pérdida de capacidad laboral</t>
  </si>
  <si>
    <t>[ORO] Calendario tributario 2019 avanzado</t>
  </si>
  <si>
    <t>[ORO] Depuración del impuesto de renta para personas naturales por el año gravable 2018</t>
  </si>
  <si>
    <t>[ORO] Residentes vs. no residentes frente al impuesto de renta y ganancia ocasional 2018</t>
  </si>
  <si>
    <t>[ORO] Certificación del socio gestor en contratos de cuentas en participación</t>
  </si>
  <si>
    <t>[ORO] Certificación del mandatario en contratos de mandato</t>
  </si>
  <si>
    <t>[ORO] Formulario 210 declaración de renta año gravable 2018 – Residentes no obligados a llevar contabilidad</t>
  </si>
  <si>
    <t>[ORO] Formulario 110 declaración de renta de personas naturales AG 2018 – No obligados a llevar contabilidad</t>
  </si>
  <si>
    <t>[ORO] Formulario 210 y formato 2517 para renta AG 2018 – Residentes obligados a llevar contabilidad</t>
  </si>
  <si>
    <t>[ORO] Formulario 110 y formato 2516 declaración de renta 2018 de personas naturales obligadas a llevar contabilidad</t>
  </si>
  <si>
    <t>[ORO] Reglamentación a tener en cuenta en la declaración de renta de personas naturales año gravable 2018</t>
  </si>
  <si>
    <t>[Guía] Indicadores básicos para la declaración de renta de personas naturales por el año gravable 2018</t>
  </si>
  <si>
    <t>[Liquidador] Retención en la fuente sobre pagos laborales en junio de 2019 – Procedimiento 2</t>
  </si>
  <si>
    <t>[ORO] Modelo para determinar quién puede pertenecer al régimen simple de tributación</t>
  </si>
  <si>
    <t>[Guía] Diferencias entre el registro de una marca y una empresa</t>
  </si>
  <si>
    <t>[Guía] Plantilla para elaborar el formulario 300 para las declaraciones del IVA durante 2019</t>
  </si>
  <si>
    <t>[Guía] Inscripción de libros en las cámaras de comercio</t>
  </si>
  <si>
    <t>[Guía] Requisitos a verificar de la factura electrónica de venta antes de su emisión</t>
  </si>
  <si>
    <t>[ORO] Formato exógena 1011, 1012 y 2275 por el año gravable 2018: reporte de otros datos en renta e IVA</t>
  </si>
  <si>
    <t>[ORO] Categorías de informantes de exógena por el año gravable 2018 y los formatos que deben usar</t>
  </si>
  <si>
    <t>[ORO] Formatos 2276 y 2280 para el reporte de información exógena de 2018</t>
  </si>
  <si>
    <t>[ORO] Formato exógena 5253 por el año gravable 2018: información de los beneficiarios efectivos</t>
  </si>
  <si>
    <t>[ORO] Formatos de exógena por el año gravable 2018: reportes de los mandatarios</t>
  </si>
  <si>
    <t>[ORO] Formato exógena 1647 por el año gravable 2018: reporte de ingresos recibidos para terceros</t>
  </si>
  <si>
    <t>[ORO] Formato exógena 1010 por el año gravable 2018: reporte de socios, cooperados o comuneros</t>
  </si>
  <si>
    <t>[ORO] Formato exógena 1009 por el año gravable 2018: reporte de cuentas por pagar</t>
  </si>
  <si>
    <t>[ORO] Formato exógena 1008 por el año gravable 2018: reporte de cuentas por cobrar</t>
  </si>
  <si>
    <t>[ORO] Formato exógena 1004 de 2018: reporte de descuentos al impuesto de renta y ganancia ocasional</t>
  </si>
  <si>
    <t>[Guía] Comunicación de asuntos que generan amenazas a la independencia</t>
  </si>
  <si>
    <t>[ORO] Formato exógena 1007 por el año gravable 2018: reportes de ingresos propios</t>
  </si>
  <si>
    <t>[ORO] Formato exógena 1001 por el año gravable 2018: reporte de pagos o abonos en cuenta</t>
  </si>
  <si>
    <t>[ORO] Formatos exógena 1005 y 1006 del año gravable 2018: reportes de IVA generados y descontables</t>
  </si>
  <si>
    <t>[ORO] Formato exógena 1003 por el año gravable 2018: retenciones que le practicaron al informante</t>
  </si>
  <si>
    <t>[Guía] Devolución del IVA pagado en adquisición de materiales para construcción de VIS</t>
  </si>
  <si>
    <t>[ORO] Listado de actividades económicas (códigos CIIU)</t>
  </si>
  <si>
    <t>[Lista de chequeo] Seguimiento de control de calidad en un encargo de auditoría bajo NICC 1</t>
  </si>
  <si>
    <t>[ORO] Reglamentación para la declaración de renta de personas jurídicas por el año gravable 2018</t>
  </si>
  <si>
    <t>[ORO] Formulario 110 y formato 2516 para declaración de renta o ingresos y patrimonio 2018</t>
  </si>
  <si>
    <t>[ORO] Estructura general del Decreto único tributario 1625 de 2016</t>
  </si>
  <si>
    <t>[ORO] Clasificación general de personas jurídicas frente al impuesto de renta por el año gravable 2018</t>
  </si>
  <si>
    <t>[Guía] Indicadores básicos para declaración de renta de personas jurídicas año gravable 2018</t>
  </si>
  <si>
    <t>[Guía] Lista de chequeo: estándares mínimos de seguridad para empresas grandes y medianas</t>
  </si>
  <si>
    <t>[Guía] Requisitos para acceder a beneficios de la economía naranja y desarrollo del campo colombiano</t>
  </si>
  <si>
    <t>[Guía] Lista de chequeo: estándares mínimos de seguridad para empresas medianas</t>
  </si>
  <si>
    <t>[Guía] Comunicación de deficiencias en el proceso de inspección del seguimiento del control de calidad</t>
  </si>
  <si>
    <t>[Guía] Lista de chequeo: estándares mínimos de seguridad para pequeñas empresas</t>
  </si>
  <si>
    <t>[Liquidador] Costo de renovación de matrícula mercantil y establecimientos de comercio en 2019</t>
  </si>
  <si>
    <t>[Contrato] Compraventa de un establecimiento de comercio</t>
  </si>
  <si>
    <t>[ORO] Proyección del impuesto al patrimonio y cálculo del de normalización y/o saneamiento 2019</t>
  </si>
  <si>
    <t>[Guía] Modelo del certificado anual a socios o accionistas por el año 2018</t>
  </si>
  <si>
    <t>[ORO] Cambios en la tributación sobre dividendos, luego de la Ley de financiamiento</t>
  </si>
  <si>
    <t>[ORO] Depuración del impuesto de renta de personas jurídicas en el régimen ordinario 2018 vs. 2019</t>
  </si>
  <si>
    <t>[ORO] Cambios en el impuesto de renta de las personas naturales luego de la Ley de financiamiento</t>
  </si>
  <si>
    <t>[ORO] Comparativo entre la depuración de la renta en el régimen ordinario y en el régimen simple</t>
  </si>
  <si>
    <t>[ORO] Formulario 220: certificado por rentas de trabajo año gravable 2018</t>
  </si>
  <si>
    <t>[Liquidador] Impuesto de renta ordinario vs impuesto simple: ¿cuál es la decisión más conveniente?</t>
  </si>
  <si>
    <t>[Guía] Requisitos para acceder al subsidio de desempleo</t>
  </si>
  <si>
    <t>[Guía] Tarifas de autorretención especial en renta automatizado</t>
  </si>
  <si>
    <t>[Guía] Indicadores básicos para tener en cuenta durante 2019</t>
  </si>
  <si>
    <t>[ORO] Novedades en clasificación de bienes y servicios frente a IVA e INC</t>
  </si>
  <si>
    <t>[Guía] Requisitos para pertenecer al régimen simple de tributación</t>
  </si>
  <si>
    <t>[ORO] Porcentaje fijo y retención en la fuente con procedimiento 2 durante 2019 tras Ley de financiamiento</t>
  </si>
  <si>
    <t>[ORO] Retención en la fuente con procedimiento 1 sobre rentas de trabajo 2019 tras Ley de financiamiento</t>
  </si>
  <si>
    <t>[Liquidador] Retención en la fuente con procedimiento 1 sobre rentas de trabajo durante 2019</t>
  </si>
  <si>
    <t>[Liquidador] Porcentaje fijo diciembre 2018 y junio 2019, y retención en la fuente con procedimiento 2 por 2019</t>
  </si>
  <si>
    <t>[Guía] Información laboral 2019</t>
  </si>
  <si>
    <t>[Formato] Radicación de licencia de maternidad ante EPS al no cotizar todo el período de gestación</t>
  </si>
  <si>
    <t>[Guía] Tasa representativa del mercado -TRM- 2018</t>
  </si>
  <si>
    <t>Histórico de la variación nominal del salario mínimo vs. la inflación 1993 – 2018</t>
  </si>
  <si>
    <t>[Guía avanzada] Tablas de retención en la fuente a título de impuestos nacionales 2019</t>
  </si>
  <si>
    <t>[Guía] Tabla de retenciones en la fuente por renta para el año fiscal 2019</t>
  </si>
  <si>
    <t>[Calendario] Calendario tributario distrital 2019</t>
  </si>
  <si>
    <t>[ORO] Matriz de cambios introducidos por la Ley de financiamiento 1943 de 2018</t>
  </si>
  <si>
    <t>[ORO] Comparativo de normas afectadas por la Ley de financiamiento 1943 de diciembre 28 de 2018</t>
  </si>
  <si>
    <t>[Guía] Dictamen para empresas que aplican el Estándar Internacional para Pymes</t>
  </si>
  <si>
    <t>[Certificación] Certificado de ingresos por rendimientos financieros expedido por contador público</t>
  </si>
  <si>
    <t>[2019] Histórico de salario mínimo y auxilio de transporte</t>
  </si>
  <si>
    <t>[ORO] Disminución de la base de retención por pagos a terceros por concepto de alimentación</t>
  </si>
  <si>
    <t>[Carta] Solicitud de aplicación de tarifa superior de retención en la fuente</t>
  </si>
  <si>
    <t>[ORO] Equivalencias entre cuentas contables y formato de conciliación fiscal 2516</t>
  </si>
  <si>
    <t>[Carta] Anuncio de modificación a términos de descuento por pronto pago</t>
  </si>
  <si>
    <t>[Formato] Nota débito</t>
  </si>
  <si>
    <t>[Guía] Proveedores tecnológicos autorizados para prestar servicios de facturación electrónica</t>
  </si>
  <si>
    <t>[Certificado] Certificación para efectos de retención en la fuente de trabajador independiente</t>
  </si>
  <si>
    <t>[Carta] Carta otorgando poder</t>
  </si>
  <si>
    <t>[Liquidador] Histórico de reajustes fiscales</t>
  </si>
  <si>
    <t>[ORO] Demanda de nulidad y restablecimiento del derecho contra la Dian</t>
  </si>
  <si>
    <t>[ORO] Recurso de reconsideración presentado ante la Dian</t>
  </si>
  <si>
    <t>[Guía] Modelo recurso de súplica – proceso laboral</t>
  </si>
  <si>
    <t>[ORO] Carta de agradecimiento a empleador</t>
  </si>
  <si>
    <t>[Guía] Modelo recurso de queja – proceso laboral</t>
  </si>
  <si>
    <t>[Guía] Conceptos y orientaciones que abordan el tratamiento contable de los contratos de concesión</t>
  </si>
  <si>
    <t>[Carta] Ofrecimiento de disculpas a un cliente por la no prestación de un servicio</t>
  </si>
  <si>
    <t>[Guía] Acuerdo de terminación voluntaria del contrato de trabajo con bonificación por servicios prestados</t>
  </si>
  <si>
    <t>[Guía] Normas del Estatuto Tributario sobre el patrimonio y renta según obligación de llevar contabilidad</t>
  </si>
  <si>
    <t>[ORO] Solicitud de empleo</t>
  </si>
  <si>
    <t>[Guía] Sistema de control de calidad aplicado a recursos humanos en un encargo de auditoría</t>
  </si>
  <si>
    <t>[Guía] Resoluciones y circulares para declaración de renta de personas naturales año gravable 2017</t>
  </si>
  <si>
    <t>[Guía] Modelo recurso de apelación – audiencia laboral</t>
  </si>
  <si>
    <t>[Guía] Decretos para la declaración de renta de personas naturales por el año gravable 2017</t>
  </si>
  <si>
    <t>[ORO] Solicitud pago de acreencias laborales</t>
  </si>
  <si>
    <t>[Guía] Informe de un auditor sobre el diseño y la eficacia de los controles de la entidad</t>
  </si>
  <si>
    <t>[Guía] Personas naturales no residentes obligadas o no a declarar impuesto de renta</t>
  </si>
  <si>
    <t>[Guía] Tratamiento contable arrendamiento financiero con opción de compra</t>
  </si>
  <si>
    <t>[Guía] Residencia fiscal y sus implicaciones fiscales</t>
  </si>
  <si>
    <t>[Guía] Impuesto de renta y ganancia ocasional según residencia fiscal de la persona natural</t>
  </si>
  <si>
    <t>[Formato] Solicitud compensación de vacaciones</t>
  </si>
  <si>
    <t>[Guía] Política contable de arrendamientos para entidades de grupo 1</t>
  </si>
  <si>
    <t>[Guía] Requisitos para que persona natural quede exonerada de declarar renta por el año gravable 2017</t>
  </si>
  <si>
    <t>[Guía] Personas naturales obligadas o no a llevar contabilidad, e implicaciones contables y tributarias</t>
  </si>
  <si>
    <t>[Guía] Políticas contables en pymes para los intangibles</t>
  </si>
  <si>
    <t>[ORO] Porcentaje fijo de retención en la fuente sobre salarios en junio de 2018 – Procedimiento 2</t>
  </si>
  <si>
    <t>[ORO] Contestación de demanda – proceso ordinario laboral</t>
  </si>
  <si>
    <t>[Liquidador] Cálculo de la contribución 2018 a Supersociedades</t>
  </si>
  <si>
    <t>[ORO] Conceptos que se someten o no a límites de rentas y deducciones especiales</t>
  </si>
  <si>
    <t>[Guía] Recurso de reposición – proceso laboral</t>
  </si>
  <si>
    <t>[Liquidador] Liquidador de vacaciones</t>
  </si>
  <si>
    <t>[Poder] Poder de sustitución</t>
  </si>
  <si>
    <t>[Guía] Informe sobre los hallazgos obtenidos en las propiedades, planta y equipo</t>
  </si>
  <si>
    <t>[ORO] Doctrinas de la Dian para tener en cuenta al elaborar declaración de renta personas naturales 2017</t>
  </si>
  <si>
    <t>[ORO] Depuración a efectuar dentro de las 5 cédulas de la declaración de renta de personas naturales</t>
  </si>
  <si>
    <t>[ORO] Formulario 210 para declaración renta año gravable 2017 – obligados a llevar contabilidad</t>
  </si>
  <si>
    <t>[Carta] Solicitud de depósito de recursos a cuenta AFC para que no se practique retefuente</t>
  </si>
  <si>
    <t>[ORO] Formulario 110 – declaración de renta 2017 de personas naturales obligadas a llevar contabilidad</t>
  </si>
  <si>
    <t>[ORO] Notificación de no renovación de contrato laboral a término fijo</t>
  </si>
  <si>
    <t>[ORO] Formulario 210 para declaración renta año gravable 2017 – no obligados a llevar contabilidad</t>
  </si>
  <si>
    <t>[Guía] Informe sobre los hallazgos obtenidos en las cuentas por cobrar en una pyme</t>
  </si>
  <si>
    <t>[ORO] Beneficios tributarios por venta o herencia de bien inmueble</t>
  </si>
  <si>
    <t>[Guía] Declaración de renta año gravable 2017: indicadores y otros datos básicos para su elaboración</t>
  </si>
  <si>
    <t>[Liquidador] Cobro coactivo: conozca si la Dian debería levantar medida cautelar sobre un bien del contribuyente</t>
  </si>
  <si>
    <t>[Carta] Revocatoria de poder otorgado a un abogado</t>
  </si>
  <si>
    <t>[ORO] Formulario 110 – declaración de renta 2017 de personas naturales no obligadas a llevar contabilidad</t>
  </si>
  <si>
    <t>[Guía] Rentas exentas y deducciones aplicables a cada cédula</t>
  </si>
  <si>
    <t>[Carta] Notificación de último cobro extrajudicial</t>
  </si>
  <si>
    <t>[Certificado] Cumplimiento de requisitos para solicitar permanencia en el régimen tributario especial</t>
  </si>
  <si>
    <t>[Certificado] Antecedentes de directivos en entidades del régimen especial</t>
  </si>
  <si>
    <t>[ORO] Plantilla para elaborar XML de formatos 1004, 1011 y 2275 para el año gravable 2017</t>
  </si>
  <si>
    <t>[ORO] Registro web de las entidades del régimen especial: trámites que debe realizar cada tipo de entidad</t>
  </si>
  <si>
    <t>[Guía] Reforma al acuerdo de reorganización</t>
  </si>
  <si>
    <t>[ORO] Clasificación general de personas jurídicas en relación con el impuesto de renta por el 2017</t>
  </si>
  <si>
    <t>[Guía] Informe de revisión de estados financieros de una pyme conforme a la NIER 2400</t>
  </si>
  <si>
    <t>[Guía] Solicitud de normalización de acreencias</t>
  </si>
  <si>
    <t>[Guía] Normalización de acreencias incumplidas en proceso de reorganización</t>
  </si>
  <si>
    <t>[Guía] Levantamiento de medida cautelar en proceso de reorganización</t>
  </si>
  <si>
    <t>[Guía] Incorporación de procesos ejecutivos en proceso de reorganización empresarial</t>
  </si>
  <si>
    <t>[Guía] Remisión de documentos reunión de acreedores</t>
  </si>
  <si>
    <t>[Guía] Presentación de reforma de acuerdo de reorganización</t>
  </si>
  <si>
    <t>[Guía] Denuncia por incumplimiento de obligación de hacer en acuerdo de reorganización</t>
  </si>
  <si>
    <t>[Guía] Denuncia de incumplimiento de acuerdo de reestructuración</t>
  </si>
  <si>
    <t>[Certificación] Certificación trimestral de cumplimiento total de la Circular 156–000005 de 2011</t>
  </si>
  <si>
    <t>[Certificación] Oficio de cumplimiento de la Circular 156–000005 de 2011</t>
  </si>
  <si>
    <t>[Certificación] Certificación de cumplimiento de Circular 156–000005 de 2011</t>
  </si>
  <si>
    <t>[ORO] Formatos exógena 1011, 1012 y 2275 por el año gravable 2017: reporte de otros datos en renta e IVA</t>
  </si>
  <si>
    <t>[ORO] Formato exógena 1009 por el año gravable 2017: reporte de cuentas por pagar</t>
  </si>
  <si>
    <t>Formatos de exógena por el año gravable 2017: reportes de los mandatarios</t>
  </si>
  <si>
    <t>[ORO] Formato exógena 1008 por el año gravable 2017: reporte de cuentas por cobrar</t>
  </si>
  <si>
    <t>[ORO] Formato exógena 1007 por el año gravable 2017: reportes de ingresos propios</t>
  </si>
  <si>
    <t>[ORO] Formatos exógena 1005 y 1006 por el año gravable 2017: reportes de IVA generados y descontables</t>
  </si>
  <si>
    <t>[ORO] Formato exógena 1003 por el año gravable 2017: retenciones que le practicaron al informante</t>
  </si>
  <si>
    <t>[ORO] Resumen de categorías de informantes de exógena por el año gravable 2017 y formatos que deben usar</t>
  </si>
  <si>
    <t>[ORO] Formato exógena 1004 por 2017: reporte de descuentos al impuesto de renta y ganancia ocasional</t>
  </si>
  <si>
    <t>Formatos 2276, 2278 y 2280 para el reporte de información exógena por 2017</t>
  </si>
  <si>
    <t>Formato exógena 1647 por el año gravable 2017: reporte de ingresos recibidos para terceros</t>
  </si>
  <si>
    <t>Formato exógena 1010 por el año gravable 2017: reporte de socios, cooperados o comuneros</t>
  </si>
  <si>
    <t>[ORO] Formato exógena 1001 por el año gravable 2017: reporte de pagos o abonos en cuenta</t>
  </si>
  <si>
    <t>[Guía] Reglamentación para la declaración de renta de personas jurídicas 2017</t>
  </si>
  <si>
    <t>[ORO] Formulario 110 y formato 2516 para declaración de renta o ingresos y patrimonio 2017</t>
  </si>
  <si>
    <t>[ORO] Arqueo de caja</t>
  </si>
  <si>
    <t>[Liquidador] Beneficio neto o excedente de las entidades del régimen tributario especial</t>
  </si>
  <si>
    <t>[ORO] Liquidador básico de nómina</t>
  </si>
  <si>
    <t>[Certificación] Explotación de áreas comunes por copropiedades comerciales o mixtas</t>
  </si>
  <si>
    <t>[ORO] Costo de renovación 2018 de matrícula mercantil y establecimientos de comercio</t>
  </si>
  <si>
    <t>[Liquidador] Formulario 220 certificado por rentas de trabajo del año gravable 2017: ejemplo de asalariados</t>
  </si>
  <si>
    <t>[Guía] Testamento abierto o público cuando no hay hijos herederos</t>
  </si>
  <si>
    <t>[Liquidador] Aplicativo simulador y comparativo de créditos cuota fija</t>
  </si>
  <si>
    <t>[Calendario] Calendarios tributarios 2018 de los distritos y municipios principales de Colombia</t>
  </si>
  <si>
    <t>[Guía] Amparo de pobreza</t>
  </si>
  <si>
    <t>[Guía] Sanciones relacionadas con ICA, impuesto predial y de vehículos en Bogotá</t>
  </si>
  <si>
    <t>[Liquidador] Cálculo de tasa de interés efectiva implícita en una cuota</t>
  </si>
  <si>
    <t>[Poderes] Poder para adelantar sucesión ante Notaría</t>
  </si>
  <si>
    <t>[Liquidador] Conversión de tasas de interés</t>
  </si>
  <si>
    <t>[Calendario] Calendario tributario de Cali 2018</t>
  </si>
  <si>
    <t>[Calendario] Calendario tributario de Medellín 2018</t>
  </si>
  <si>
    <t>[Calendario] Calendarios tributarios de las tres principales ciudades de Colombia 2018</t>
  </si>
  <si>
    <t>[Guía] Escritura pública de disolución de sociedad comercial</t>
  </si>
  <si>
    <t>[ORO] Plantilla para elaborar formulario 220 certificado por rentas de trabajo del año gravable 2017</t>
  </si>
  <si>
    <t>[Guía] Decretos reglamentarios de la Ley de reforma tributaria 1819 de 2016 expedidos a finales de 2017</t>
  </si>
  <si>
    <t>[Guía] Demanda para fijación de nuevo valor de arrendamiento de local comercial</t>
  </si>
  <si>
    <t>[Guía] Impuesto diferido aplicado a propiedades de inversión: caso práctico</t>
  </si>
  <si>
    <t>[Guía] Indicadores básicos a tener en cuenta en el 2018</t>
  </si>
  <si>
    <t>[Guía] Declaración de extinción de la obligación hipotecaria</t>
  </si>
  <si>
    <t>[Liquidador] Límite de pagos en efectivo a tener en cuenta para 2018</t>
  </si>
  <si>
    <t>[Guía] Demanda de cancelación y reposición de título valor contra entidad bancaria</t>
  </si>
  <si>
    <t>[Lista de chequeo] Revisión de control de calidad en un encargo de auditoría</t>
  </si>
  <si>
    <t>[Liquidador] Retención en la fuente con procedimiento 1 sobre rentas de trabajo durante el 2018</t>
  </si>
  <si>
    <t>[Contrato] Contrato de comodato</t>
  </si>
  <si>
    <t>[Guía] Tipos de términos de firmeza de las declaraciones tributarias</t>
  </si>
  <si>
    <t>[Guía] Información laboral 2018</t>
  </si>
  <si>
    <t>[2018] Histórico de salario mínimo y auxilio de transporte</t>
  </si>
  <si>
    <t>[Calendario] Calendario para personas naturales 2018</t>
  </si>
  <si>
    <t>[Calendario] Calendario tributario distrital 2018</t>
  </si>
  <si>
    <t>[Guía] Tasa representativa de mercado –TRM–</t>
  </si>
  <si>
    <t>[ORO] Calendario tributario automatizado 2018</t>
  </si>
  <si>
    <t>[ORO] Tabla de retenciones en la fuente por renta para año fiscal 2018</t>
  </si>
  <si>
    <t>[Calendario] Calendario tributario 2018</t>
  </si>
  <si>
    <t>[Guía] Modelo del certificado anual a socios y/o accionistas por el año 2017</t>
  </si>
  <si>
    <t>[ORO] Porcentaje fijo de retención en la fuente sobre salarios en diciembre de 2017 – Procedimiento 2</t>
  </si>
  <si>
    <t>[Poder] Para constituir una sociedad anónima otorgado por persona jurídica extranjera</t>
  </si>
  <si>
    <t>[Carta] Independencia del revisor fiscal o auditor de la firma</t>
  </si>
  <si>
    <t>[ORO] Categorías de informantes de exógena por el año gravable 2017 y formatos que deben usar</t>
  </si>
  <si>
    <t>[Guía] Demanda de restitución de bien inmueble arrendado – Local de comercio</t>
  </si>
  <si>
    <t>[Carta] Confirmación del auditor de un componente</t>
  </si>
  <si>
    <t>[Guía] Régimen simplificado del IVA y del impuesto al consumo: diferencias y similitudes</t>
  </si>
  <si>
    <t>[Guía] Persona natural, empresa unipersonal o SAS: características frente a obligaciones tributarias</t>
  </si>
  <si>
    <t>[Guía] Recurso de queja por denegar liquidación de crédito en proceso ejecutivo</t>
  </si>
  <si>
    <t>[Poder] Solicitud de pruebas extraprocesales</t>
  </si>
  <si>
    <t>[ORO] Conciliación contable y tributaria: casos de descuentos y deducciones (parte IV)</t>
  </si>
  <si>
    <t>[ORO] Conciliación contable y tributaria: casos de descuentos tributarios</t>
  </si>
  <si>
    <t>[Guía] Demanda de proceso ejecutivo singular (letra de cambio)</t>
  </si>
  <si>
    <t>[Guía] Conciliación contable y tributaria: casos de costos y deducciones (parte II)</t>
  </si>
  <si>
    <t>[Guía] Descuentos tributarios para personas jurídicas y sus límites al momento de aplicarlos</t>
  </si>
  <si>
    <t>[Contrato] Distribución exclusiva</t>
  </si>
  <si>
    <t>[ORO] Conciliación contable y tributaria: casos de costos y deducciones (parte I)</t>
  </si>
  <si>
    <t>[Guía] Formatos para acceder a exclusión de IVA en equipos en pro del medio ambiente</t>
  </si>
  <si>
    <t>[Contrato] Compromiso de fusión</t>
  </si>
  <si>
    <t>[Guía] Lista de chequeo: evidencia relativa a los controles en una organización de servicios</t>
  </si>
  <si>
    <t>[Guía] Zomac: listado automatizado de municipios pertenecientes a estas zonas</t>
  </si>
  <si>
    <t>[Guía] Convocatoria de integración de tribunal de arbitramento comercial</t>
  </si>
  <si>
    <t>[Guía] Beneficio en renta para sociedades ubicadas en Zomac: requisitos según el tamaño de la empresa</t>
  </si>
  <si>
    <t>[Acta] Acta final de arreglo directo</t>
  </si>
  <si>
    <t>[Contrato] Cesión de derechos litigiosos</t>
  </si>
  <si>
    <t>[ORO] Cuenta de cobro para una persona que presta servicios en el régimen simplificado del IVA</t>
  </si>
  <si>
    <t>[Demanda] Levantamiento de fuero sindical</t>
  </si>
  <si>
    <t>​[Guía] Requisitos para no estar obligado a declarar renta por el año gravable 2016</t>
  </si>
  <si>
    <t>[Guía] Patrimonio y rentas a declarar según la residencia fiscal del contribuyente</t>
  </si>
  <si>
    <t>[Guía] Demanda para iniciar proceso ejecutivo laboral</t>
  </si>
  <si>
    <t>[Guía] Conducta sancionable, ¿en qué consiste para efectos de liquidar sanción reducida?</t>
  </si>
  <si>
    <t>[ORO] Contrato de outsourcing</t>
  </si>
  <si>
    <t>[Guía] Convenios para evitar la doble tributación aplicables al año gravable 2016</t>
  </si>
  <si>
    <t>[Guía] Declaración de renta año gravable 2016: indicadores y otros datos básicos para su elaboración</t>
  </si>
  <si>
    <t>[Guía] Lista de chequeo de requisitos para obtener la tarjeta profesional de contador público</t>
  </si>
  <si>
    <t>[Matriz] Clasificación tributaria de una persona natural según el Concepto 885 de julio 31 de 2014</t>
  </si>
  <si>
    <t>[Formularios] Formulario de reclamos del usuario o cliente</t>
  </si>
  <si>
    <t>[Guía] Lista de chequeo de requisitos para la expedición de la tarjeta de registro de entidades</t>
  </si>
  <si>
    <t>​[Guía] Conducta sancionable, comisión de la misma conducta no permite liquidar sanción reducida</t>
  </si>
  <si>
    <t>[Carta] Modelo de circularización con compañías de seguros</t>
  </si>
  <si>
    <t>[Liquidador] Prorrateo de IVA comunes: hoja de trabajo con cálculos básicos</t>
  </si>
  <si>
    <t>[Guía] Personas naturales obligadas y no obligadas a llevar contabilidad</t>
  </si>
  <si>
    <t>[Certificación] Certificación laboral</t>
  </si>
  <si>
    <t>[Liquidador] Cálculo de la contribución 2017 a la Supersociedades</t>
  </si>
  <si>
    <t>[Guía] Lista de chequeo de revelaciones para microempresas</t>
  </si>
  <si>
    <t>​[Matriz] Clasificación tributaria de una persona natural según Decreto 3032 de 2013</t>
  </si>
  <si>
    <t>[Contrato] Transacción para terminar contrato de obra en propiedad horizontal</t>
  </si>
  <si>
    <t>[Matriz] Residente para efectos fiscales</t>
  </si>
  <si>
    <t>[ORO] Carta de interrupción de la prescripción de las acciones laborales</t>
  </si>
  <si>
    <t>[Guía] Tabla de equivalencias de términos sobre Normas Internacionales de Auditoría</t>
  </si>
  <si>
    <t>[Guía] Habilitación para expedir factura electrónica: proceso a seguir</t>
  </si>
  <si>
    <t>[Contrato] Contrato de obra para construcción</t>
  </si>
  <si>
    <t>[ORO] Pasos que debe seguir el consumidor financiero para exponer una inconformidad</t>
  </si>
  <si>
    <t>[Guía] Términos a tener en cuenta en el trámite de solicitud de devolución de saldos a favor</t>
  </si>
  <si>
    <t>[Formato] Cuestionario de auditoría para área de sistemas</t>
  </si>
  <si>
    <t>​[Matriz] Cédula rentas de capital y su renta líquida según Concepto 5984 de marzo 17 de 2017</t>
  </si>
  <si>
    <t>[ORO] Renta presuntiva y las novedades de la reforma tributaria en su determinación</t>
  </si>
  <si>
    <t>[Carta] Radicación de licencia de maternidad cuando no se cotizó todo el embarazo</t>
  </si>
  <si>
    <t>[ORO] Cuestionario de auditoría para área de producción</t>
  </si>
  <si>
    <t>[Guía] Listado de relaciones de intercambio de información de cuentas financieras que tiene Colombia</t>
  </si>
  <si>
    <t>[Guía] Tasas: generalidades y conceptos</t>
  </si>
  <si>
    <t>[ORO] Contribuyentes de monotributo ARL y valor a pagar por cada componente por 2017</t>
  </si>
  <si>
    <t>[Acta] Reclamación ante empresas de telefonía celular por reporte negativo a centrales de riesgo</t>
  </si>
  <si>
    <t>[ORO] Intereses moratorios sobre deudas tributarias luego de la Ley 1819 de 2016</t>
  </si>
  <si>
    <t>[ORO] Formularios 210 y 230 con anexos para declaración de renta año gravable 2016</t>
  </si>
  <si>
    <t>[ORO] ​Formularios 110 y 240 con anexos para declaración de renta año gravable 2016</t>
  </si>
  <si>
    <t>​[ORO] Modelo para proyectar efectos de IMAN e IMAS en declaraciones de renta 2016 de empleados</t>
  </si>
  <si>
    <t>[ORO] Clasificación tributaria de las personas naturales y sucesiones ilíquidas por el año 2016</t>
  </si>
  <si>
    <t>​[ORO] Modelo para proyectar efectos de IMAS por 2016 de trabajadores por cuenta propia</t>
  </si>
  <si>
    <t>[Guía] Contribuyentes de monotributo BEPS y valor a pagar por cada componente</t>
  </si>
  <si>
    <t>[Acta] Aprobación de disolución de sociedad de responsabilidad limitada</t>
  </si>
  <si>
    <t>[Acta] Acta de junta para transformación de SA a SAS</t>
  </si>
  <si>
    <t>[Certificación] Requisitos para acceder a beneficios en registro mercantil de la Ley Projoven</t>
  </si>
  <si>
    <t>[ORO] Porcentaje fijo de retención en la fuente sobre salarios en junio de 2017 – Procedimiento 2</t>
  </si>
  <si>
    <t>[Acta] Acta de junta para transformación de Ltda a SAS</t>
  </si>
  <si>
    <t>[Carta] Reclamación por garantías sobre bienes o servicios</t>
  </si>
  <si>
    <t>[ORO] Manifestación de temas a tratar en informes de control interno</t>
  </si>
  <si>
    <t>Retefuente con procedimiento 1 para quienes perciban rentas de trabajo</t>
  </si>
  <si>
    <t>[Guía] Régimen tributario especial: información que debe contener el registro de inscripción</t>
  </si>
  <si>
    <t>​[ORO] Formulario 300 para declaraciones de IVA bimestrales y/o cuatrimestrales durante 2017</t>
  </si>
  <si>
    <t>[Contrato] Escrituras de venta de inmueble que no está ubicado en propiedad horizontal</t>
  </si>
  <si>
    <t>[Contrato] Escrituras de venta de inmueble ubicado en propiedad horizontal</t>
  </si>
  <si>
    <t>[Guía] Información requerida para agendar cita en la DIAN</t>
  </si>
  <si>
    <t>[Guía] Elementos conceptuales para informe de control interno</t>
  </si>
  <si>
    <t>[Guía] Modelo de manifestación de la gerencia dirigida a la revisoría fiscal</t>
  </si>
  <si>
    <t>[ORO] Formato 1003 por 2016: reportes de retenciones que le practicaron a la persona o entidad informante</t>
  </si>
  <si>
    <t>[ORO] Formato 1009 por 2016: reportes de cuentas por pagar</t>
  </si>
  <si>
    <t>[ORO] Formato 1004 por 2016: reporte de descuentos al impuesto de renta o de ganancia ocasional</t>
  </si>
  <si>
    <t>[ORO] Formato 1647 por 2016: reportes de ingresos recibidos para terceros</t>
  </si>
  <si>
    <t>[ORO] Formato 1007 por 2016: reportes de ingresos propios</t>
  </si>
  <si>
    <t>[ORO] Formato 1001 por 2016: reportes de pagos o abonos en cuenta y sus retenciones a terceros</t>
  </si>
  <si>
    <t>[ORO] Formatos 2276, 2278 y 2280 para el reporte de información exógena por 2016</t>
  </si>
  <si>
    <t>[ORO] Formatos 1005 y 1006 por 2016: reportes de IVA generados y descontables</t>
  </si>
  <si>
    <t>[ORO] Formato 1010 por 2016: reportes de socios, cooperados o comuneros</t>
  </si>
  <si>
    <t>[ORO] Formato 1008 por 2016: reportes de cuentas por cobrar</t>
  </si>
  <si>
    <t>[Guía] Incentivos de la reforma tributaria que fueron reglamentados a nivel territorial</t>
  </si>
  <si>
    <t>[ORO] Formatos 1011, 1012 y 2275 por 2016: reportes de otros datos en renta o en ingresos y patrimonio</t>
  </si>
  <si>
    <t>[Contrato] Solicitud al banco de cheques originales pagados</t>
  </si>
  <si>
    <t>[Guía] Dictamen de la revisoría fiscal para una empresa del Grupo 2 por el año 2016</t>
  </si>
  <si>
    <t>[Guía] Matriz para definir si pertenece al régimen simplificado del IVA</t>
  </si>
  <si>
    <t>[Contrato] Contrato de depósito</t>
  </si>
  <si>
    <t>[Guía] Matriz para definir si pertenece al régimen simplificado del impuesto nacional al consumo</t>
  </si>
  <si>
    <t>[Contrato] Distribución de productos</t>
  </si>
  <si>
    <t>[Contrato] Arrendamiento de oficina, local o bodega</t>
  </si>
  <si>
    <t>[Guía] Modelo de certificación de Estados Financieros (versión extendida)</t>
  </si>
  <si>
    <t>[Guía] Cambios en conceptos de exógena para reportar descuentos tributarios solicitados</t>
  </si>
  <si>
    <t>[ORO] Formularios 110 y 140 y formato 1732 para personas jurídicas por año gravable 2016</t>
  </si>
  <si>
    <t>[ORO] Derecho de petición de interés particular contra empresa de servicios públicos -ESP-</t>
  </si>
  <si>
    <t>[Guía] Política contable sobre moneda funcional y transacciones en moneda extranjera para Pymes</t>
  </si>
  <si>
    <t>[ORO] Plantilla para elaborar borrador de formulario 350 de marzo de 2017 en adelante</t>
  </si>
  <si>
    <t>[Guía] Nuevos conceptos de exógena para reportar ingresos por operaciones con IVA</t>
  </si>
  <si>
    <t>[Acta] Reunión de junta directiva</t>
  </si>
  <si>
    <t>[Acta] Autorización de aumento del capital</t>
  </si>
  <si>
    <t>[Guía] Cambios en conceptos de exógena para reportar valores de costos y deducciones</t>
  </si>
  <si>
    <t>[Acta] Iniciación de arreglo directo</t>
  </si>
  <si>
    <t>[Guía] Modelo informe del Revisor Fiscal con ISAE</t>
  </si>
  <si>
    <t>[Guía] Cambios en los conceptos de exógena para reportar valores de rentas exentas</t>
  </si>
  <si>
    <t>[ORO] Calendario Tributario 2017 automatizado</t>
  </si>
  <si>
    <t>[Liquidador] Matrícula Mercantil y establecimientos de comercio: costo de renovación año 2017</t>
  </si>
  <si>
    <t>[Guía] Cambios en los conceptos para reportar ingresos no constitutivos de renta ni ganancia ocasional</t>
  </si>
  <si>
    <t>[Guía] Convocatoria junta de socios o asamblea general extraordinaria</t>
  </si>
  <si>
    <t>[Guía] Síntesis de las modificaciones de la Ley 1819 de 2016 a rentas exentas del artículo 207-2</t>
  </si>
  <si>
    <t>[ORO] Plantilla para elaborar Formulario 220 certificado de ingresos y retenciones a empleados año gravable 2016</t>
  </si>
  <si>
    <t>[Guía] Políticas contables más significativas en Pymes</t>
  </si>
  <si>
    <t>[Formato] Comprobante de préstamos sobre salarios</t>
  </si>
  <si>
    <t>​​[Guía] Nota 2: base de preparación de Estados Financieros bajo el Estándar Internacional para Pymes</t>
  </si>
  <si>
    <t>[Formato] Allanamiento a las pretensiones de la demanda</t>
  </si>
  <si>
    <t>​[ORO] Cálculo de retención sobre dividendos de 2016, anteriores, de 2017 y siguientes</t>
  </si>
  <si>
    <t>[Formato] Demanda de divorcio de matrimonio civil</t>
  </si>
  <si>
    <t>[ORO] Cuadro temático con los cambios introducidos por la Ley de reforma tributaria 1819 de 2016</t>
  </si>
  <si>
    <t>[Guía] Matriz para clasificar empresas que inicien actividades en ZOMAC y tarifa en renta a aplicar por 2017</t>
  </si>
  <si>
    <t>[Formato] Cesión de derechos hereditarios</t>
  </si>
  <si>
    <t>[Formato] Tabla de retención en la fuente sobre ingresos laborales</t>
  </si>
  <si>
    <t>[Guía] Matriz para determinar valor de excesos de renta presuntiva y de base mínima a compensar</t>
  </si>
  <si>
    <t>[Guía] Matriz para determinar valor de pérdidas fiscales susceptibles de compensación según reforma</t>
  </si>
  <si>
    <t>[Guía] Información laboral 2017</t>
  </si>
  <si>
    <t>[Formato] Poder especial para adelantar proceso ejecutivo</t>
  </si>
  <si>
    <t>[Liquidador] Sobretasa del impuesto de renta y complementario de personas jurídicas</t>
  </si>
  <si>
    <t>[Guía] Matriz para definir periodicidad de declaración y pago de IVA en 2017 según reforma tributaria 2016</t>
  </si>
  <si>
    <t>[Formato] Liquidador de seguridad social y provisión de prestaciones sociales para servicio doméstico</t>
  </si>
  <si>
    <t>[ORO] Listado de bienes y servicios cuya clasificación frente al IVA fue modificada con la Ley 1819</t>
  </si>
  <si>
    <t>[ORO] Tablas de retención en la fuente a título de los impuestos nacionales durante el año fiscal 2017</t>
  </si>
  <si>
    <t>[ORO] Gravamen progresivo en impuesto de renta de personas naturales</t>
  </si>
  <si>
    <t>​[Guía] Matriz para definir quién puede acogerse al Monotributo por el año 2017 según reforma tributaria</t>
  </si>
  <si>
    <t>[Guía] Matriz para definir categoría en Monotributo y valor a pagar en 2017 según reforma tributaria 2016</t>
  </si>
  <si>
    <t>[Formato] Poder especial otorgado por representante legal de persona jurídica</t>
  </si>
  <si>
    <t>[Guía] Tabla de retenciones en la fuente por renta año fiscal 2017</t>
  </si>
  <si>
    <t>[Calendario] Calendario tributario distrital 2017</t>
  </si>
  <si>
    <t>[Formato] Cédula de control para valoración de riesgos en compras</t>
  </si>
  <si>
    <t>[Guía] Matriz para definir categoría en Monotributo y valor a pagar en 2017 según reforma tributaria</t>
  </si>
  <si>
    <t>​[Guía] Matriz para definir la periodicidad de declaración y pago del IVA en 2017 según reforma tributaria</t>
  </si>
  <si>
    <t>[Guía] Lista de chequeo de revelaciones Sección 27: deterioro del valor de los activos</t>
  </si>
  <si>
    <t>[Guía] Matriz para definir obligados a declarar renta según reforma tributaria aprobada en primer debate</t>
  </si>
  <si>
    <t>[ORO] Modelo para definir porcentaje fijo de retefuente sobre salarios en diciembre 2016 – Procedimiento 2</t>
  </si>
  <si>
    <t>[Formato] Modelo de carta para solicitar a la empresa de servicios públicos la suspensión del contrato de telefonía e internet</t>
  </si>
  <si>
    <t>[Guía] Lista de chequeo de revelaciones Sección 26: pagos basados en acciones</t>
  </si>
  <si>
    <t>[Calendario] Calendario tributario 2017</t>
  </si>
  <si>
    <t>[Acta] Modelo para otorgar poder de representación ante una junta de socios o asamblea de accionistas</t>
  </si>
  <si>
    <t>[Guía] Lista de chequeo de revelaciones Sección 24: subvenciones del gobierno</t>
  </si>
  <si>
    <t>[Guía] Matriz para definir si puede acogerse al Monotributo por el año 2017 según proyecto reforma tributaria</t>
  </si>
  <si>
    <t>[Autorización] Formato autorización permiso de salida del país para menores</t>
  </si>
  <si>
    <t>[Guía] Lista de chequeo de revelaciones Sección 23: ingresos de actividades ordinarias</t>
  </si>
  <si>
    <t>[Guía] Matriz para definir obligados a declarar renta por el 2017 según proyecto reforma tributaria</t>
  </si>
  <si>
    <t>[Liquidador] Cálculos para determinar valores susceptibles de ser compensados</t>
  </si>
  <si>
    <t>[Poder] Representación ante la Superintendencia de Sociedades</t>
  </si>
  <si>
    <t>[Liquidador] Tarifas en impuesto y sobretasa en renta para empresas editoriales según proyecto de reforma</t>
  </si>
  <si>
    <t>[Guía] Matriz para determinar el valor de las pérdidas fiscales susceptibles de ser compensadas</t>
  </si>
  <si>
    <t>[ORO] Impuesto de renta de persona natural según proyecto de reforma tributaria</t>
  </si>
  <si>
    <t>[Liquidador] Tablas de gravamen progresivo en impuesto y retención por renta de personas naturales</t>
  </si>
  <si>
    <t>[Guía] Estatuto Tributario concordado con el Proyecto de Ley de Reforma Tributaria</t>
  </si>
  <si>
    <t>[Guía] Dictamen de modelo (limpio o sin salvedades) del revisor fiscal</t>
  </si>
  <si>
    <t>[Guía] Estructura general del Proyecto Ley Reforma Tributaria Estructural</t>
  </si>
  <si>
    <t>[ORO] Contrato de trabajo con salario integral</t>
  </si>
  <si>
    <t>[Guía] Matriz para establecer cumplimiento de criterios para ser calificado como Gran Contribuyente</t>
  </si>
  <si>
    <t>[ORO] ESFA y Estados financieros 2015 y 2016: Caso práctico</t>
  </si>
  <si>
    <t>[Guía] Matriz para definir la periodicidad para declarar y pagar la autorretención del CREE</t>
  </si>
  <si>
    <t>[ORO] Aplicación del Estándar para Pymes por representante legal y contador</t>
  </si>
  <si>
    <t>[Guía] Matriz para definir la periodicidad de declaración y pago del impuesto sobre las ventas</t>
  </si>
  <si>
    <t>[Guía] Informe de directivos: Aplicación de los Estándares Internacionales – Grupo 2</t>
  </si>
  <si>
    <t>[Formato] “Especificaciones de los servicios” para acceder a incentivos de la Ley 1715 del 2014</t>
  </si>
  <si>
    <t>[Acta] Reglamento para la emisión de acciones</t>
  </si>
  <si>
    <t>[Formato] “Especificaciones del elemento, equipo y/o maquinaria” para acceder a incentivos de la Ley 1715</t>
  </si>
  <si>
    <t>[Acta] Disolución de una sociedad</t>
  </si>
  <si>
    <t>[Formato] Formato único de solicitud de certificación de beneficios ambientales</t>
  </si>
  <si>
    <t>[Guía] Cuadro sinóptico de la generación del IVA en operaciones con empresas en zonas francas</t>
  </si>
  <si>
    <t>[Acta] Modelos de autorización para obtener, renovar o cancelar la firma digital</t>
  </si>
  <si>
    <t>[Formato] Modelo de memorial para solicitarle al juez librar medida cautelar</t>
  </si>
  <si>
    <t>[Acta] Modelo de reclamación por garantía</t>
  </si>
  <si>
    <t>[Guía] Matriz para definir el sistema mediante el cual puede declarar un trabajador por cuenta propia</t>
  </si>
  <si>
    <t>[Acta] Acta de Junta Directiva para autorizar al Gerente a suscribir contratos</t>
  </si>
  <si>
    <t>[Guía] Modelo de política contable para el valor residual</t>
  </si>
  <si>
    <t>[Acta] Modelo de comprobante de pago con caja menor</t>
  </si>
  <si>
    <t>[ORO] Matriz para definir el sistema mediante el cual puede declarar un empleado por el año gravable 2015</t>
  </si>
  <si>
    <t>[Acta] Modelo de circularización con abogados</t>
  </si>
  <si>
    <t>[Liquidador] Cuota mensual en el pago de una obligación financiera</t>
  </si>
  <si>
    <t>[Liquidador] Flujo de caja especial para una microempresa</t>
  </si>
  <si>
    <t>[Guía] Matriz para definir si una persona natural está obligada a declarar renta por el 2015</t>
  </si>
  <si>
    <t>[Poder] Poder de representación en asamblea/junta general de asociados</t>
  </si>
  <si>
    <t>[Convocatoria] Segunda convocatoria a asamblea general ordinaria de socios/accionistas</t>
  </si>
  <si>
    <t>[Guía] Modelo simple de programa de auditoría a inversiones en pymes</t>
  </si>
  <si>
    <t>[Acta] Modelo de acta para nombramiento de junta directiva y/o revisor fiscal</t>
  </si>
  <si>
    <t>[Liquidador] Herramienta calculadora de tarifas en la Contaduría Pública</t>
  </si>
  <si>
    <t>[Guía] Modelo para la aprobación de políticas contables para entidades del sector público (Resolución 414)</t>
  </si>
  <si>
    <t>[ORO] Matriz para definir contribuyentes no obligados a presentar declaración de renta</t>
  </si>
  <si>
    <t>[Guía] Servicios y contratos en los cuales se puede aplicar AIU</t>
  </si>
  <si>
    <t>[Guía] Lista de Chequeo de Revelaciones Sección 19: combinaciones de negocio y plusvalía</t>
  </si>
  <si>
    <t>[Liquidador] Modelo para el cálculo de la «sanción por corrección» en una declaración de renta</t>
  </si>
  <si>
    <t>[Guía] Navegación en el marco normativo de las NAI</t>
  </si>
  <si>
    <t>[Guía] Lista de Chequeo de Revelaciones Sección 17: propiedades, planta y equipo</t>
  </si>
  <si>
    <t>[Guía] Diferencias en la declaración de renta de personas naturales obligadas o no a llevar contabilidad</t>
  </si>
  <si>
    <t>[ORO] Modelo de renuncia por falta de pago de salarios</t>
  </si>
  <si>
    <t>[Formato] Carta de compromiso de auditoría bajo NIA</t>
  </si>
  <si>
    <t>[Guía] Lista de Chequeo de Revelaciones Sección 16: propiedades de inversión</t>
  </si>
  <si>
    <t>[ORO] Beneficios tributarios por vinculación laboral de personas con condiciones especiales</t>
  </si>
  <si>
    <t>[ORO] Documentos necesarios para elaborar la declaración de renta de personas naturales año gravable 2015</t>
  </si>
  <si>
    <t>[ORO] Formato “otro sí” para modificar promesa de compraventa</t>
  </si>
  <si>
    <t>[Certificado] Modelo del certificado anual a socios y/o accionistas por el año gravable 2015</t>
  </si>
  <si>
    <t>[Guía] Lista de Chequeo de Revelaciones Sección 10: políticas contables, estimaciones y errores</t>
  </si>
  <si>
    <t>[Liquidador] IMAS en el impuesto de renta de los trabajadores por cuenta propia: modelo para proyectar efectos 2015</t>
  </si>
  <si>
    <t>[Reclamaciones] Reclamación directa contra proveedor o productor</t>
  </si>
  <si>
    <t>[Liquidador] IMAN e IMAS en el impuesto de renta para empleados: modelo para proyectar efectos 2015</t>
  </si>
  <si>
    <t>[Carta] Solicitud de autorización para venta de propiedad de un menor de edad</t>
  </si>
  <si>
    <t>[Guía] Lista de Chequeo de Revelaciones Sección 7: Estado de Flujos de Efectivo</t>
  </si>
  <si>
    <t>[ORO] Cálculo de la contribución 2016 a la Supersociedades</t>
  </si>
  <si>
    <t>[ORO] Formularios 210 y 230 con anexos para la declaración de renta de personas naturales año gravable 2015</t>
  </si>
  <si>
    <t>[Guía] Lista de Chequeo de Revelaciones Sección 5: Estado de Resultado Integral y Estado de Resultados</t>
  </si>
  <si>
    <t>[Liquidador avanzado] ​Formularios 110 y 240 con anexos para la declaración de renta año gravable 2015</t>
  </si>
  <si>
    <t>[Guía] Lista de Chequeo de Revelaciones Sección 4: Estado de Situación Financiera</t>
  </si>
  <si>
    <t>[Liquidador básico] Formulario 210 Declaración de Renta Personas Naturales y Sucesiones ilíquidas año gravable 2015</t>
  </si>
  <si>
    <t>[Guía] Clasificación tributaria de personas naturales y sucesiones ilíquidas frente al impuesto de renta por el año gravable 2015</t>
  </si>
  <si>
    <t>[ORO] Derecho de petición para solicitar documentos a exempleador</t>
  </si>
  <si>
    <t>[Guía] Lista de chequeo de revelaciones Sección 3: presentación de Estados Financieros</t>
  </si>
  <si>
    <t>[ORO] Cálculo de la sanción por extemporaneidad después del emplazamiento por no declarar</t>
  </si>
  <si>
    <t>[ORO] Acta de Asamblea General para aprobación de estados financieros 2015 en entidad del Grupo 1</t>
  </si>
  <si>
    <t>[ORO] Modelo para definir porcentaje fijo de retención en la Fuente sobre salarios en junio del 2016 – Procedimiento 2</t>
  </si>
  <si>
    <t>Modelo básico para proyectar el impuesto a la riqueza 2015 a 2018 y su complementario de normalización tributaria</t>
  </si>
  <si>
    <t>[ORO] Cálculo de intereses presuntivos por préstamos en dinero a socios durante el 2015</t>
  </si>
  <si>
    <t>[Guía] Lista de chequeo de revelaciones: NIC 36 Deterioro del valor de los activos</t>
  </si>
  <si>
    <t>[Contrato] Finalización del contrato por parte del arrendatario por vencimiento del contrato</t>
  </si>
  <si>
    <t>[Guía] Lista de chequeo de revelaciones: NIC 26 – Contabilización e información financiera sobre planes de beneficio por retiro</t>
  </si>
  <si>
    <t>[ORO] Cálculo de la sanción por extemporaneidad antes del emplazamiento</t>
  </si>
  <si>
    <t>[Acta] Acta de nombramiento del Vigía en Seguridad y Salud en el Trabajo</t>
  </si>
  <si>
    <t>[Guía] Normatividad aplicable a los impuestos de renta, CREE y riqueza contenida en la Ley 1739 del 2014</t>
  </si>
  <si>
    <t>[Formato] Formato para presentar quejas sobre situaciones que puedan constituir acoso laboral</t>
  </si>
  <si>
    <t>[ORO] Hoja de trabajo para el control de activos fijos</t>
  </si>
  <si>
    <t>[Guía] Plantilla para elaborar el Informe de Prácticas Empresariales por el 2015</t>
  </si>
  <si>
    <t>[Guía] Generación del IVA en operaciones con empresas en zonas francas</t>
  </si>
  <si>
    <t>[Guía] Certificado por Retención en la Fuente a título del impuesto de Timbre</t>
  </si>
  <si>
    <t>[Autorización] Autorización de salida de bienes por finalización del contrato de arrendamiento – Propiedad Horizontal</t>
  </si>
  <si>
    <t>[ORO] Proyección de descuentos en Renta, CREE y Sobretasa al CREE por impuestos pagados en el exterior</t>
  </si>
  <si>
    <t>[ORO] Cuentas a reportar en los formatos de información exógena año gravable 2015</t>
  </si>
  <si>
    <t>[Guía] Clasificación de las personas jurídicas en el impuesto de Renta y CREE del año gravable 2015</t>
  </si>
  <si>
    <t>[Guía] Plantilla de Estados Financieros 2015 bajo Estándares Internacionales Plenos para Supersociedades con XBRL Express</t>
  </si>
  <si>
    <t>[Liquidador] Impuesto a la riqueza: cálculo valor patrimonial neto para acciones poseídas de forma indirecta en sociedades nacionales</t>
  </si>
  <si>
    <t>​[Calendario] Calendario tributario automatizado para el 2016</t>
  </si>
  <si>
    <t>[Liquidador] Efectos de las ventas de activos fijos depreciables que constituyen ganancia ocasional</t>
  </si>
  <si>
    <t>[Guía] Categorías de informantes de exógena por el año gravable 2015 y formatos a utilizar</t>
  </si>
  <si>
    <t>[Liquidador] Depuración del Impuesto de Renta año gravable 2015 para copropiedades que explotan áreas comunes</t>
  </si>
  <si>
    <t>[Guía] Cálculo de intereses de mora sobre obligaciones tributarias</t>
  </si>
  <si>
    <t>[Formato] Formato 2278: información de compras a terceros de bonos, vales y otros documentos para pagos a trabajadores en el 2015</t>
  </si>
  <si>
    <t>[ORO] Formato 2280: deducción en el 2015 por empleadas víctimas de la violencia</t>
  </si>
  <si>
    <t>[ORO] Poder especial para compraventa de inmueble</t>
  </si>
  <si>
    <t>[Guía] Simulación del Sistema de Registro de Diferencias</t>
  </si>
  <si>
    <t>[Liquidador] Cálculo de deducción en renta por inversiones en proyectos de investigación tecnológica</t>
  </si>
  <si>
    <t>[Formato] Certificación de estados financieros año 2015 a entregar a la Supersociedades</t>
  </si>
  <si>
    <t>[ORO] Formulario 220: certificación de pagos y retenciones a empleados por el año gravable 2015</t>
  </si>
  <si>
    <t>[ORO] Promesa de compraventa de apartamento con usufructo para cancelar</t>
  </si>
  <si>
    <t>[Formato] Dictamen Revisoría Fiscal (auditoría externa) con Estándares Internacionales</t>
  </si>
  <si>
    <t>[Formato] Formatos 1005 y 1006: reporte de IVA descontables, e IVA e INC generados en el 2015</t>
  </si>
  <si>
    <t>[Formato] Formatos 1011, 1012 y 2275: reportes de otros datos de la declaración de Renta o de Ingresos y Patrimonio del 2015</t>
  </si>
  <si>
    <t>[ORO] Formato 1004: reporte de los descuentos al impuesto de Renta o de Ganancia Ocasional en el 2015</t>
  </si>
  <si>
    <t>[Formato] Formato 1010: reporte de socios, cooperados o comuneros a diciembre 31 del 2015</t>
  </si>
  <si>
    <t>[Formato] Formatos 1016, 1017, 1018, 1027, 1054 y 1055: reportes de los mandatarios en contratos de mandato año gravable 2015</t>
  </si>
  <si>
    <t>[ORO] Formularios 110 y 140 con anexos y formato 1732 año gravable 2015</t>
  </si>
  <si>
    <t>[Certificado] Participación patrimonial anual a socios y/o accionistas por el 2015</t>
  </si>
  <si>
    <t>[ORO] Formato 1009: reporte de cuentas por pagar a diciembre 31 del 2015</t>
  </si>
  <si>
    <t>[ORO] Formato 1008: reporte de cuentas por cobrar a diciembre 31 del 2015</t>
  </si>
  <si>
    <t>[ORO] Convocatoria para Asamblea General de Copropietarios</t>
  </si>
  <si>
    <t>[ORO] Formato 2276: información de los certificados de ingresos y retenciones a empleados año 2015</t>
  </si>
  <si>
    <t>[ORO] Formato 1007: información de ingresos propios recibidos durante el 2015</t>
  </si>
  <si>
    <t>[ORO] Formato 1001: información de pagos o causaciones a terceros durante el 2015 y las retenciones practicadas o asumidas sobre los mismos. Caso 1</t>
  </si>
  <si>
    <t>[ORO] Formato 1001: información de pagos o causaciones a terceros durante el 2015 y las retenciones practicadas o asumidas sobre los mismos. Caso 2</t>
  </si>
  <si>
    <t>[ORO] Formato 1647: reportes de ingresos recibidos (facturados) para terceros durante el 2015</t>
  </si>
  <si>
    <t>[ORO] Formato 1003: reportes de retenciones que le practicaron a la persona o entidad informante durante el 2015</t>
  </si>
  <si>
    <t>[Carta] Carta de finalización del contrato individual de trabajo por pensión del trabajador</t>
  </si>
  <si>
    <t>[Guía] Plantilla de estados financieros 2015 bajo Estándares Internacionales para Supersociedades con XBRL Express</t>
  </si>
  <si>
    <t>[Guía] Cierre contable: proceso de verificación de la información del 2015</t>
  </si>
  <si>
    <t>[Calendario] Declaración anual del Impuesto de Industria y Comercio en Cali</t>
  </si>
  <si>
    <t>[Calendario] Calendario Tributario para Personas Naturales</t>
  </si>
  <si>
    <t>[Guía] Tabla de recargos y aportes para salario mínimo 2016</t>
  </si>
  <si>
    <t>[Liquidador] Costo de renovación de la Matrícula Mercantil para el 2016</t>
  </si>
  <si>
    <t>[ORO] Sanción por extemporaneidad en declaración del Régimen Simplificado del Impuesto al Consumo</t>
  </si>
  <si>
    <t>[Poder] Otorgamiento de poder para cancelar línea telefónica</t>
  </si>
  <si>
    <t>[Guía] Cuestionario para la revisión y evaluación de los saldos, movimientos y el control de las cuentas de caja y bancos</t>
  </si>
  <si>
    <t>[Guía] Lista de chequeo de revelaciones: NIC 26 − Planes de beneficio por retiro</t>
  </si>
  <si>
    <t>[Guía] Requisitos para pertenecer al régimen simplificado del IVA en el 2016</t>
  </si>
  <si>
    <t>[Contrato] Contrato de compraventa de vehículo automotor (automóvil o motocicleta)</t>
  </si>
  <si>
    <t>[Guía] Indicadores básicos para tener en cuenta en el 2016</t>
  </si>
  <si>
    <t>[Guía] Lista de chequeo de revelaciones: NIC 23 costos por préstamos y NIC 24 partes relacionadas</t>
  </si>
  <si>
    <t>[ORO] Parámetros claves en la elaboración de declaraciones tributarias durante el año 2016</t>
  </si>
  <si>
    <t>[Guía] Tarifas de la autorretención del CREE</t>
  </si>
  <si>
    <t>[Guía] Información laboral 2016</t>
  </si>
  <si>
    <t>[Calendario] Calendario Tributario de Bogotá D.C.</t>
  </si>
  <si>
    <t>Ejercicios de conversión: caso práctico para la elaboración del ESFA en pymes</t>
  </si>
  <si>
    <t>[Guía] Tabla de retenciones en la fuente por renta año fiscal 2016</t>
  </si>
  <si>
    <t>[Guía] Cuestionario para la revisión y evaluación del Sistema de Control Interno</t>
  </si>
  <si>
    <t>[Guía] Lista de chequeo de revelaciones: NIC 21 -Efectos de las variaciones en las tasas de cambio de la moneda extranjera</t>
  </si>
  <si>
    <t>[Formato] Auditoría de conciliaciones bancarias</t>
  </si>
  <si>
    <t>[Guía] Lista de chequeo de revelaciones: NIC 19 -Beneficios a los empleados</t>
  </si>
  <si>
    <t>[Contrato] Modelo de contrato de corretaje inmobiliario</t>
  </si>
  <si>
    <t>[Calendario] Calendario Tributario 2016</t>
  </si>
  <si>
    <t>[Guía] Lista de chequeo de revelaciones: NIC 18 – Ingresos de actividades ordinarias</t>
  </si>
  <si>
    <t>[ORO] Retención en la fuente con procedimiento 1 para asalariados y demás empleados durante el 2016</t>
  </si>
  <si>
    <t>[Carta] Autorización para desocupar inmueble por finalización del contrato de arrendamiento –PH</t>
  </si>
  <si>
    <t>[Formato] Auditoría del disponible</t>
  </si>
  <si>
    <t>[ORO] Ejercicio de conciliación entre el resultado contable y los resultados fiscales</t>
  </si>
  <si>
    <t>[ORO] Retención en la fuente con procedimiento 2 para determinar porcentaje en diciembre de 2015</t>
  </si>
  <si>
    <t>[Acta] Constitución y Posesión de miembros del Comité Paritario de Seguridad y Salud en el Trabajo</t>
  </si>
  <si>
    <t>[Guía] Lista de chequeo de revelaciones: NIC 17 – Arrendamientos</t>
  </si>
  <si>
    <t>[Guía] Normatividad reglamentaria del impuesto a la riqueza y su complementario</t>
  </si>
  <si>
    <t>[Guía] Básica de Trabajo: Auxilio de transporte y dotación</t>
  </si>
  <si>
    <t>[Guía] Exógena: Estructura final del contenido de la Resolución DIAN 000220 de octubre 31 del 2014</t>
  </si>
  <si>
    <t>[Guía] Normatividad reglamentaria del Impuesto Nacional al Consumo</t>
  </si>
  <si>
    <t>[Guía] Básica de Trabajo: Incapacidad</t>
  </si>
  <si>
    <t>[Guía] Documento de Orientación Técnica 015. Copropiedades de Uso Residencial o Mixto (Grupo 1, 2 y 3)</t>
  </si>
  <si>
    <t>[Guía] Documento de Orientación Técnica 014. Entidades Sin Ánimo de Lucro</t>
  </si>
  <si>
    <t>[Guía] Documentos de Orientación Pedagógica para la aplicación de las NIIF, NIF y NAI</t>
  </si>
  <si>
    <t>[Guía] Documentos sobre Combinaciones de Negocios. Orientaciones Técnicas 010 y 011 del CTCP</t>
  </si>
  <si>
    <t>[Guía] Documentos sobre Activos y Pasivos Financieros. Orientaciones Técnicas 008 y 009 del CTCP</t>
  </si>
  <si>
    <t>[Guía] Documentos de Regulación sobre Propiedades, Planta y Equipos. Orientaciones Técnicas 006 y 007 del CTCP</t>
  </si>
  <si>
    <t>[Guía] Documentos de Adopción por primera vez. Orientaciones Técnicas 004 y 005 del CTCP</t>
  </si>
  <si>
    <t>[Guía] Documentos de Marco Conceptual. Orientaciones Técnicas 002 y 003 del CTCP</t>
  </si>
  <si>
    <t>[Guía] Documento de Orientación Técnica 001. Contabilidad bajo los nuevos marcos técnicos normativos</t>
  </si>
  <si>
    <t>[Guía] Estructura del contenido de la Resolución DIAN 112 de octubre 29 del 2015</t>
  </si>
  <si>
    <t>[Guía] Normatividad reglamentaria del CREE</t>
  </si>
  <si>
    <t>[Guía] Básica de Trabajo: acoso laboral</t>
  </si>
  <si>
    <t>[Formato] Planilla de Circularizaciones</t>
  </si>
  <si>
    <t>[Guía] Lista de chequeo de revelaciones: NIC 16 -Propiedades, Planta y Equipo</t>
  </si>
  <si>
    <t>[Guía] Obligaciones Tributarias de los Consorcios y Uniones Temporales</t>
  </si>
  <si>
    <t>[Guía] Básica de Trabajo: salario y jornada laboral</t>
  </si>
  <si>
    <t>[Guía] Lista de chequeo de revelaciones: NIC 12 – Impuesto a las Ganancias</t>
  </si>
  <si>
    <t>[Guía] Doctrinas de la DIAN sobre el CREE</t>
  </si>
  <si>
    <t>[Guía] Atención Integral en Seguridad y Salud en el Trabajo 2015 – Hipocausia neurosensorial inducida por ruido u ototóxicos</t>
  </si>
  <si>
    <t>[Guía] Atención Integral en Seguridad y Salud en el Trabajo 2015 – Bencenos y sus derivados</t>
  </si>
  <si>
    <t>[Guía] Atención Integral en Seguridad y Salud en el Trabajo 2015 – Trabajadores expuestos a organofosforados o carbamatos</t>
  </si>
  <si>
    <t>[Guía] Atención Integral en Seguridad y Salud en el Trabajo 2015 – Neumoconiosis</t>
  </si>
  <si>
    <t>[Guía] Atención Integral en Seguridad y Salud en el Trabajo 2015 – Hombro doloroso</t>
  </si>
  <si>
    <t>[Guía] Atención Integral en Seguridad y Salud en el Trabajo 2015 – Dermatitis de origen ocupacional</t>
  </si>
  <si>
    <t>[Guía] Atención Integral en Seguridad y Salud en el Trabajo 2015 – Cáncer de pulmón de origen ocupacional</t>
  </si>
  <si>
    <t>[Guía] Atención Integral en Seguridad y Salud en el Trabajo 2015 – Asma de origen ocupacional</t>
  </si>
  <si>
    <t>[Guía] Contratación del servicio doméstico</t>
  </si>
  <si>
    <t>[Guía] Atención Integral en Seguridad y Salud en el Trabajo 2015 – Desorden músculo esquelético de miembro superior</t>
  </si>
  <si>
    <t>[Guía] Atención Integral en Seguridad y Salud en el Trabajo 2015 – Dolor lumbar inespecífico y enfermedad discal de origen ocupacional</t>
  </si>
  <si>
    <t>[Carta] Carta de Gerencia</t>
  </si>
  <si>
    <t>[Guía] Lista de chequeo de revelaciones: NIC 11 – Contratos de Construcción</t>
  </si>
  <si>
    <t>[Dictamen] Modelo de certificación para acreditar que la empresa se encuentra al día en pagos de parafiscales y Seguridad Social</t>
  </si>
  <si>
    <t>[Guía] Lista de chequeo de revelaciones: NIC 10 – Hechos ocurridos después del período sobre el que se informa</t>
  </si>
  <si>
    <t>[Guía] Acuerdos sobre Promoción y Protección Recíproca de Inversiones</t>
  </si>
  <si>
    <t>[Guía] Diferencias existentes entre los distintos tipos societarios</t>
  </si>
  <si>
    <t>[Carta] Modelo de Circularización Proveedores</t>
  </si>
  <si>
    <t>[Guía] Revelaciones exigidas por la NIC 8 – Políticas Contables, Cambios en las Estimaciones Contables y Errores</t>
  </si>
  <si>
    <t>[Guía] Convenios para evitar la doble tributación de las Empresas de Navegación</t>
  </si>
  <si>
    <t>[Carta] De manifestaciones de la dirección al auditor, en una revisión de información financiera intermedia</t>
  </si>
  <si>
    <t>[Guía] Revelaciones exigidas por la NIC 7: Estado de Flujos de Efectivo</t>
  </si>
  <si>
    <t>[Guía] Revelaciones exigidas por la NIC 2: lista de chequeo</t>
  </si>
  <si>
    <t>[Guía] Obligaciones tributarias con vencimiento en septiembre del 2015</t>
  </si>
  <si>
    <t>[Carta] Modelo de Circularización Cartera</t>
  </si>
  <si>
    <t>[Formato] Medición de cuentas por cobrar sin intereses</t>
  </si>
  <si>
    <t>[Guía] Tabla de tarifas del IMAS para trabajadores por cuenta propia</t>
  </si>
  <si>
    <t>[Contrato] Promesa de Compraventa de Inmueble</t>
  </si>
  <si>
    <t>[Formato] Dictamen revisor fiscal con salvedades según Decreto 302 del 2015</t>
  </si>
  <si>
    <t>[Guía] Resumen de normas tributarias recopiladas en los decretos únicos reglamentarios de mayo del 2015</t>
  </si>
  <si>
    <t>[Formato] Dictamen Revisor Fiscal con abstención según Decreto 302 del 2015</t>
  </si>
  <si>
    <t>[Certificado] Modelo Declaración Grupo Empresarial o Situación de Control (personas jurídicas)</t>
  </si>
  <si>
    <t>[Contrato] Contrato de Suministro</t>
  </si>
  <si>
    <t>[Dictamen] Modelo dictamen Revisor Fiscal, Decreto 302</t>
  </si>
  <si>
    <t>[Guía] Modificaciones realizadas por la Ley 1739 del 2014 en materia de declaración de renta</t>
  </si>
  <si>
    <t>[Contrato] Cesión de Derechos Patrimoniales de Autor</t>
  </si>
  <si>
    <t>[Guía] Normatividad a tener en cuenta en la preparación de la declaración de renta personas naturales año gravable 2014</t>
  </si>
  <si>
    <t>[Liquidador] Modelo liquidación trabajadores periodos inferiores a 30 días</t>
  </si>
  <si>
    <t>[Contrato] Acta compromisoria para delegación de Tribunal de Arbitramento</t>
  </si>
  <si>
    <t>[Formato] Amortización de contrato de leasing</t>
  </si>
  <si>
    <t>[Guía] Tablas para definir el impuesto de renta de «empleados» por el sistema ordinario, IMAN e IMAS</t>
  </si>
  <si>
    <t>[Acta] Constitución de COPASST</t>
  </si>
  <si>
    <t>[ORO] Formularios 110 y 140 declaración Renta y CREE personas jurídicas fracción año gravable 2015 – versión básica</t>
  </si>
  <si>
    <t>[Guía] Requisitos para acceder al beneficio tributario por la generación de nuevos puestos de trabajo</t>
  </si>
  <si>
    <t>[Guía] Propuesta aplicación NIIF en propiedad horizontal</t>
  </si>
  <si>
    <t>[Guía] Declaración renta personas naturales: requisitos para exoneración en el año gravable 2014</t>
  </si>
  <si>
    <t>[Acta] Derecho de Petición reliquidación de pensión</t>
  </si>
  <si>
    <t>[Guía] Declaración de renta personas naturales 2014: Documentos necesarios para elaborarla</t>
  </si>
  <si>
    <t>[Guía] Modelo Política Contable de presentación y revelación de cuentas por cobrar</t>
  </si>
  <si>
    <t>[Guía] Guía para determinar si una persona natural es residente para efectos fiscales</t>
  </si>
  <si>
    <t>[Contrato] Contrato de Prestación de Servicios</t>
  </si>
  <si>
    <t>[Guía] Modelo Política Contable de instrumentos financieros: cuentas por cobrar</t>
  </si>
  <si>
    <t>[ORO] Formularios 110 y 240 con anexos y formato 1732 para declaración de renta de persona natural comerciante año gravable 2014</t>
  </si>
  <si>
    <t>[ORO] Formularios 210 y 230 con anexos de persona natural para declaración de renta año gravable 2014</t>
  </si>
  <si>
    <t>[Guía] Modelo de política contable de medición posterior de cuentas por cobrar</t>
  </si>
  <si>
    <t>[ORO] Formulario 210 para Declaración de Renta 2014 de Personas Naturales. Versión básica</t>
  </si>
  <si>
    <t>[ORO] Consecuencias contables y tributarias de las personas naturales y/o sucesiones ilíquidas obligadas o no a llevar contabilidad por el año 2014</t>
  </si>
  <si>
    <t>[Contrato] Arrendamiento de Local Comercial</t>
  </si>
  <si>
    <t>[Contrato] Contrato de Depósito</t>
  </si>
  <si>
    <t>[Guía] Revelaciones exigidas por la NIC 1: lista de chequeoFO</t>
  </si>
  <si>
    <t>[Liquidador] Modelo para definir porcentaje fijo de retención en la fuente sobre salarios en junio del 2015 (procedimiento 2)</t>
  </si>
  <si>
    <t>[Liquidador] Modelo básico para la elaboración de la nómina para pago de salarios</t>
  </si>
  <si>
    <t>[ORO] Formulario 110 adaptado para Declaración de Renta 2014 de Personas Naturales. Versión básica</t>
  </si>
  <si>
    <t>[Guía] Cuadro resumen de las características básicas de cada tipo de persona natural</t>
  </si>
  <si>
    <t>[Acta] Derecho de Petición requiriendo visita para inspección de sanidad</t>
  </si>
  <si>
    <t>[Formato] Modelo de Contrato de Transporte Terrestre de Carga</t>
  </si>
  <si>
    <t>[Guía] Plantilla elaboración Estados Financieros en NIIF para Supersociedades con XBRL EXPRESS</t>
  </si>
  <si>
    <t>​[ORO] Modelo para proyectar efectos 2014 del IMAN y el IMAS en el impuesto de renta de los empleados</t>
  </si>
  <si>
    <t>[Guía] Requisitos para acceder a la exención del impuesto de renta en San Andrés, Providencia y Santa Catalina</t>
  </si>
  <si>
    <t>[Guía] Presentación de solicitud para registro de Contratos de Importación de Tecnología</t>
  </si>
  <si>
    <t>[ORO] Modelo para proyectar efectos 2014 del IMAS en la declaración de renta de los trabajadores por cuenta propia</t>
  </si>
  <si>
    <t>[Guía] Clasificación tributaria por el año gravable 2014 de las personas naturales y sucesiones ilíquidas frente al impuesto de renta y ganancia ocasional</t>
  </si>
  <si>
    <t>[Contrato] Oferta de Seriedad</t>
  </si>
  <si>
    <t>[Formato] Modelo de Presupuesto y cálculo de la cuota de administración de una propiedad horizontal</t>
  </si>
  <si>
    <t>[Certificación] Modelo de Certificado de Retenciones en la Fuente año gravable 2014</t>
  </si>
  <si>
    <t>[Acta] Derecho de Petición informando apertura de establecimiento de comercio</t>
  </si>
  <si>
    <t>[Formato] Modelo de Contrato de Comodato Precario</t>
  </si>
  <si>
    <t>[Formato] Superfinanciera: valoración de Instrumentos Financieros Derivados Básicos</t>
  </si>
  <si>
    <t>[Formato] Modelo de Política general contable</t>
  </si>
  <si>
    <t>[Guía] Categorías de informantes de exógena por el año gravable 2014 y los formatos que deben usar</t>
  </si>
  <si>
    <t>[Contrato] Convenio de colaboración programa empresarial</t>
  </si>
  <si>
    <t>[Contrato] Modelo de Contrato de Maquila</t>
  </si>
  <si>
    <t>[Liquidador] Proyección de posibles resultados del «CREE menos sus autorretenciones» y de la «Sobretasa al CREE más y menos sus anticipos»</t>
  </si>
  <si>
    <t>[Plantillas] Reportes de Información exógena Tributaria a la DIAN año gravable 2014</t>
  </si>
  <si>
    <t>[Formato] Control Interno en la entrada de Inventarios</t>
  </si>
  <si>
    <t>[Guía] Casos de la depuración del Impuesto de Renta en las entidades del régimen tributario especial</t>
  </si>
  <si>
    <t>[Guía] Comparativo de partidas con que se depura el Impuesto de Renta y Complementarios y el CREE</t>
  </si>
  <si>
    <t>[ORO] Liquidación del Impuesto de Renta y CREE año gravable 2014 para pequeñas empresas de la Ley 1429 de 2010</t>
  </si>
  <si>
    <t>[Certificado] Modelo del certificado anual a socios y/o accionistas por el año 2014</t>
  </si>
  <si>
    <t>[Formato] Medición de pasivos financieros a costo amortizado</t>
  </si>
  <si>
    <t>[Acta] Notificación del arrendatario de no renovación del contrato</t>
  </si>
  <si>
    <t>[ORO] Formularios 110 y 140 declaración Renta y CREE personas jurídicas año gravable 2014 – versión básica</t>
  </si>
  <si>
    <t>[ORO] Formularios 110 y 140 con anexos y formato 1732 para personas jurídicas año gravable 2014</t>
  </si>
  <si>
    <t>[Formato] Tabla amortización de CDT</t>
  </si>
  <si>
    <t>[Contrato] Contrato de Fianza</t>
  </si>
  <si>
    <t>[Contrato] Contrato de Confidencialidad</t>
  </si>
  <si>
    <t>[Contrato] Fideicomiso Civil</t>
  </si>
  <si>
    <t>[Calendario] Calendario tributario automatizado para el 2015</t>
  </si>
  <si>
    <t>[Formato] Análisis de la situación financiera a largo plazo</t>
  </si>
  <si>
    <t>[Guía] Modelo para obligados a presentar las declaraciones tributarias de forma virtual</t>
  </si>
  <si>
    <t>[Guía] Plantilla para elaborar Estado de Situación Financiera de Apertura para reportar a Supersociedades</t>
  </si>
  <si>
    <t>[Liquidador] Cálculo costo renovación año 2015 de la Matrícula Mercantil y de los establecimientos de comercio</t>
  </si>
  <si>
    <t>[Certificación] Persona natural no obligada a llevar contabilidad para acreditar los indicadores de capacidad financiera para proponentes</t>
  </si>
  <si>
    <t>[Guía] Preguntas para clasificación de empresas en grupos de convergencia</t>
  </si>
  <si>
    <t>[Guía] Plantilla para elaborar Formulario Empresarial por el año 2014 a Supersociedades</t>
  </si>
  <si>
    <t>[Guía] Revisión Autorretención del CREE</t>
  </si>
  <si>
    <t>[Acta] Modelo de certificación para acreditar el pago de aportes a la seguridad social y aportes parafiscales de proponentes</t>
  </si>
  <si>
    <t>[Guía] Indice del Marco Técnico Normativo de las Normas de Aseguramiento de la Información</t>
  </si>
  <si>
    <t>[Formato] Plan de Implementación NIIF para empresas del Grupo 2</t>
  </si>
  <si>
    <t>[Guía] Cumplimiento oportuno de obligaciones tributarias</t>
  </si>
  <si>
    <t>[Reclamación] Demanda para iniciar Proceso Ordinario Laboral</t>
  </si>
  <si>
    <t>[Formato] Cuestionario de Auditoría para Área de Tesorería</t>
  </si>
  <si>
    <t>[Formato] Informe de Gestión año 2014</t>
  </si>
  <si>
    <t>[Formato] Documento Constitución Comité NIIF</t>
  </si>
  <si>
    <t>[Guía] Informes Superintendencia de Sociedades</t>
  </si>
  <si>
    <t>[Certificación] Formulario 220 certificación pagos y retenciones a “empleados” por el año gravable 2014</t>
  </si>
  <si>
    <t>[Contrato] Solicitud de transacción ante Juez Laboral</t>
  </si>
  <si>
    <t>[Guía] Planeación obligaciones tributarias 2015</t>
  </si>
  <si>
    <t>[Acta] Estructuración de la Auditoría</t>
  </si>
  <si>
    <t>[Formato] Política contable de Presentación de Estados Financieros</t>
  </si>
  <si>
    <t>[Guía] Conciliación entre resultado contable y resultados fiscales 2014</t>
  </si>
  <si>
    <t>[Formato] Anexo declaración de renta o balance</t>
  </si>
  <si>
    <t>[Liquidador] Retención en la fuente con procedimiento 1 a asalariados y demás empleados durante el 2015</t>
  </si>
  <si>
    <t>[Contrato] Encargo fiduciario con destinación específica</t>
  </si>
  <si>
    <t>[Formato] Concordancias entre las NIIF y los PCGA</t>
  </si>
  <si>
    <t>[Guía] Modelo cesión de acciones</t>
  </si>
  <si>
    <t>[Guía] Factura de Venta</t>
  </si>
  <si>
    <t>[Dictamen] Modelo de dictamen de entidades del Grupo 1</t>
  </si>
  <si>
    <t>[Guía] Información a tener en cuenta para realizar el cierre contable 2014</t>
  </si>
  <si>
    <t>[Guía] Parámetros claves en la elaboración de declaraciones tributarias durante el año 2015</t>
  </si>
  <si>
    <t>[Calendario] Calendario Tributario 2015</t>
  </si>
  <si>
    <t>[Acta] Carta de compromiso de auditoría</t>
  </si>
  <si>
    <t>[Guía] Indicadores básicos 2015</t>
  </si>
  <si>
    <t>[Guía] Información laboral a tener en cuenta a partir del 1° de enero de 2015</t>
  </si>
  <si>
    <t>Guía de Referencia 2015</t>
  </si>
  <si>
    <t>6 Liquidadores a tener en cuenta para este año 2015</t>
  </si>
  <si>
    <t>[Guía] Retención en la fuente a título de los impuestos nacionales durante el 2015</t>
  </si>
  <si>
    <t>[Guía] Cuadro temático con los cambios introducidos por la Reforma Tributaria Ley 1739 de 2014</t>
  </si>
  <si>
    <t>[Liquidador] Modelo para definir porcentaje fijo retención sobre salarios en diciembre de 2014 (procedimiento 2)</t>
  </si>
  <si>
    <t>[Guía] Plantilla para clasificar una entidad en un Grupo de aplicación de las NIIF en Colombia</t>
  </si>
  <si>
    <t>[Guía] Estructura del contenido de la Resolución DIAN 000220 de oct. 31 de 2014</t>
  </si>
  <si>
    <t>[Liquidador] Liquidador contrato de trabajo a término fijo – Héctor Fernando Muñoz E.</t>
  </si>
  <si>
    <t>[Guía] Manejo del IVA y retención por renta de las empresas que manejan A.I.U.</t>
  </si>
  <si>
    <t>[Guía] Casos de aplicación del A.I.U.</t>
  </si>
  <si>
    <t>[Guía] Códigos de responsabilidades tributarias que le pueden figurar a un contribuyente en su RUT</t>
  </si>
  <si>
    <t>[Certificaciones] Modelo para certificación de experiencia técnico contable en trámite de solicitud tarjeta profesional</t>
  </si>
  <si>
    <t>[Certificaciones] Modelo Certificación de Contador para solicitar autorización reducción retención de IVA</t>
  </si>
  <si>
    <t>[Contratos] Acuerdo confidencialidad para miembros del Comité de Convivencia</t>
  </si>
  <si>
    <t>[Guía] Cronograma para aplicación de Estándares NIIF</t>
  </si>
  <si>
    <t>[Liquidador] Formulario 210 para Declaración de Renta 2013 de Personas Naturales. Versión básica</t>
  </si>
  <si>
    <t>[Liquidador avanzado] Diligenciamiento de formularios 210 y 230 con anexos para la declaración de renta 2013 de una persona natural no obligada a llevar contabilidad</t>
  </si>
  <si>
    <t>[Certificación] Modelo certificación de contador para actualizar el RUT por cese de actividades gravadas con IVA</t>
  </si>
  <si>
    <t>[Liquidador] Cálculo de intereses presuntivos sobre préstamos entre sociedades y socios durante 2014</t>
  </si>
  <si>
    <t>[Liquidador] Modelo para definir porcentaje fijo de retención en la fuente sobre salarios en Junio de 2014 (procedimiento 2)</t>
  </si>
  <si>
    <t>[Guía] Plantilla para elaborar el ESFA individual a enero 1 de 2014 en entidades del grupo 1</t>
  </si>
  <si>
    <t>[Liquidador] Proyección de efectos del IMAS en la declaración de renta de los trabajadores por cuenta propia</t>
  </si>
  <si>
    <t>[Liquidador] Proyección de efectos del IMAN y el IMAS en el impuesto de renta de los empleados</t>
  </si>
  <si>
    <t>[Liquidador] Plantilla para cálculo automático impuesto IMAS de trabajadores por cuenta propia</t>
  </si>
  <si>
    <t>[Liquidador Avanzado] Diligenciamiento de formularios 110 y 240 con anexos y formato 1732 para la declaración de renta de una persona natural comerciante año gravable 2013</t>
  </si>
  <si>
    <t>[Liquidador] Formulario 110 adaptado para Declaración de Renta 2013 Personas Naturales. Versión básica</t>
  </si>
  <si>
    <t>[Guía] Clasificación de las personas naturales frente al impuesto de renta luego de la Ley 1607</t>
  </si>
  <si>
    <t>[Guía] Modelo básico con la estructura del nuevo formato 1001 para el reporte de exógena tributaria 2013</t>
  </si>
  <si>
    <t>[Guía] Plantilla para elaborar Informe de Prácticas Empresariales por el 2013</t>
  </si>
  <si>
    <t>[Certificado] Modelo del certificado anual a socios y/o accionistas por el año 2013</t>
  </si>
  <si>
    <t>[Liquidadores] Reportes de Información exógena Tributaria a la DIAN año gravable 2013</t>
  </si>
  <si>
    <t>[Guía] Clasificación general de personas jurídicas en relación con el impuesto de renta y complementarios y del CREE, por el año gravable 2013</t>
  </si>
  <si>
    <t>[Liquidador] Cálculo costo renovación año 2014 de la matrícula mercantil y los establecimientos de comercio</t>
  </si>
  <si>
    <t>[Liquidador] Formulario 110 y 140 Declaración renta y CREE de Personas jurídicas año gravable 2013. Plantilla básica</t>
  </si>
  <si>
    <t>[Guía] Resumen de las categorías de informantes de Exógena por el año gravable 2013 y los formatos que deben usar</t>
  </si>
  <si>
    <t>[Certificaciones] Certificado anual exigido a los contratistas que cobren rentas de trabajo y depuración de la base para efectos de retención en la fuente</t>
  </si>
  <si>
    <t>[ORO] Formularios 110 y 140 con anexos y formato 1732 año gravable 2013</t>
  </si>
  <si>
    <t>[Liquidador] Depuración impuesto renta año gravable 2013 para las copropiedades comerciales y mixtas</t>
  </si>
  <si>
    <t>[Guía] Cierre contable 2013. Lista de chequeo para verificación de información</t>
  </si>
  <si>
    <t>[Guía] Llegó el momento de utilizar las tarifas de honorarios profesionales y remuneración para Contadores Públicos</t>
  </si>
  <si>
    <t>[Guías] Solicitudes de devolución y/o compensación por saldos a favor generados en declaraciones de renta y ventas</t>
  </si>
  <si>
    <t>[Certificación] Formulario 220 certificación pagos y retenciones a «empleados» por el año gravable 2013</t>
  </si>
  <si>
    <t>[Liquidación] Conciliación entre la renta contable y la renta fiscal</t>
  </si>
  <si>
    <t>[Liquidador] Retención en la fuente con procedimiento 1 a asalariados y demás «empleados» durante el 2014</t>
  </si>
  <si>
    <t>[Calendario] Calendario tributario automatizado para el 2014</t>
  </si>
  <si>
    <t>[Guía] Requisitos para pertenecer al Régimen Simplificado en el 2014</t>
  </si>
  <si>
    <t>[Guía] Cambios a los textos de los Decretos 2706 y 2784 de 2012 efectuados con Decretos 3019 y 3024 de 2013</t>
  </si>
  <si>
    <t>[Guía] Retención en la fuente a título de los impuestos nacionales, año fiscal 2014</t>
  </si>
  <si>
    <t>[Calendario] Calendario Tributario 2014</t>
  </si>
  <si>
    <t>[Guía] Información laboral a tener en cuenta a partir del 1° de enero de 2014</t>
  </si>
  <si>
    <t>[Formularios] Formato Único Nacional de Autorización de Trabajo para niños, niñas o adolescentes (NNA)</t>
  </si>
  <si>
    <t>[Liquidador] Modelo para estimar reducción de aportes parafiscales y EPS según la Ley 1607</t>
  </si>
  <si>
    <t>[Guía] ABC de la afiliación a Riesgos Laborales de Independientes. Decreto 723 de 2013</t>
  </si>
  <si>
    <t>[Liquidador] Cálculo del punto de equilibrio y simulación de utilidad deseada – Ower Cassetta</t>
  </si>
  <si>
    <t>[Formato] Reclamación directa (Propuesto por la SIC)</t>
  </si>
  <si>
    <t>[Formato] Circularización bancaria de información financiera</t>
  </si>
  <si>
    <t>[Acta] Circular a contratistas por pago de seguridad social</t>
  </si>
  <si>
    <t>[Autorización] Descuento en salario de libranza</t>
  </si>
  <si>
    <t>[Autorización] Pagaré y Carta de Instrucción</t>
  </si>
  <si>
    <t>[Guía] Glosario básico para aplicación de estándares internacionales de información financiera</t>
  </si>
  <si>
    <t>[Guía] Conoce como esta clasificada su empresa de acuerdo a las NIIF</t>
  </si>
  <si>
    <t>[Guía] Comunicado para notificar en la DIAN la delegación de la responsabilidad para firmar las declaraciones</t>
  </si>
  <si>
    <t>[Liquidador] Cálculo valores por salud y pensiones que al independiente se le restarían en el proceso de retención</t>
  </si>
  <si>
    <t>[Liquidador] Convertir tasa efectiva a nominal – Jhony José Duran</t>
  </si>
  <si>
    <t>[Guía] Las preguntas más frecuentes sobre la contratación del trabajo doméstico</t>
  </si>
  <si>
    <t>[Contrato] Contrato de EXW (Ex – Works)</t>
  </si>
  <si>
    <t>[Certificado] Donaciones en dinero o en especie para entidades sin ánimo de lucro</t>
  </si>
  <si>
    <t>[Guía] Cuadro sinóptico sobre quiénes deben actuar como agentes de retención de IVA y con qué tarifas</t>
  </si>
  <si>
    <t>[Cuadro sinóptico] Diferencias entre Contribuyentes y No Contribuyentes del Impuesto de Renta y Complementarios</t>
  </si>
  <si>
    <t>[Liquidador] Modelo para cálculo de retención en la fuente a independientes con tabla de la Ley 1527 de 2012</t>
  </si>
  <si>
    <t>[Guía] Consejos prácticos sobre el nuevo estatuto del consumidor – SuperIndustria y Comercio</t>
  </si>
  <si>
    <t>[Guía] Cartilla. Mincomercio pública documento unificado sobre NIIF</t>
  </si>
  <si>
    <t>[Autorización] Para que un tercero solicite en la DIAN los mecanismos de firma digital</t>
  </si>
  <si>
    <t>[Guía] Indicadores básicos a tener en cuenta al finalizar 2011 e iniciar el 2012</t>
  </si>
  <si>
    <t>[Liquidador] Anexo a nota contable para actualización de valorizaciones o provisiones sobre activos fijos al cierre del año</t>
  </si>
  <si>
    <t>[Acta] Acta de constitución y estatutos de Entidad Sin Ánimo de Lucro (fundación, corporación, asociación)</t>
  </si>
  <si>
    <t>[Acta] Informe en propiedad horizontal, con salvedad – Jesús S. Blanquicett Carmona</t>
  </si>
  <si>
    <t>[Liquidador] Modelo para definir límite de pagos no salariales y su aporte a seguridad social</t>
  </si>
  <si>
    <t>[Guía] Cuestionario de control para verificar cumplimiento de requisitos de facturación en papel o por computador</t>
  </si>
  <si>
    <t>[Acta] Reunión extraordinaria, Junta Directiva autorizando a Representante Legal a suscribir créditos</t>
  </si>
  <si>
    <t>[Liquidador] Conversión de Tasas de Interés – Edicson Ortiz Dicelis</t>
  </si>
  <si>
    <t>[Derecho de Petición] Devolución de pagarés o letras pagadas</t>
  </si>
  <si>
    <t>[Liquidador] Modelo para determinar obligaciones comerciales o fiscales según el patrimonio o los ingresos</t>
  </si>
  <si>
    <t>[Edicto] Aviso de trabajador fallecido para pago de salarios y prestaciones adeudadas</t>
  </si>
  <si>
    <t>[Guía] Funciones, Responsabilidades y Conocimientos para aplicar al cargo de Contador General de una empresa</t>
  </si>
  <si>
    <t>[Liquidador] Liquidador de intereses de mora de obligaciones tributarias – Jose Miguel Barbosa M.</t>
  </si>
  <si>
    <t>[Liquidador] Cálculo de retención a independientes con un único contrato no superior a 300 UVT</t>
  </si>
  <si>
    <t>[Convocatoria] Citación a Asamblea de Propietarios de Propiedad Horizontal</t>
  </si>
  <si>
    <t>[Certificado] Comprobante de Pago de los Intereses de Cesantía</t>
  </si>
  <si>
    <t>[Acta] Modelo de Acción y nota de Cesión</t>
  </si>
  <si>
    <t>[Contrato] Contrato de Arrendamiento de Vehículo Automotor para Carga o Transporte</t>
  </si>
  <si>
    <t>[Liquidador] Liquidador contrato de trabajo a término fijo – Fredy Robinson Gil Zea</t>
  </si>
  <si>
    <t>[Acta] Acta para transformación de Sociedad Comanditaria por Acciones a SAS</t>
  </si>
  <si>
    <t>[Acta] Modelo Acción de Tutela para reclamar incapacidad o licencia negada según el Decreto 1804 de 1999</t>
  </si>
  <si>
    <t>[Acta] Acta de Junta para transformar Sociedad en Comandita en SAS</t>
  </si>
  <si>
    <t>[Contrato] Minuta de Comodato o Préstamo de uso</t>
  </si>
  <si>
    <t>[Acta] Minuta compraventa de inmueble con reserva de usufructo</t>
  </si>
  <si>
    <t>[Acta] Asamblea Extraordinaria de Accionistas para la entrega de Acciones a Acreedores</t>
  </si>
  <si>
    <t>[Guía] Cuadro comparativo de modificaciones hechas por la Ley 1328/09 al Estatuto Orgánico Financiero</t>
  </si>
  <si>
    <t>[Acta] Reforma al Componente Social de una Sociedad Limitada – (Cesión de Cuotas)</t>
  </si>
  <si>
    <t>[Contrato] Contrato de Suministro de Alimentos (Outsourcing de Casino)</t>
  </si>
  <si>
    <t>[Liquidador] Liquidador de jornadas ordinarias y extraordinarias de trabajo – Juan M. Beltrán V.</t>
  </si>
  <si>
    <t>[Acta] Modelo de Minuta para la Constitución de una SAS. Sociedad por Acciones Simplificada – Francisco Reyes</t>
  </si>
  <si>
    <t>[Liquidador] Herramienta calculadora de tarifas en la profesión de Contador Público</t>
  </si>
  <si>
    <t>[Guía] Listado de los códigos para identificar en la PILA a las distintas administradoras de la seguridad social</t>
  </si>
  <si>
    <t>[Contrato] Contrato de Fabricación de Productos</t>
  </si>
  <si>
    <t>[Acta] Segunda Convocatoria a Asamblea General Ordinaria de Socios</t>
  </si>
  <si>
    <t>[Acta] Cesión y Venta de Cuotas entre los mismos Socios</t>
  </si>
  <si>
    <t>[Guía] Resumen de Parámetros Clave para la elaboración de Declaraciones Tributarias durante el 2009</t>
  </si>
  <si>
    <t>[Contrato] Modelo para la elaboración de un Contrato de Suministro</t>
  </si>
  <si>
    <t>[Guía] Diferencias entre Contribuyentes y No Contribuyentes del Impuesto sobre la Renta y Complementarios</t>
  </si>
  <si>
    <t>[Acta] Modelo Acción de Tutela para reclamar incapacidades</t>
  </si>
  <si>
    <t>[Acta] Acta de Asamblea Ordinaria de Socios o Accionistas</t>
  </si>
  <si>
    <t>[Contrato] Modelo de Contrato de Compraventa de Carro o Moto</t>
  </si>
  <si>
    <t>[Guía] Cuestionario para preparar la DR 2007 de Personas Naturales</t>
  </si>
  <si>
    <t>[Acta] Modelo de dictamen sin salvedades que la Revisoría Fiscal expediría para el cierre del periodo 2007</t>
  </si>
  <si>
    <t>[Guía] Clasificación actual de los Bienes Corporales Muebles en relación con el Impuesto sobre las Ventas</t>
  </si>
  <si>
    <t>[Acta] Modelo para la Elaboración de un Reglamento Interno de Trabajo</t>
  </si>
  <si>
    <t>[Liquidador] Modelo de Consolidación accionaria exigida en el artículo 130 del decreto 2649 de 1993</t>
  </si>
  <si>
    <t>[Guía] Información necesaria para efectos contables, laborales y tributarios tanto en el cierre contable como para la Declaración de Renta de año gravables 2006-2007</t>
  </si>
  <si>
    <t>[Liquidador] Modelo para elaborar un Resumen de Ajustes propuestos a los Estados Financieros en el desarrollo de una auditoría externa o Revisoría Fiscal</t>
  </si>
  <si>
    <t>Datos para elaborar el presupuesto de mano de obra directa (MOD)</t>
  </si>
  <si>
    <t>Datos para elaborar el presupuesto de costos indirectos de fabricación (CIF)</t>
  </si>
  <si>
    <t>Datos para elaborar el estado de costos</t>
  </si>
  <si>
    <t>Considerando que las unidades a vender por año incrementarán un 10 %, los elementos de materia prima requeridos para la producción también incrementarán un 10 % anual.</t>
  </si>
  <si>
    <t>Para la inflación se tienen en cuenta los datos contemplados en:</t>
  </si>
  <si>
    <r>
      <rPr>
        <sz val="12"/>
        <rFont val="Arial"/>
        <family val="2"/>
      </rPr>
      <t xml:space="preserve">Para el </t>
    </r>
    <r>
      <rPr>
        <u/>
        <sz val="12"/>
        <color theme="10"/>
        <rFont val="Arial"/>
        <family val="2"/>
      </rPr>
      <t>salario básico y el auxilio de transporte</t>
    </r>
    <r>
      <rPr>
        <sz val="12"/>
        <rFont val="Arial"/>
        <family val="2"/>
      </rPr>
      <t xml:space="preserve"> del año 2026 y siguientes se considera el incremento conforme a la inflación.</t>
    </r>
  </si>
  <si>
    <r>
      <rPr>
        <sz val="12"/>
        <rFont val="Arial"/>
        <family val="2"/>
      </rPr>
      <t xml:space="preserve">No se contempla Sena e ICBF conforme a lo estipulado en el </t>
    </r>
    <r>
      <rPr>
        <u/>
        <sz val="12"/>
        <color theme="10"/>
        <rFont val="Arial"/>
        <family val="2"/>
      </rPr>
      <t>parágrafo III del artículo 108 del ET.</t>
    </r>
  </si>
  <si>
    <t>Empaque (unidad)</t>
  </si>
  <si>
    <t>El primer dato se toma de la tabla "Detalle de materia prima requerida" (Ver celda B40).</t>
  </si>
  <si>
    <r>
      <rPr>
        <b/>
        <sz val="12"/>
        <rFont val="Arial"/>
        <family val="2"/>
      </rPr>
      <t xml:space="preserve">Nota: </t>
    </r>
    <r>
      <rPr>
        <sz val="12"/>
        <rFont val="Arial"/>
        <family val="2"/>
      </rPr>
      <t>aunque en nuestra empresa hipotética se fabrican cinco productos, se realiza una sola tabla de materia prima a comprar y un solo detalle de materia prima requerida, porque la materia prima de los productos es básicamente la misma. El usuario puede realizar un formato por cada artículo comprado o requerido para la producción, y luego proceder con la consolidación.</t>
    </r>
  </si>
  <si>
    <r>
      <rPr>
        <b/>
        <sz val="12"/>
        <rFont val="Arial"/>
        <family val="2"/>
      </rPr>
      <t xml:space="preserve">Nota: </t>
    </r>
    <r>
      <rPr>
        <sz val="12"/>
        <rFont val="Arial"/>
        <family val="2"/>
      </rPr>
      <t xml:space="preserve">para este caso no se contempla Sena e ICBF conforme a lo estipulado en el </t>
    </r>
    <r>
      <rPr>
        <u/>
        <sz val="12"/>
        <color theme="10"/>
        <rFont val="Arial"/>
        <family val="2"/>
      </rPr>
      <t>parágrafo III del artículo 108 del ET.</t>
    </r>
  </si>
  <si>
    <t>Presupuesto costos indirectos de fabricación (CIF)</t>
  </si>
  <si>
    <t>Presupuesto de mano de obra directa (teniendo en cuenta 3 trabajadores)</t>
  </si>
  <si>
    <t>Presupuesto de gastos de administración y ventas  (teniendo en cuenta 4 trabajadores)</t>
  </si>
  <si>
    <t>Se entiende que al cierre del año no hay inventario inicial ni final de producto en proceso.</t>
  </si>
  <si>
    <t>+ Mano de obra directa</t>
  </si>
  <si>
    <t>Sobre la nómina de producción, administración y ventas, queda causado para el siguiente año el valor de las cesantías, intereses sobre cesantías, vacaciones, y el valor correspondiente a un mes de salud, pensión, caja de compensación y ARL.</t>
  </si>
  <si>
    <r>
      <rPr>
        <b/>
        <sz val="12"/>
        <color theme="1"/>
        <rFont val="Arial"/>
        <family val="2"/>
      </rPr>
      <t xml:space="preserve">Nota: </t>
    </r>
    <r>
      <rPr>
        <sz val="12"/>
        <color theme="1"/>
        <rFont val="Arial"/>
        <family val="2"/>
      </rPr>
      <t>al momento de realizar las proyecciones se pueden evidenciar excesos de liquidez o falta de capital, dependiendo de la estrategia corporativa, se deberá definir en qué cuentas clasificar dichos valores. En este ejemplo, a partir del año 2026 se requiere inyección de capital, necesidad que se suple a través de los préstamos de socios que se convierten en una obligación (pasivo) para la compañía.</t>
    </r>
  </si>
  <si>
    <t>Caso práctico de presupuestos y proyecciones financieras para una pyme</t>
  </si>
  <si>
    <r>
      <rPr>
        <sz val="12"/>
        <rFont val="Arial"/>
        <family val="2"/>
      </rPr>
      <t xml:space="preserve">La </t>
    </r>
    <r>
      <rPr>
        <u/>
        <sz val="12"/>
        <color theme="10"/>
        <rFont val="Arial"/>
        <family val="2"/>
      </rPr>
      <t>preparación del presupuesto</t>
    </r>
    <r>
      <rPr>
        <sz val="12"/>
        <rFont val="Arial"/>
        <family val="2"/>
      </rPr>
      <t xml:space="preserve"> no solo corresponde a un único momento del año, sino que es necesario realizarle un seguimiento constante para que funcione eficientemente.</t>
    </r>
  </si>
  <si>
    <r>
      <rPr>
        <sz val="12"/>
        <rFont val="Arial"/>
        <family val="2"/>
      </rPr>
      <t>Aquí encontrarás un ejemplo de los presupuestos de ventas, producción, mano de obra, costos de fabricación, cartera, inversión y más</t>
    </r>
    <r>
      <rPr>
        <u/>
        <sz val="12"/>
        <color theme="10"/>
        <rFont val="Arial"/>
        <family val="2"/>
      </rPr>
      <t xml:space="preserve"> herramientas que te ayudarán en la proyección organizacional de una pyme.</t>
    </r>
  </si>
  <si>
    <t>La importancia de los presupuestos en las organizaciones</t>
  </si>
  <si>
    <r>
      <rPr>
        <sz val="12"/>
        <rFont val="Arial"/>
        <family val="2"/>
      </rPr>
      <t xml:space="preserve">Esta herramienta es una de las formas más sencillas de tener un control futuro sobre las operaciones del negocio. Sin embargo, en las pequeñas y medianas empresas se ha dificultado ampliamente la </t>
    </r>
    <r>
      <rPr>
        <u/>
        <sz val="12"/>
        <color theme="10"/>
        <rFont val="Arial"/>
        <family val="2"/>
      </rPr>
      <t>construcción e implementación del presupuesto</t>
    </r>
    <r>
      <rPr>
        <sz val="12"/>
        <rFont val="Arial"/>
        <family val="2"/>
      </rPr>
      <t>, debido a que requiere de tiempo y compromiso por parte de la entidad y de quien lo elabora.</t>
    </r>
  </si>
  <si>
    <r>
      <rPr>
        <sz val="12"/>
        <rFont val="Arial"/>
        <family val="2"/>
      </rPr>
      <t xml:space="preserve">Teniendo en cuenta lo anterior, hemos desarrollado este caso práctico con el cual podrás identificar los rubros más importantes que se mueven durante el año en una pyme, para luego agruparlos según su importancia y periodicidad. Partiendo de la hoja </t>
    </r>
    <r>
      <rPr>
        <u/>
        <sz val="12"/>
        <color theme="10"/>
        <rFont val="Arial"/>
        <family val="2"/>
      </rPr>
      <t>"Datos base"</t>
    </r>
    <r>
      <rPr>
        <sz val="12"/>
        <rFont val="Arial"/>
        <family val="2"/>
      </rPr>
      <t xml:space="preserve"> conocerás el paso a paso para diseñar el estado de costos, estado de resultados, flujo de caja y estado de situación financiera, cuyas cifras provienen de los diferentes presupuestos que te enseñaremos a elaborar.</t>
    </r>
  </si>
  <si>
    <t>[Especial Actualícese] Presupuestos: así se clasifican y definen</t>
  </si>
  <si>
    <t>A partir de los pronósticos construidos con los datos históricos de las empresas, los presupuestos constituyen el análisis del presente y del futuro de las organizaciones. Te presentamos la definición y la clasificación de los presupuestos, dada su importancia en la toma de decisiones.</t>
  </si>
  <si>
    <t>[Lista de chequeo] Evaluación de las 4 fases de la planeación tributaria del impuesto de renta</t>
  </si>
  <si>
    <t>En esta lista de chequeo encontrarás más de 100 actividades que recomendamos evaluar para llevar a cabo satisfactoriamente una planeación tributaria. Se encuentra dividida en 4 fases: conocimiento del negocio, estado actual de las obligaciones, identificación de oportunidades y elaboración del plan de acción.</t>
  </si>
  <si>
    <t>[Guía Actualícese] Planeación financiera del diagnóstico a la estrategia en 5 pasos</t>
  </si>
  <si>
    <t>Domina la planeación financiera en tu empresa, aprende a analizar tu entorno, diagnosticar fortalezas y debilidades, crear estrategias adaptadas a tus objetivos y proyectar resultados con herramientas prácticas. Anticípate a los cambios, minimiza riesgos y asegura el crecimiento sostenible de tu organización.</t>
  </si>
  <si>
    <r>
      <rPr>
        <sz val="12"/>
        <rFont val="Arial"/>
        <family val="2"/>
      </rPr>
      <t xml:space="preserve">Como ya lo vimos, uno de los principales objetivos de los </t>
    </r>
    <r>
      <rPr>
        <u/>
        <sz val="12"/>
        <color theme="10"/>
        <rFont val="Arial"/>
        <family val="2"/>
      </rPr>
      <t>presupuestos</t>
    </r>
    <r>
      <rPr>
        <sz val="12"/>
        <rFont val="Arial"/>
        <family val="2"/>
      </rPr>
      <t xml:space="preserve"> es optimizar el uso de los recursos, ya que con este se tiene en claro la cantidad de dinero que ingresa a la empresa, si alcanza para cubrir los gastos, si queda para ahorrar o si existe la necesidad de buscar nuevas fuentes de financiación. Sin embargo, muchas personas no saben cómo construirlo y cuál es el propósito de registrar el día a día de lo que ganamos y gastamos.</t>
    </r>
  </si>
  <si>
    <t>https://actualicese.com/caso-practico-de-presupuestos-y-proyecciones-financieras-para-una-pyme/</t>
  </si>
  <si>
    <t>Liquidador y caso práctico para calcular y contabilizar horas extra y recargos durante la reducción de la jornada laboral en 2025 a 46 horas semanales</t>
  </si>
  <si>
    <r>
      <rPr>
        <sz val="12"/>
        <rFont val="Arial"/>
        <family val="2"/>
      </rPr>
      <t xml:space="preserve">Recuerda que como profesional contable no solo elaboras y auditas información financiera, también analizas y reflexionas críticamente, convirtiéndote en un </t>
    </r>
    <r>
      <rPr>
        <u/>
        <sz val="12"/>
        <color theme="10"/>
        <rFont val="Arial"/>
        <family val="2"/>
      </rPr>
      <t>aliado clave para la toma de decisiones estratégicas</t>
    </r>
    <r>
      <rPr>
        <sz val="12"/>
        <color theme="10"/>
        <rFont val="Arial"/>
        <family val="2"/>
      </rPr>
      <t xml:space="preserve"> </t>
    </r>
    <r>
      <rPr>
        <sz val="12"/>
        <rFont val="Arial"/>
        <family val="2"/>
      </rPr>
      <t>dentro de las empresas que asesoras.</t>
    </r>
  </si>
  <si>
    <r>
      <rPr>
        <sz val="12"/>
        <rFont val="Arial"/>
        <family val="2"/>
      </rPr>
      <t xml:space="preserve">El diseño de los presupuestos hace parte de la planeación de las operaciones y el destino de los recursos de una compañía. Es una formulación anticipada de los ingresos, </t>
    </r>
    <r>
      <rPr>
        <u/>
        <sz val="12"/>
        <color theme="10"/>
        <rFont val="Arial"/>
        <family val="2"/>
      </rPr>
      <t>costos y la producción de las empresas</t>
    </r>
    <r>
      <rPr>
        <sz val="12"/>
        <rFont val="Arial"/>
        <family val="2"/>
      </rPr>
      <t>, de modo que se pueda garantizar la liquidez y el mantenimiento del capital de trabajo.</t>
    </r>
  </si>
  <si>
    <r>
      <rPr>
        <sz val="12"/>
        <rFont val="Arial"/>
        <family val="2"/>
      </rPr>
      <t xml:space="preserve">El presupuesto es el punto de partida para estimar los </t>
    </r>
    <r>
      <rPr>
        <u/>
        <sz val="12"/>
        <color theme="10"/>
        <rFont val="Arial"/>
        <family val="2"/>
      </rPr>
      <t>indicadores de las entidades</t>
    </r>
    <r>
      <rPr>
        <sz val="12"/>
        <rFont val="Arial"/>
        <family val="2"/>
      </rPr>
      <t xml:space="preserve"> y permite que los administradores y socios tomen decisiones oportunas basadas en datos reales, de allí su importancia.</t>
    </r>
  </si>
  <si>
    <r>
      <rPr>
        <sz val="12"/>
        <rFont val="Arial"/>
        <family val="2"/>
      </rPr>
      <t xml:space="preserve">¡Eleva tu nivel profesional! Te invitamos a resolver el siguiente cuestionario: </t>
    </r>
    <r>
      <rPr>
        <i/>
        <u/>
        <sz val="12"/>
        <color theme="10"/>
        <rFont val="Arial"/>
        <family val="2"/>
      </rPr>
      <t>¿Qué tan actualizado te sientes sobre planeación tributaria para el impuesto de renta?</t>
    </r>
  </si>
  <si>
    <t>[Guía] Clasificación de las personas jurídicas frente al impuesto de renta y el SIMPLE AG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</si>
</sst>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
    <numFmt numFmtId="167" formatCode="0.000000000"/>
    <numFmt numFmtId="168" formatCode="0.00000000000"/>
  </numFmts>
  <fonts count="60"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theme="1"/>
      <name val="Arial"/>
      <family val="2"/>
    </font>
    <font>
      <b/>
      <sz val="11"/>
      <color theme="1"/>
      <name val="Arial"/>
      <family val="2"/>
    </font>
    <font>
      <sz val="10"/>
      <color rgb="FFFF0000"/>
      <name val="Arial"/>
      <family val="2"/>
    </font>
    <font>
      <sz val="8"/>
      <color theme="1"/>
      <name val="Arial"/>
      <family val="2"/>
    </font>
    <font>
      <sz val="10"/>
      <name val="Arial"/>
      <family val="2"/>
    </font>
    <font>
      <sz val="10"/>
      <color rgb="FF000000"/>
      <name val="Arial"/>
      <family val="2"/>
    </font>
    <font>
      <sz val="12"/>
      <color rgb="FF000000"/>
      <name val="Arial"/>
      <family val="2"/>
    </font>
    <font>
      <sz val="14"/>
      <color rgb="FF000000"/>
      <name val="Arial"/>
      <family val="2"/>
    </font>
    <font>
      <b/>
      <sz val="30"/>
      <name val="Arial"/>
      <family val="2"/>
    </font>
    <font>
      <b/>
      <sz val="16"/>
      <color rgb="FFC00000"/>
      <name val="Arial"/>
      <family val="2"/>
    </font>
    <font>
      <sz val="16"/>
      <color rgb="FFC00000"/>
      <name val="Arial"/>
      <family val="2"/>
    </font>
    <font>
      <b/>
      <sz val="20"/>
      <color rgb="FF000000"/>
      <name val="Arial"/>
      <family val="2"/>
    </font>
    <font>
      <sz val="20"/>
      <color rgb="FF000000"/>
      <name val="Arial"/>
      <family val="2"/>
    </font>
    <font>
      <u/>
      <sz val="14"/>
      <color theme="10"/>
      <name val="Arial"/>
      <family val="2"/>
    </font>
    <font>
      <b/>
      <sz val="20"/>
      <color rgb="FFC00000"/>
      <name val="Arial"/>
      <family val="2"/>
    </font>
    <font>
      <b/>
      <sz val="20"/>
      <color theme="8" tint="-0.249977111117893"/>
      <name val="Arial"/>
      <family val="2"/>
    </font>
    <font>
      <sz val="10"/>
      <color theme="8" tint="-0.249977111117893"/>
      <name val="Arial"/>
      <family val="2"/>
    </font>
    <font>
      <u/>
      <sz val="10"/>
      <color theme="10"/>
      <name val="Arial"/>
      <family val="2"/>
    </font>
    <font>
      <u/>
      <sz val="12"/>
      <color rgb="FF0000FF"/>
      <name val="Arial"/>
      <family val="2"/>
    </font>
    <font>
      <u/>
      <sz val="12"/>
      <color theme="10"/>
      <name val="Arial"/>
      <family val="2"/>
    </font>
    <font>
      <sz val="12"/>
      <color rgb="FF0000FF"/>
      <name val="Arial"/>
      <family val="2"/>
    </font>
    <font>
      <b/>
      <sz val="16"/>
      <color theme="1"/>
      <name val="Arial"/>
      <family val="2"/>
    </font>
    <font>
      <sz val="11"/>
      <color rgb="FF000000"/>
      <name val="Arial"/>
      <family val="2"/>
    </font>
    <font>
      <b/>
      <sz val="13"/>
      <color theme="1"/>
      <name val="Arial"/>
      <family val="2"/>
    </font>
    <font>
      <sz val="13"/>
      <color theme="1"/>
      <name val="Arial"/>
      <family val="2"/>
    </font>
    <font>
      <b/>
      <u/>
      <sz val="11"/>
      <color rgb="FF0000FF"/>
      <name val="Arial"/>
      <family val="2"/>
    </font>
    <font>
      <b/>
      <sz val="14"/>
      <color theme="8" tint="-0.249977111117893"/>
      <name val="Arial"/>
      <family val="2"/>
    </font>
    <font>
      <b/>
      <u/>
      <sz val="18"/>
      <color theme="10"/>
      <name val="Arial"/>
      <family val="2"/>
    </font>
    <font>
      <b/>
      <u/>
      <sz val="18"/>
      <color rgb="FF0000FF"/>
      <name val="Arial"/>
      <family val="2"/>
    </font>
    <font>
      <b/>
      <u/>
      <sz val="20"/>
      <color theme="10"/>
      <name val="Arial"/>
      <family val="2"/>
    </font>
    <font>
      <sz val="10"/>
      <color rgb="FF000000"/>
      <name val="Aptos Narrow"/>
      <family val="2"/>
      <scheme val="minor"/>
    </font>
    <font>
      <b/>
      <sz val="20"/>
      <color rgb="FF4656F0"/>
      <name val="Arial"/>
      <family val="2"/>
    </font>
    <font>
      <sz val="12"/>
      <color theme="1"/>
      <name val="Arial"/>
      <family val="2"/>
    </font>
    <font>
      <sz val="12"/>
      <name val="Arial"/>
      <family val="2"/>
    </font>
    <font>
      <b/>
      <sz val="16"/>
      <color rgb="FF4656F0"/>
      <name val="Arial"/>
      <family val="2"/>
    </font>
    <font>
      <b/>
      <sz val="12"/>
      <name val="Arial"/>
      <family val="2"/>
    </font>
    <font>
      <u/>
      <sz val="10"/>
      <color theme="10"/>
      <name val="Aptos Narrow"/>
      <family val="2"/>
      <scheme val="minor"/>
    </font>
    <font>
      <i/>
      <u/>
      <sz val="12"/>
      <color theme="10"/>
      <name val="Arial"/>
      <family val="2"/>
    </font>
    <font>
      <u/>
      <sz val="12"/>
      <color theme="10"/>
      <name val="Aptos Narrow"/>
      <family val="2"/>
      <scheme val="minor"/>
    </font>
    <font>
      <b/>
      <sz val="16"/>
      <color theme="0"/>
      <name val="Arial"/>
      <family val="2"/>
    </font>
    <font>
      <u/>
      <sz val="10"/>
      <color indexed="12"/>
      <name val="Arial"/>
      <family val="2"/>
    </font>
    <font>
      <u/>
      <sz val="12"/>
      <color indexed="12"/>
      <name val="Arial"/>
      <family val="2"/>
    </font>
    <font>
      <sz val="11"/>
      <name val="Calibri"/>
      <family val="2"/>
    </font>
    <font>
      <b/>
      <sz val="20"/>
      <color rgb="FF5266FB"/>
      <name val="Arial"/>
      <family val="2"/>
    </font>
    <font>
      <sz val="11"/>
      <color rgb="FF000000"/>
      <name val="Calibri"/>
      <family val="2"/>
    </font>
    <font>
      <b/>
      <sz val="11"/>
      <color rgb="FF000000"/>
      <name val="Calibri"/>
      <family val="2"/>
    </font>
    <font>
      <b/>
      <sz val="11"/>
      <color rgb="FFFF0000"/>
      <name val="Aptos Narrow"/>
      <family val="2"/>
      <scheme val="minor"/>
    </font>
    <font>
      <b/>
      <sz val="11"/>
      <color rgb="FFFF0000"/>
      <name val="Calibri"/>
      <family val="2"/>
    </font>
    <font>
      <u/>
      <sz val="11"/>
      <color theme="10"/>
      <name val="Calibri"/>
      <family val="2"/>
    </font>
    <font>
      <sz val="11"/>
      <color theme="1"/>
      <name val="Calibri"/>
      <family val="2"/>
    </font>
    <font>
      <b/>
      <sz val="12"/>
      <color theme="0"/>
      <name val="Arial"/>
      <family val="2"/>
    </font>
    <font>
      <sz val="12"/>
      <color theme="1"/>
      <name val="Aptos Narrow"/>
      <family val="2"/>
      <scheme val="minor"/>
    </font>
    <font>
      <b/>
      <sz val="12"/>
      <color theme="1"/>
      <name val="Arial"/>
      <family val="2"/>
    </font>
    <font>
      <sz val="12"/>
      <color rgb="FFFF0000"/>
      <name val="Arial"/>
      <family val="2"/>
    </font>
    <font>
      <sz val="9"/>
      <color indexed="81"/>
      <name val="Tahoma"/>
      <family val="2"/>
    </font>
    <font>
      <b/>
      <sz val="12"/>
      <color rgb="FF4353EF"/>
      <name val="Arial"/>
      <family val="2"/>
    </font>
    <font>
      <sz val="12"/>
      <color theme="10"/>
      <name val="Arial"/>
      <family val="2"/>
    </font>
  </fonts>
  <fills count="8">
    <fill>
      <patternFill patternType="none"/>
    </fill>
    <fill>
      <patternFill patternType="gray125"/>
    </fill>
    <fill>
      <patternFill patternType="solid">
        <fgColor rgb="FF4353EF"/>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
      <patternFill patternType="solid">
        <fgColor rgb="FF2356E5"/>
        <bgColor indexed="64"/>
      </patternFill>
    </fill>
    <fill>
      <patternFill patternType="solid">
        <fgColor rgb="FF9DF7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8" fillId="0" borderId="0"/>
    <xf numFmtId="0" fontId="8" fillId="0" borderId="0"/>
    <xf numFmtId="0" fontId="20" fillId="0" borderId="0" applyNumberFormat="0" applyFill="0" applyBorder="0" applyAlignment="0" applyProtection="0"/>
    <xf numFmtId="0" fontId="33" fillId="0" borderId="0"/>
    <xf numFmtId="0" fontId="39" fillId="0" borderId="0" applyNumberFormat="0" applyFill="0" applyBorder="0" applyAlignment="0" applyProtection="0"/>
    <xf numFmtId="0" fontId="7" fillId="0" borderId="0"/>
    <xf numFmtId="0" fontId="43" fillId="0" borderId="0" applyNumberFormat="0" applyFill="0" applyBorder="0" applyAlignment="0" applyProtection="0">
      <alignment vertical="top"/>
      <protection locked="0"/>
    </xf>
    <xf numFmtId="0" fontId="8" fillId="0" borderId="0"/>
    <xf numFmtId="0" fontId="2" fillId="0" borderId="0" applyNumberFormat="0" applyFill="0" applyBorder="0" applyAlignment="0" applyProtection="0"/>
    <xf numFmtId="0" fontId="1" fillId="0" borderId="0"/>
    <xf numFmtId="0" fontId="1" fillId="0" borderId="0"/>
  </cellStyleXfs>
  <cellXfs count="272">
    <xf numFmtId="0" fontId="0" fillId="0" borderId="0" xfId="0"/>
    <xf numFmtId="3" fontId="0" fillId="0" borderId="0" xfId="0" applyNumberFormat="1"/>
    <xf numFmtId="0" fontId="3" fillId="0" borderId="0" xfId="0" applyFont="1"/>
    <xf numFmtId="0" fontId="4" fillId="0" borderId="0" xfId="0" applyFont="1"/>
    <xf numFmtId="0" fontId="9" fillId="0" borderId="0" xfId="3" applyFont="1"/>
    <xf numFmtId="0" fontId="8" fillId="0" borderId="0" xfId="3"/>
    <xf numFmtId="0" fontId="10" fillId="0" borderId="0" xfId="3" applyFont="1"/>
    <xf numFmtId="0" fontId="10" fillId="0" borderId="0" xfId="3" applyFont="1" applyAlignment="1">
      <alignment horizontal="right"/>
    </xf>
    <xf numFmtId="0" fontId="8" fillId="3" borderId="0" xfId="3" applyFill="1"/>
    <xf numFmtId="0" fontId="10" fillId="3" borderId="0" xfId="3" applyFont="1" applyFill="1" applyAlignment="1">
      <alignment vertical="center" wrapText="1"/>
    </xf>
    <xf numFmtId="0" fontId="8" fillId="3" borderId="0" xfId="3" applyFill="1" applyAlignment="1">
      <alignment vertical="center" wrapText="1"/>
    </xf>
    <xf numFmtId="0" fontId="8" fillId="3" borderId="0" xfId="4" applyFill="1"/>
    <xf numFmtId="0" fontId="8" fillId="0" borderId="0" xfId="4"/>
    <xf numFmtId="0" fontId="17" fillId="3" borderId="0" xfId="4" applyFont="1" applyFill="1" applyAlignment="1">
      <alignment vertical="center" wrapText="1"/>
    </xf>
    <xf numFmtId="0" fontId="18" fillId="3" borderId="0" xfId="4" applyFont="1" applyFill="1"/>
    <xf numFmtId="0" fontId="19" fillId="3" borderId="0" xfId="4" applyFont="1" applyFill="1"/>
    <xf numFmtId="0" fontId="9" fillId="3" borderId="0" xfId="4" applyFont="1" applyFill="1" applyAlignment="1">
      <alignment vertical="top" wrapText="1"/>
    </xf>
    <xf numFmtId="0" fontId="9" fillId="5" borderId="0" xfId="4" applyFont="1" applyFill="1" applyAlignment="1">
      <alignment vertical="top" wrapText="1"/>
    </xf>
    <xf numFmtId="0" fontId="8" fillId="3" borderId="0" xfId="4" applyFill="1" applyAlignment="1">
      <alignment horizontal="left" vertical="top"/>
    </xf>
    <xf numFmtId="0" fontId="21" fillId="5" borderId="0" xfId="5" applyFont="1" applyFill="1" applyAlignment="1">
      <alignment vertical="center" wrapText="1"/>
    </xf>
    <xf numFmtId="0" fontId="22" fillId="3" borderId="0" xfId="2" applyFont="1" applyFill="1" applyAlignment="1">
      <alignment vertical="center"/>
    </xf>
    <xf numFmtId="0" fontId="23" fillId="3" borderId="0" xfId="4" applyFont="1" applyFill="1" applyAlignment="1">
      <alignment vertical="center"/>
    </xf>
    <xf numFmtId="0" fontId="8" fillId="0" borderId="0" xfId="4" applyAlignment="1">
      <alignment horizontal="left" vertical="top"/>
    </xf>
    <xf numFmtId="0" fontId="22" fillId="3" borderId="0" xfId="2" applyFont="1" applyFill="1" applyAlignment="1">
      <alignment horizontal="center" vertical="center"/>
    </xf>
    <xf numFmtId="0" fontId="23" fillId="3" borderId="0" xfId="4" applyFont="1" applyFill="1" applyAlignment="1">
      <alignment horizontal="center" vertical="center"/>
    </xf>
    <xf numFmtId="0" fontId="24" fillId="0" borderId="0" xfId="4" applyFont="1"/>
    <xf numFmtId="0" fontId="25" fillId="0" borderId="0" xfId="4" applyFont="1" applyAlignment="1">
      <alignment horizontal="left" vertical="top" wrapText="1"/>
    </xf>
    <xf numFmtId="0" fontId="9" fillId="0" borderId="0" xfId="4" applyFont="1" applyAlignment="1">
      <alignment vertical="top" wrapText="1"/>
    </xf>
    <xf numFmtId="0" fontId="28" fillId="3" borderId="0" xfId="5" applyFont="1" applyFill="1" applyAlignment="1">
      <alignment horizontal="left" vertical="center"/>
    </xf>
    <xf numFmtId="0" fontId="28" fillId="3" borderId="0" xfId="5" applyFont="1" applyFill="1" applyAlignment="1">
      <alignment vertical="center"/>
    </xf>
    <xf numFmtId="0" fontId="2" fillId="3" borderId="0" xfId="2" applyFill="1" applyAlignment="1">
      <alignment horizontal="center" vertical="center"/>
    </xf>
    <xf numFmtId="0" fontId="2" fillId="0" borderId="0" xfId="2" applyFill="1" applyAlignment="1">
      <alignment horizontal="center" vertical="center"/>
    </xf>
    <xf numFmtId="0" fontId="28" fillId="0" borderId="0" xfId="5" applyFont="1" applyFill="1" applyAlignment="1">
      <alignment vertical="center"/>
    </xf>
    <xf numFmtId="0" fontId="2" fillId="0" borderId="0" xfId="2" applyFill="1" applyAlignment="1">
      <alignment horizontal="left" vertical="center"/>
    </xf>
    <xf numFmtId="0" fontId="29" fillId="3" borderId="0" xfId="4" applyFont="1" applyFill="1" applyAlignment="1">
      <alignment horizontal="left"/>
    </xf>
    <xf numFmtId="0" fontId="8" fillId="0" borderId="0" xfId="4" applyAlignment="1">
      <alignment horizontal="left"/>
    </xf>
    <xf numFmtId="0" fontId="29" fillId="0" borderId="0" xfId="4" applyFont="1"/>
    <xf numFmtId="0" fontId="9" fillId="0" borderId="0" xfId="4" applyFont="1" applyAlignment="1">
      <alignment horizontal="left" vertical="top" wrapText="1"/>
    </xf>
    <xf numFmtId="0" fontId="32" fillId="3" borderId="0" xfId="2" applyFont="1" applyFill="1" applyAlignment="1">
      <alignment vertical="center" wrapText="1"/>
    </xf>
    <xf numFmtId="0" fontId="33" fillId="3" borderId="0" xfId="6" applyFill="1"/>
    <xf numFmtId="0" fontId="35" fillId="3" borderId="0" xfId="6" applyFont="1" applyFill="1"/>
    <xf numFmtId="0" fontId="5" fillId="3" borderId="0" xfId="6" applyFont="1" applyFill="1"/>
    <xf numFmtId="0" fontId="9" fillId="3" borderId="0" xfId="6" applyFont="1" applyFill="1"/>
    <xf numFmtId="0" fontId="22" fillId="3" borderId="0" xfId="7" applyFont="1" applyFill="1" applyAlignment="1">
      <alignment horizontal="justify" vertical="center" wrapText="1"/>
    </xf>
    <xf numFmtId="0" fontId="45" fillId="3" borderId="0" xfId="8" applyFont="1" applyFill="1"/>
    <xf numFmtId="0" fontId="47" fillId="3" borderId="0" xfId="10" applyFont="1" applyFill="1"/>
    <xf numFmtId="0" fontId="48" fillId="3" borderId="0" xfId="8" applyFont="1" applyFill="1"/>
    <xf numFmtId="0" fontId="7" fillId="3" borderId="0" xfId="8" applyFill="1"/>
    <xf numFmtId="0" fontId="43" fillId="3" borderId="0" xfId="9" applyFill="1" applyAlignment="1" applyProtection="1">
      <alignment horizontal="left" vertical="center"/>
    </xf>
    <xf numFmtId="0" fontId="49" fillId="3" borderId="0" xfId="8" applyFont="1" applyFill="1" applyAlignment="1">
      <alignment horizontal="right"/>
    </xf>
    <xf numFmtId="0" fontId="50" fillId="3" borderId="0" xfId="8" applyFont="1" applyFill="1" applyAlignment="1">
      <alignment horizontal="right"/>
    </xf>
    <xf numFmtId="0" fontId="51" fillId="3" borderId="0" xfId="11" applyFont="1" applyFill="1" applyAlignment="1">
      <alignment vertical="center" wrapText="1"/>
    </xf>
    <xf numFmtId="0" fontId="52" fillId="0" borderId="0" xfId="12" applyFont="1"/>
    <xf numFmtId="0" fontId="52" fillId="3" borderId="0" xfId="13" applyFont="1" applyFill="1"/>
    <xf numFmtId="0" fontId="34" fillId="3" borderId="0" xfId="6" applyFont="1" applyFill="1" applyAlignment="1">
      <alignment vertical="center" wrapText="1"/>
    </xf>
    <xf numFmtId="0" fontId="53" fillId="2" borderId="1" xfId="0" applyFont="1" applyFill="1" applyBorder="1" applyAlignment="1">
      <alignment horizontal="center" vertical="center"/>
    </xf>
    <xf numFmtId="0" fontId="53" fillId="2" borderId="1" xfId="0" applyFont="1" applyFill="1" applyBorder="1" applyAlignment="1">
      <alignment horizontal="center" vertical="center" wrapText="1"/>
    </xf>
    <xf numFmtId="0" fontId="35" fillId="0" borderId="0" xfId="0" applyFont="1"/>
    <xf numFmtId="0" fontId="35" fillId="0" borderId="1" xfId="0" applyFont="1" applyBorder="1" applyAlignment="1">
      <alignment horizontal="center" vertical="center"/>
    </xf>
    <xf numFmtId="3" fontId="35" fillId="0" borderId="1" xfId="0" applyNumberFormat="1" applyFont="1" applyBorder="1" applyAlignment="1">
      <alignment horizontal="center" vertical="center"/>
    </xf>
    <xf numFmtId="0" fontId="53" fillId="2" borderId="4" xfId="0" applyFont="1" applyFill="1" applyBorder="1" applyAlignment="1">
      <alignment horizontal="center" vertical="center"/>
    </xf>
    <xf numFmtId="9" fontId="35" fillId="0" borderId="1" xfId="0" applyNumberFormat="1" applyFont="1" applyBorder="1" applyAlignment="1">
      <alignment horizontal="center" vertical="center"/>
    </xf>
    <xf numFmtId="0" fontId="35" fillId="0" borderId="0" xfId="0" applyFont="1" applyAlignment="1">
      <alignment horizontal="justify" vertical="center" wrapText="1"/>
    </xf>
    <xf numFmtId="0" fontId="35" fillId="0" borderId="0" xfId="0" applyFont="1" applyAlignment="1">
      <alignment vertical="center" wrapText="1"/>
    </xf>
    <xf numFmtId="0" fontId="53" fillId="2" borderId="1" xfId="0" applyFont="1" applyFill="1" applyBorder="1" applyAlignment="1">
      <alignment horizontal="center"/>
    </xf>
    <xf numFmtId="0" fontId="53" fillId="2" borderId="1" xfId="0" applyFont="1" applyFill="1" applyBorder="1"/>
    <xf numFmtId="3" fontId="35" fillId="0" borderId="1" xfId="0" applyNumberFormat="1" applyFont="1" applyBorder="1"/>
    <xf numFmtId="0" fontId="22" fillId="0" borderId="0" xfId="2" applyFont="1"/>
    <xf numFmtId="0" fontId="35" fillId="0" borderId="1" xfId="0" applyFont="1" applyBorder="1"/>
    <xf numFmtId="9" fontId="35" fillId="0" borderId="1" xfId="0" applyNumberFormat="1" applyFont="1" applyBorder="1"/>
    <xf numFmtId="0" fontId="54" fillId="0" borderId="0" xfId="0" applyFont="1"/>
    <xf numFmtId="0" fontId="53" fillId="2" borderId="1" xfId="0" applyFont="1" applyFill="1" applyBorder="1" applyAlignment="1">
      <alignment vertical="center"/>
    </xf>
    <xf numFmtId="165" fontId="35" fillId="0" borderId="0" xfId="1" applyNumberFormat="1" applyFont="1" applyBorder="1"/>
    <xf numFmtId="0" fontId="55" fillId="0" borderId="0" xfId="0" applyFont="1"/>
    <xf numFmtId="0" fontId="35" fillId="0" borderId="0" xfId="0" applyFont="1" applyAlignment="1">
      <alignment wrapText="1"/>
    </xf>
    <xf numFmtId="165" fontId="35" fillId="0" borderId="1" xfId="1" applyNumberFormat="1" applyFont="1" applyBorder="1" applyAlignment="1">
      <alignment vertical="center"/>
    </xf>
    <xf numFmtId="0" fontId="55" fillId="0" borderId="0" xfId="0" applyFont="1" applyAlignment="1">
      <alignment wrapText="1"/>
    </xf>
    <xf numFmtId="1" fontId="35" fillId="0" borderId="0" xfId="1" applyNumberFormat="1" applyFont="1" applyFill="1" applyBorder="1" applyAlignment="1">
      <alignment vertical="center"/>
    </xf>
    <xf numFmtId="0" fontId="35" fillId="0" borderId="0" xfId="0" applyFont="1" applyAlignment="1">
      <alignment horizontal="left" vertical="center" wrapText="1"/>
    </xf>
    <xf numFmtId="9" fontId="35" fillId="0" borderId="1" xfId="0" applyNumberFormat="1" applyFont="1" applyBorder="1" applyAlignment="1">
      <alignment vertical="center"/>
    </xf>
    <xf numFmtId="1" fontId="35" fillId="0" borderId="1" xfId="0" applyNumberFormat="1" applyFont="1" applyBorder="1" applyAlignment="1">
      <alignment vertical="center"/>
    </xf>
    <xf numFmtId="0" fontId="35" fillId="0" borderId="1" xfId="0" quotePrefix="1" applyFont="1" applyBorder="1"/>
    <xf numFmtId="0" fontId="35" fillId="0" borderId="1" xfId="0" applyFont="1" applyBorder="1" applyAlignment="1">
      <alignment vertical="center"/>
    </xf>
    <xf numFmtId="0" fontId="35" fillId="0" borderId="0" xfId="0" applyFont="1" applyAlignment="1">
      <alignment vertical="center"/>
    </xf>
    <xf numFmtId="1" fontId="36" fillId="0" borderId="1" xfId="0" applyNumberFormat="1" applyFont="1" applyBorder="1" applyAlignment="1">
      <alignment vertical="center"/>
    </xf>
    <xf numFmtId="0" fontId="56" fillId="0" borderId="0" xfId="0" applyFont="1"/>
    <xf numFmtId="0" fontId="35" fillId="0" borderId="1" xfId="0" quotePrefix="1" applyFont="1" applyBorder="1" applyAlignment="1">
      <alignment vertical="center" wrapText="1"/>
    </xf>
    <xf numFmtId="3" fontId="36" fillId="0" borderId="1" xfId="0" applyNumberFormat="1" applyFont="1" applyBorder="1" applyAlignment="1">
      <alignment vertical="center"/>
    </xf>
    <xf numFmtId="3" fontId="35" fillId="0" borderId="1" xfId="0" applyNumberFormat="1" applyFont="1" applyBorder="1" applyAlignment="1">
      <alignment vertical="center"/>
    </xf>
    <xf numFmtId="167" fontId="56" fillId="0" borderId="0" xfId="0" applyNumberFormat="1" applyFont="1" applyAlignment="1">
      <alignment vertical="center" wrapText="1"/>
    </xf>
    <xf numFmtId="168" fontId="56" fillId="0" borderId="0" xfId="0" applyNumberFormat="1" applyFont="1" applyAlignment="1">
      <alignment vertical="center" wrapText="1"/>
    </xf>
    <xf numFmtId="0" fontId="55" fillId="0" borderId="0" xfId="0" applyFont="1" applyAlignment="1">
      <alignment horizontal="center"/>
    </xf>
    <xf numFmtId="3" fontId="56" fillId="0" borderId="0" xfId="0" applyNumberFormat="1" applyFont="1" applyAlignment="1">
      <alignment vertical="center"/>
    </xf>
    <xf numFmtId="164" fontId="56" fillId="0" borderId="0" xfId="0" applyNumberFormat="1" applyFont="1" applyAlignment="1">
      <alignment vertical="center"/>
    </xf>
    <xf numFmtId="3" fontId="36" fillId="0" borderId="0" xfId="0" applyNumberFormat="1" applyFont="1" applyAlignment="1">
      <alignment vertical="center"/>
    </xf>
    <xf numFmtId="0" fontId="56" fillId="0" borderId="0" xfId="0" applyFont="1" applyAlignment="1">
      <alignment vertical="center"/>
    </xf>
    <xf numFmtId="3" fontId="35" fillId="0" borderId="0" xfId="0" applyNumberFormat="1" applyFont="1" applyAlignment="1">
      <alignment vertical="center"/>
    </xf>
    <xf numFmtId="0" fontId="36" fillId="0" borderId="0" xfId="0" applyFont="1"/>
    <xf numFmtId="0" fontId="53" fillId="2" borderId="1" xfId="0" applyFont="1" applyFill="1" applyBorder="1" applyAlignment="1">
      <alignment vertical="center" wrapText="1"/>
    </xf>
    <xf numFmtId="1" fontId="55" fillId="0" borderId="1" xfId="0" applyNumberFormat="1" applyFont="1" applyBorder="1" applyAlignment="1">
      <alignment vertical="center"/>
    </xf>
    <xf numFmtId="0" fontId="35" fillId="0" borderId="0" xfId="0" applyFont="1" applyAlignment="1">
      <alignment vertical="top" wrapText="1"/>
    </xf>
    <xf numFmtId="3" fontId="55" fillId="0" borderId="1" xfId="0" applyNumberFormat="1" applyFont="1" applyBorder="1" applyAlignment="1">
      <alignment vertical="center"/>
    </xf>
    <xf numFmtId="3" fontId="35" fillId="0" borderId="0" xfId="0" applyNumberFormat="1" applyFont="1"/>
    <xf numFmtId="0" fontId="55" fillId="0" borderId="1" xfId="0" applyFont="1" applyBorder="1"/>
    <xf numFmtId="165" fontId="35" fillId="0" borderId="0" xfId="1" applyNumberFormat="1" applyFont="1" applyFill="1" applyBorder="1"/>
    <xf numFmtId="0" fontId="53" fillId="2" borderId="5" xfId="0" applyFont="1" applyFill="1" applyBorder="1" applyAlignment="1">
      <alignment horizontal="center" vertical="center"/>
    </xf>
    <xf numFmtId="3" fontId="56" fillId="0" borderId="0" xfId="0" applyNumberFormat="1" applyFont="1"/>
    <xf numFmtId="9" fontId="35" fillId="0" borderId="0" xfId="0" applyNumberFormat="1" applyFont="1" applyAlignment="1">
      <alignment horizontal="center" vertical="center"/>
    </xf>
    <xf numFmtId="0" fontId="53" fillId="2" borderId="5" xfId="0" applyFont="1" applyFill="1" applyBorder="1" applyAlignment="1">
      <alignment vertical="center"/>
    </xf>
    <xf numFmtId="0" fontId="53" fillId="2" borderId="5" xfId="0" applyFont="1" applyFill="1" applyBorder="1" applyAlignment="1">
      <alignment horizontal="center"/>
    </xf>
    <xf numFmtId="0" fontId="35" fillId="0" borderId="6" xfId="0" applyFont="1" applyBorder="1"/>
    <xf numFmtId="0" fontId="36" fillId="0" borderId="5" xfId="0" applyFont="1" applyBorder="1"/>
    <xf numFmtId="3" fontId="35" fillId="0" borderId="4" xfId="0" applyNumberFormat="1" applyFont="1" applyBorder="1"/>
    <xf numFmtId="3" fontId="35" fillId="0" borderId="6" xfId="0" applyNumberFormat="1" applyFont="1" applyBorder="1"/>
    <xf numFmtId="0" fontId="55" fillId="0" borderId="1" xfId="0" applyFont="1" applyBorder="1" applyAlignment="1">
      <alignment vertical="center" wrapText="1"/>
    </xf>
    <xf numFmtId="0" fontId="55" fillId="0" borderId="2" xfId="0" applyFont="1" applyBorder="1" applyAlignment="1">
      <alignment vertical="center" wrapText="1"/>
    </xf>
    <xf numFmtId="3" fontId="55" fillId="0" borderId="6" xfId="0" applyNumberFormat="1" applyFont="1" applyBorder="1" applyAlignment="1">
      <alignment vertical="center"/>
    </xf>
    <xf numFmtId="0" fontId="53" fillId="2" borderId="2" xfId="0" applyFont="1" applyFill="1" applyBorder="1" applyAlignment="1">
      <alignment vertical="center" wrapText="1"/>
    </xf>
    <xf numFmtId="0" fontId="55" fillId="0" borderId="0" xfId="0" applyFont="1" applyAlignment="1">
      <alignment horizontal="center" vertical="center" wrapText="1"/>
    </xf>
    <xf numFmtId="9" fontId="35" fillId="0" borderId="0" xfId="1" applyFont="1" applyFill="1" applyBorder="1"/>
    <xf numFmtId="9" fontId="35" fillId="0" borderId="1" xfId="1" applyFont="1" applyBorder="1" applyAlignment="1">
      <alignment vertical="center"/>
    </xf>
    <xf numFmtId="0" fontId="55" fillId="0" borderId="0" xfId="0" applyFont="1" applyAlignment="1">
      <alignment vertical="center" wrapText="1"/>
    </xf>
    <xf numFmtId="0" fontId="35" fillId="0" borderId="4" xfId="0" applyFont="1" applyBorder="1"/>
    <xf numFmtId="3" fontId="55" fillId="0" borderId="4" xfId="0" applyNumberFormat="1" applyFont="1" applyBorder="1"/>
    <xf numFmtId="3" fontId="55" fillId="0" borderId="0" xfId="0" applyNumberFormat="1" applyFont="1"/>
    <xf numFmtId="165" fontId="35" fillId="0" borderId="1" xfId="1" applyNumberFormat="1" applyFont="1" applyBorder="1" applyAlignment="1">
      <alignment horizontal="center" vertical="center"/>
    </xf>
    <xf numFmtId="3" fontId="36" fillId="0" borderId="1" xfId="0" applyNumberFormat="1" applyFont="1" applyBorder="1" applyAlignment="1">
      <alignment horizontal="center" vertical="center"/>
    </xf>
    <xf numFmtId="9" fontId="35" fillId="0" borderId="1" xfId="1" applyFont="1" applyBorder="1" applyAlignment="1">
      <alignment horizontal="center" vertical="center"/>
    </xf>
    <xf numFmtId="10" fontId="35" fillId="0" borderId="1" xfId="1" applyNumberFormat="1" applyFont="1" applyBorder="1" applyAlignment="1">
      <alignment horizontal="center" vertical="center"/>
    </xf>
    <xf numFmtId="166" fontId="35" fillId="0" borderId="1" xfId="1" applyNumberFormat="1" applyFont="1" applyBorder="1" applyAlignment="1">
      <alignment horizontal="center" vertical="center"/>
    </xf>
    <xf numFmtId="0" fontId="35" fillId="0" borderId="1" xfId="0" applyFont="1" applyBorder="1" applyAlignment="1">
      <alignment horizontal="left" vertical="center"/>
    </xf>
    <xf numFmtId="0" fontId="38" fillId="0" borderId="1" xfId="0" applyFont="1" applyBorder="1"/>
    <xf numFmtId="3" fontId="38" fillId="0" borderId="1" xfId="0" applyNumberFormat="1" applyFont="1" applyBorder="1"/>
    <xf numFmtId="3" fontId="53" fillId="2" borderId="1" xfId="0" applyNumberFormat="1" applyFont="1" applyFill="1" applyBorder="1"/>
    <xf numFmtId="0" fontId="35" fillId="0" borderId="1" xfId="0" quotePrefix="1" applyFont="1" applyBorder="1" applyAlignment="1">
      <alignment vertical="center"/>
    </xf>
    <xf numFmtId="0" fontId="55" fillId="0" borderId="1" xfId="0" quotePrefix="1" applyFont="1" applyBorder="1" applyAlignment="1">
      <alignment vertical="center"/>
    </xf>
    <xf numFmtId="3" fontId="38" fillId="0" borderId="1" xfId="0" applyNumberFormat="1" applyFont="1" applyBorder="1" applyAlignment="1">
      <alignment vertical="center"/>
    </xf>
    <xf numFmtId="0" fontId="38" fillId="0" borderId="1" xfId="0" applyFont="1" applyBorder="1" applyAlignment="1">
      <alignment vertical="center"/>
    </xf>
    <xf numFmtId="0" fontId="36" fillId="0" borderId="1" xfId="0" quotePrefix="1" applyFont="1" applyBorder="1" applyAlignment="1">
      <alignment vertical="center"/>
    </xf>
    <xf numFmtId="0" fontId="38" fillId="0" borderId="1" xfId="0" quotePrefix="1" applyFont="1" applyBorder="1" applyAlignment="1">
      <alignment vertical="center"/>
    </xf>
    <xf numFmtId="0" fontId="55" fillId="0" borderId="1" xfId="0" quotePrefix="1" applyFont="1" applyBorder="1" applyAlignment="1">
      <alignment vertical="center" wrapText="1"/>
    </xf>
    <xf numFmtId="1" fontId="6" fillId="0" borderId="0" xfId="0" applyNumberFormat="1" applyFont="1" applyAlignment="1">
      <alignment horizontal="left"/>
    </xf>
    <xf numFmtId="0" fontId="35" fillId="0" borderId="0" xfId="0" applyFont="1" applyAlignment="1">
      <alignment vertical="top"/>
    </xf>
    <xf numFmtId="0" fontId="55" fillId="0" borderId="1" xfId="0" applyFont="1" applyBorder="1" applyAlignment="1">
      <alignment vertical="center"/>
    </xf>
    <xf numFmtId="0" fontId="35" fillId="0" borderId="6" xfId="0" applyFont="1" applyBorder="1" applyAlignment="1">
      <alignment vertical="center"/>
    </xf>
    <xf numFmtId="0" fontId="36" fillId="0" borderId="5" xfId="0" applyFont="1" applyBorder="1" applyAlignment="1">
      <alignment vertical="center"/>
    </xf>
    <xf numFmtId="3" fontId="35" fillId="0" borderId="5" xfId="0" applyNumberFormat="1" applyFont="1" applyBorder="1" applyAlignment="1">
      <alignment vertical="center"/>
    </xf>
    <xf numFmtId="0" fontId="55" fillId="0" borderId="5" xfId="0" applyFont="1" applyBorder="1" applyAlignment="1">
      <alignment vertical="center"/>
    </xf>
    <xf numFmtId="3" fontId="55" fillId="0" borderId="5" xfId="0" applyNumberFormat="1" applyFont="1" applyBorder="1" applyAlignment="1">
      <alignment vertical="center"/>
    </xf>
    <xf numFmtId="3" fontId="35" fillId="0" borderId="6" xfId="0" applyNumberFormat="1" applyFont="1" applyBorder="1" applyAlignment="1">
      <alignment vertical="center"/>
    </xf>
    <xf numFmtId="165" fontId="35" fillId="0" borderId="0" xfId="1" applyNumberFormat="1" applyFont="1" applyFill="1" applyBorder="1" applyAlignment="1">
      <alignment horizontal="center"/>
    </xf>
    <xf numFmtId="0" fontId="35" fillId="0" borderId="2" xfId="0" applyFont="1" applyBorder="1" applyAlignment="1">
      <alignment horizontal="center" vertical="center"/>
    </xf>
    <xf numFmtId="3" fontId="55" fillId="0" borderId="1" xfId="0" applyNumberFormat="1" applyFont="1" applyBorder="1" applyAlignment="1">
      <alignment horizontal="center" vertical="center"/>
    </xf>
    <xf numFmtId="0" fontId="53" fillId="2" borderId="1" xfId="0" applyFont="1" applyFill="1" applyBorder="1" applyAlignment="1">
      <alignment horizontal="right" vertical="center"/>
    </xf>
    <xf numFmtId="0" fontId="53" fillId="2" borderId="1" xfId="0" applyFont="1" applyFill="1" applyBorder="1" applyAlignment="1">
      <alignment horizontal="right"/>
    </xf>
    <xf numFmtId="0" fontId="53" fillId="2" borderId="1" xfId="0" applyFont="1" applyFill="1" applyBorder="1" applyAlignment="1">
      <alignment horizontal="left" vertical="center"/>
    </xf>
    <xf numFmtId="3" fontId="35" fillId="0" borderId="1" xfId="0" applyNumberFormat="1" applyFont="1" applyBorder="1" applyAlignment="1">
      <alignment horizontal="left" vertical="center"/>
    </xf>
    <xf numFmtId="3" fontId="53" fillId="2" borderId="6" xfId="0" applyNumberFormat="1" applyFont="1" applyFill="1" applyBorder="1" applyAlignment="1">
      <alignment vertical="center"/>
    </xf>
    <xf numFmtId="0" fontId="53" fillId="2" borderId="1" xfId="0" quotePrefix="1" applyFont="1" applyFill="1" applyBorder="1"/>
    <xf numFmtId="0" fontId="53" fillId="2" borderId="1" xfId="0" quotePrefix="1" applyFont="1" applyFill="1" applyBorder="1" applyAlignment="1">
      <alignment vertical="center"/>
    </xf>
    <xf numFmtId="3" fontId="53" fillId="2" borderId="1" xfId="0" applyNumberFormat="1" applyFont="1" applyFill="1" applyBorder="1" applyAlignment="1">
      <alignment vertical="center"/>
    </xf>
    <xf numFmtId="3" fontId="6" fillId="0" borderId="0" xfId="0" applyNumberFormat="1" applyFont="1" applyAlignment="1">
      <alignment horizontal="left"/>
    </xf>
    <xf numFmtId="0" fontId="55" fillId="0" borderId="4" xfId="0" applyFont="1" applyBorder="1"/>
    <xf numFmtId="3" fontId="53" fillId="2" borderId="4" xfId="0" applyNumberFormat="1" applyFont="1" applyFill="1" applyBorder="1"/>
    <xf numFmtId="3" fontId="6" fillId="0" borderId="0" xfId="0" applyNumberFormat="1" applyFont="1" applyAlignment="1">
      <alignment vertical="top"/>
    </xf>
    <xf numFmtId="0" fontId="40" fillId="0" borderId="0" xfId="2" applyFont="1"/>
    <xf numFmtId="0" fontId="9" fillId="3" borderId="0" xfId="3" applyFont="1" applyFill="1" applyAlignment="1">
      <alignment horizontal="center" vertical="center" wrapText="1"/>
    </xf>
    <xf numFmtId="0" fontId="16" fillId="3" borderId="0" xfId="2" applyFont="1" applyFill="1" applyAlignment="1">
      <alignment horizontal="center" vertical="center" wrapText="1"/>
    </xf>
    <xf numFmtId="0" fontId="2" fillId="3" borderId="0" xfId="2" applyFill="1" applyAlignment="1">
      <alignment horizontal="center" vertical="center" wrapText="1"/>
    </xf>
    <xf numFmtId="0" fontId="10" fillId="0" borderId="0" xfId="3" applyFont="1" applyAlignment="1">
      <alignment horizontal="center" vertical="center" wrapText="1"/>
    </xf>
    <xf numFmtId="0" fontId="9" fillId="0" borderId="0" xfId="3" applyFont="1" applyAlignment="1">
      <alignment horizontal="right"/>
    </xf>
    <xf numFmtId="0" fontId="9" fillId="0" borderId="0" xfId="3" applyFont="1"/>
    <xf numFmtId="0" fontId="11" fillId="0" borderId="0" xfId="3" applyFont="1" applyAlignment="1">
      <alignment horizontal="center"/>
    </xf>
    <xf numFmtId="0" fontId="8" fillId="0" borderId="0" xfId="3"/>
    <xf numFmtId="0" fontId="12" fillId="4" borderId="0" xfId="3" applyFont="1" applyFill="1" applyAlignment="1">
      <alignment horizontal="center"/>
    </xf>
    <xf numFmtId="0" fontId="13" fillId="0" borderId="0" xfId="3" applyFont="1"/>
    <xf numFmtId="0" fontId="9" fillId="4" borderId="0" xfId="3" applyFont="1" applyFill="1" applyAlignment="1">
      <alignment horizontal="center" wrapText="1"/>
    </xf>
    <xf numFmtId="0" fontId="9" fillId="0" borderId="0" xfId="3" applyFont="1" applyAlignment="1">
      <alignment wrapText="1"/>
    </xf>
    <xf numFmtId="0" fontId="9" fillId="4" borderId="0" xfId="3" applyFont="1" applyFill="1" applyAlignment="1">
      <alignment horizontal="center" vertical="center" wrapText="1"/>
    </xf>
    <xf numFmtId="0" fontId="8" fillId="0" borderId="0" xfId="3" applyAlignment="1">
      <alignment vertical="center" wrapText="1"/>
    </xf>
    <xf numFmtId="0" fontId="14" fillId="3" borderId="0" xfId="3" applyFont="1" applyFill="1" applyAlignment="1">
      <alignment horizontal="center" vertical="center" wrapText="1"/>
    </xf>
    <xf numFmtId="0" fontId="15" fillId="3" borderId="0" xfId="3" applyFont="1" applyFill="1" applyAlignment="1">
      <alignment vertical="center" wrapText="1"/>
    </xf>
    <xf numFmtId="0" fontId="26" fillId="3" borderId="0" xfId="4" applyFont="1" applyFill="1" applyAlignment="1">
      <alignment horizontal="center" vertical="top"/>
    </xf>
    <xf numFmtId="0" fontId="24" fillId="0" borderId="0" xfId="4" applyFont="1" applyAlignment="1">
      <alignment horizontal="center"/>
    </xf>
    <xf numFmtId="0" fontId="22" fillId="5" borderId="0" xfId="2" applyFont="1" applyFill="1" applyAlignment="1">
      <alignment horizontal="center" vertical="center" wrapText="1"/>
    </xf>
    <xf numFmtId="0" fontId="23" fillId="0" borderId="0" xfId="4" applyFont="1" applyAlignment="1">
      <alignment horizontal="center" vertical="center"/>
    </xf>
    <xf numFmtId="0" fontId="27" fillId="0" borderId="0" xfId="4" applyFont="1" applyAlignment="1">
      <alignment horizontal="center" vertical="top"/>
    </xf>
    <xf numFmtId="0" fontId="9" fillId="3" borderId="0" xfId="4" applyFont="1" applyFill="1" applyAlignment="1">
      <alignment horizontal="center" vertical="top" wrapText="1"/>
    </xf>
    <xf numFmtId="0" fontId="26" fillId="3" borderId="0" xfId="4" applyFont="1" applyFill="1" applyAlignment="1">
      <alignment horizontal="left" wrapText="1"/>
    </xf>
    <xf numFmtId="0" fontId="26" fillId="0" borderId="0" xfId="4" applyFont="1" applyAlignment="1">
      <alignment horizontal="left" wrapText="1"/>
    </xf>
    <xf numFmtId="0" fontId="9" fillId="3" borderId="0" xfId="4" applyFont="1" applyFill="1" applyAlignment="1">
      <alignment vertical="top" wrapText="1"/>
    </xf>
    <xf numFmtId="0" fontId="9" fillId="0" borderId="0" xfId="4" applyFont="1"/>
    <xf numFmtId="0" fontId="9" fillId="0" borderId="0" xfId="4" applyFont="1" applyAlignment="1">
      <alignment horizontal="left" vertical="top" wrapText="1"/>
    </xf>
    <xf numFmtId="0" fontId="9" fillId="3" borderId="0" xfId="4" applyFont="1" applyFill="1"/>
    <xf numFmtId="0" fontId="9" fillId="0" borderId="0" xfId="4" applyFont="1" applyAlignment="1">
      <alignment horizontal="left" vertical="center" wrapText="1" indent="4"/>
    </xf>
    <xf numFmtId="0" fontId="9" fillId="3" borderId="0" xfId="4" applyFont="1" applyFill="1" applyAlignment="1">
      <alignment horizontal="left" vertical="top" wrapText="1"/>
    </xf>
    <xf numFmtId="0" fontId="30" fillId="0" borderId="0" xfId="2" applyFont="1" applyAlignment="1">
      <alignment horizontal="center" vertical="center" wrapText="1"/>
    </xf>
    <xf numFmtId="0" fontId="31" fillId="0" borderId="0" xfId="5" applyFont="1" applyAlignment="1">
      <alignment horizontal="center" vertical="center" wrapText="1"/>
    </xf>
    <xf numFmtId="0" fontId="22" fillId="0" borderId="0" xfId="2" applyFont="1" applyAlignment="1">
      <alignment horizontal="center" vertical="center" wrapText="1"/>
    </xf>
    <xf numFmtId="0" fontId="21" fillId="0" borderId="0" xfId="5" applyFont="1" applyAlignment="1">
      <alignment horizontal="center" vertical="center" wrapText="1"/>
    </xf>
    <xf numFmtId="0" fontId="21" fillId="0" borderId="0" xfId="5" applyFont="1" applyAlignment="1">
      <alignment vertical="center" wrapText="1"/>
    </xf>
    <xf numFmtId="0" fontId="23" fillId="0" borderId="0" xfId="4" applyFont="1"/>
    <xf numFmtId="0" fontId="44" fillId="0" borderId="2" xfId="9" applyFont="1" applyBorder="1" applyAlignment="1" applyProtection="1">
      <alignment horizontal="left" vertical="center" wrapText="1"/>
    </xf>
    <xf numFmtId="0" fontId="44" fillId="0" borderId="3" xfId="9" applyFont="1" applyBorder="1" applyAlignment="1" applyProtection="1">
      <alignment horizontal="left" vertical="center" wrapText="1"/>
    </xf>
    <xf numFmtId="0" fontId="44" fillId="0" borderId="4" xfId="9" applyFont="1" applyBorder="1" applyAlignment="1" applyProtection="1">
      <alignment horizontal="left" vertical="center" wrapText="1"/>
    </xf>
    <xf numFmtId="0" fontId="22" fillId="3" borderId="0" xfId="2" applyFont="1" applyFill="1" applyAlignment="1">
      <alignment horizontal="justify" vertical="center" wrapText="1"/>
    </xf>
    <xf numFmtId="0" fontId="37" fillId="3" borderId="0" xfId="6" applyFont="1" applyFill="1" applyAlignment="1">
      <alignment horizontal="left" vertical="center" wrapText="1"/>
    </xf>
    <xf numFmtId="0" fontId="34" fillId="3" borderId="0" xfId="6" applyFont="1" applyFill="1" applyAlignment="1">
      <alignment horizontal="center" vertical="center" wrapText="1"/>
    </xf>
    <xf numFmtId="0" fontId="35" fillId="0" borderId="2" xfId="8" applyFont="1" applyBorder="1" applyAlignment="1">
      <alignment horizontal="justify" vertical="center" wrapText="1"/>
    </xf>
    <xf numFmtId="0" fontId="35" fillId="0" borderId="3" xfId="8" applyFont="1" applyBorder="1" applyAlignment="1">
      <alignment horizontal="justify" vertical="center" wrapText="1"/>
    </xf>
    <xf numFmtId="0" fontId="35" fillId="0" borderId="4" xfId="8" applyFont="1" applyBorder="1" applyAlignment="1">
      <alignment horizontal="justify" vertical="center" wrapText="1"/>
    </xf>
    <xf numFmtId="0" fontId="41" fillId="3" borderId="0" xfId="7" applyFont="1" applyFill="1" applyAlignment="1">
      <alignment horizontal="justify" vertical="center" wrapText="1"/>
    </xf>
    <xf numFmtId="0" fontId="36" fillId="3" borderId="0" xfId="7" applyFont="1" applyFill="1" applyAlignment="1">
      <alignment horizontal="justify" vertical="center" wrapText="1"/>
    </xf>
    <xf numFmtId="0" fontId="42" fillId="6" borderId="2" xfId="8" applyFont="1" applyFill="1" applyBorder="1" applyAlignment="1">
      <alignment horizontal="left" vertical="center"/>
    </xf>
    <xf numFmtId="0" fontId="42" fillId="6" borderId="3" xfId="8" applyFont="1" applyFill="1" applyBorder="1" applyAlignment="1">
      <alignment horizontal="left" vertical="center"/>
    </xf>
    <xf numFmtId="0" fontId="42" fillId="6" borderId="4" xfId="8" applyFont="1" applyFill="1" applyBorder="1" applyAlignment="1">
      <alignment horizontal="left" vertical="center"/>
    </xf>
    <xf numFmtId="0" fontId="35" fillId="0" borderId="1" xfId="0" applyFont="1" applyBorder="1" applyAlignment="1">
      <alignment horizontal="left" vertical="center"/>
    </xf>
    <xf numFmtId="0" fontId="35" fillId="0" borderId="0" xfId="0" applyFont="1" applyAlignment="1">
      <alignment horizontal="left"/>
    </xf>
    <xf numFmtId="0" fontId="35" fillId="3" borderId="2" xfId="0" applyFont="1" applyFill="1" applyBorder="1" applyAlignment="1">
      <alignment horizontal="left" vertical="center"/>
    </xf>
    <xf numFmtId="0" fontId="35" fillId="3" borderId="3" xfId="0" applyFont="1" applyFill="1" applyBorder="1" applyAlignment="1">
      <alignment horizontal="left" vertical="center"/>
    </xf>
    <xf numFmtId="0" fontId="35" fillId="3" borderId="4" xfId="0" applyFont="1" applyFill="1" applyBorder="1" applyAlignment="1">
      <alignment horizontal="left" vertical="center"/>
    </xf>
    <xf numFmtId="0" fontId="35" fillId="3" borderId="1" xfId="0" applyFont="1" applyFill="1" applyBorder="1" applyAlignment="1">
      <alignment horizontal="left" vertical="center"/>
    </xf>
    <xf numFmtId="0" fontId="35" fillId="3" borderId="1" xfId="0" applyFont="1" applyFill="1" applyBorder="1" applyAlignment="1">
      <alignment horizontal="left" vertical="center" wrapText="1"/>
    </xf>
    <xf numFmtId="0" fontId="35" fillId="0" borderId="0" xfId="0" applyFont="1" applyAlignment="1">
      <alignment horizontal="justify" vertical="center" wrapText="1"/>
    </xf>
    <xf numFmtId="0" fontId="22" fillId="0" borderId="0" xfId="2" applyFont="1" applyAlignment="1">
      <alignment horizontal="justify" vertical="center" wrapText="1"/>
    </xf>
    <xf numFmtId="0" fontId="53" fillId="2" borderId="1" xfId="0" applyFont="1" applyFill="1" applyBorder="1" applyAlignment="1">
      <alignment horizontal="center"/>
    </xf>
    <xf numFmtId="9" fontId="35" fillId="0" borderId="1" xfId="0" applyNumberFormat="1" applyFont="1" applyBorder="1" applyAlignment="1">
      <alignment horizontal="center" vertical="center"/>
    </xf>
    <xf numFmtId="0" fontId="53" fillId="2" borderId="1" xfId="0" applyFont="1" applyFill="1" applyBorder="1" applyAlignment="1">
      <alignment horizontal="center" vertical="center"/>
    </xf>
    <xf numFmtId="0" fontId="53" fillId="2" borderId="2" xfId="0" applyFont="1" applyFill="1" applyBorder="1" applyAlignment="1">
      <alignment horizontal="center" vertical="center"/>
    </xf>
    <xf numFmtId="0" fontId="53" fillId="2" borderId="3" xfId="0" applyFont="1" applyFill="1" applyBorder="1" applyAlignment="1">
      <alignment horizontal="center" vertical="center"/>
    </xf>
    <xf numFmtId="0" fontId="36" fillId="0" borderId="0" xfId="0" applyFont="1" applyAlignment="1">
      <alignment horizontal="justify" vertical="center" wrapText="1"/>
    </xf>
    <xf numFmtId="0" fontId="53" fillId="2" borderId="2" xfId="0" applyFont="1" applyFill="1" applyBorder="1" applyAlignment="1">
      <alignment horizontal="left"/>
    </xf>
    <xf numFmtId="0" fontId="53" fillId="2" borderId="3" xfId="0" applyFont="1" applyFill="1" applyBorder="1" applyAlignment="1">
      <alignment horizontal="left"/>
    </xf>
    <xf numFmtId="0" fontId="53" fillId="2" borderId="4" xfId="0" applyFont="1" applyFill="1" applyBorder="1" applyAlignment="1">
      <alignment horizontal="left"/>
    </xf>
    <xf numFmtId="0" fontId="55" fillId="7" borderId="0" xfId="0" applyFont="1" applyFill="1" applyAlignment="1">
      <alignment horizontal="center"/>
    </xf>
    <xf numFmtId="0" fontId="53" fillId="2" borderId="4" xfId="0" applyFont="1" applyFill="1" applyBorder="1" applyAlignment="1">
      <alignment horizontal="center" vertical="center"/>
    </xf>
    <xf numFmtId="0" fontId="35" fillId="0" borderId="1" xfId="0" applyFont="1" applyBorder="1" applyAlignment="1">
      <alignment horizontal="center" vertical="center"/>
    </xf>
    <xf numFmtId="164" fontId="56" fillId="0" borderId="0" xfId="0" applyNumberFormat="1" applyFont="1" applyAlignment="1">
      <alignment horizontal="center" vertical="center"/>
    </xf>
    <xf numFmtId="0" fontId="35" fillId="0" borderId="0" xfId="0" applyFont="1" applyAlignment="1">
      <alignment horizontal="left" vertical="center" wrapText="1"/>
    </xf>
    <xf numFmtId="0" fontId="53" fillId="2" borderId="2" xfId="0" applyFont="1" applyFill="1" applyBorder="1" applyAlignment="1">
      <alignment horizontal="left" wrapText="1"/>
    </xf>
    <xf numFmtId="0" fontId="53" fillId="2" borderId="3" xfId="0" applyFont="1" applyFill="1" applyBorder="1" applyAlignment="1">
      <alignment horizontal="left" wrapText="1"/>
    </xf>
    <xf numFmtId="0" fontId="53" fillId="2" borderId="4" xfId="0" applyFont="1" applyFill="1" applyBorder="1" applyAlignment="1">
      <alignment horizontal="left" wrapText="1"/>
    </xf>
    <xf numFmtId="0" fontId="38" fillId="0" borderId="2" xfId="0" quotePrefix="1" applyFont="1" applyBorder="1" applyAlignment="1">
      <alignment horizontal="left" vertical="center"/>
    </xf>
    <xf numFmtId="0" fontId="38" fillId="0" borderId="3" xfId="0" quotePrefix="1" applyFont="1" applyBorder="1" applyAlignment="1">
      <alignment horizontal="left" vertical="center"/>
    </xf>
    <xf numFmtId="0" fontId="38" fillId="0" borderId="4" xfId="0" quotePrefix="1" applyFont="1" applyBorder="1" applyAlignment="1">
      <alignment horizontal="left" vertical="center"/>
    </xf>
    <xf numFmtId="0" fontId="36" fillId="0" borderId="0" xfId="0" applyFont="1" applyAlignment="1">
      <alignment horizontal="left" vertical="center" wrapText="1"/>
    </xf>
    <xf numFmtId="0" fontId="35" fillId="0" borderId="2" xfId="0" applyFont="1" applyBorder="1" applyAlignment="1">
      <alignment horizontal="left" vertical="center"/>
    </xf>
    <xf numFmtId="0" fontId="35" fillId="0" borderId="4" xfId="0" applyFont="1" applyBorder="1" applyAlignment="1">
      <alignment horizontal="left" vertical="center"/>
    </xf>
    <xf numFmtId="0" fontId="55" fillId="0" borderId="2" xfId="0" applyFont="1" applyBorder="1" applyAlignment="1">
      <alignment horizontal="center" vertical="center"/>
    </xf>
    <xf numFmtId="0" fontId="55" fillId="0" borderId="3" xfId="0" applyFont="1" applyBorder="1" applyAlignment="1">
      <alignment horizontal="center" vertical="center"/>
    </xf>
    <xf numFmtId="0" fontId="55" fillId="0" borderId="4" xfId="0" applyFont="1" applyBorder="1" applyAlignment="1">
      <alignment horizontal="center" vertical="center"/>
    </xf>
    <xf numFmtId="0" fontId="53" fillId="2" borderId="2" xfId="0" applyFont="1" applyFill="1" applyBorder="1" applyAlignment="1">
      <alignment horizontal="center"/>
    </xf>
    <xf numFmtId="0" fontId="53" fillId="2" borderId="4" xfId="0" applyFont="1" applyFill="1" applyBorder="1" applyAlignment="1">
      <alignment horizontal="center"/>
    </xf>
    <xf numFmtId="0" fontId="53" fillId="2" borderId="2" xfId="0" applyFont="1" applyFill="1" applyBorder="1" applyAlignment="1">
      <alignment horizontal="left" vertical="center" wrapText="1"/>
    </xf>
    <xf numFmtId="0" fontId="53" fillId="2" borderId="4" xfId="0" applyFont="1" applyFill="1" applyBorder="1" applyAlignment="1">
      <alignment horizontal="left" vertical="center" wrapText="1"/>
    </xf>
    <xf numFmtId="0" fontId="35" fillId="0" borderId="0" xfId="0" applyFont="1" applyAlignment="1">
      <alignment horizontal="center"/>
    </xf>
    <xf numFmtId="0" fontId="53" fillId="2" borderId="1" xfId="0" applyFont="1" applyFill="1" applyBorder="1" applyAlignment="1">
      <alignment horizontal="center" vertical="center" wrapText="1"/>
    </xf>
    <xf numFmtId="0" fontId="35" fillId="0" borderId="0" xfId="0" applyFont="1" applyAlignment="1">
      <alignment vertical="center" wrapText="1"/>
    </xf>
    <xf numFmtId="0" fontId="58" fillId="0" borderId="2" xfId="0" applyFont="1" applyBorder="1" applyAlignment="1">
      <alignment horizontal="left"/>
    </xf>
    <xf numFmtId="0" fontId="58" fillId="0" borderId="3" xfId="0" applyFont="1" applyBorder="1" applyAlignment="1">
      <alignment horizontal="left"/>
    </xf>
    <xf numFmtId="0" fontId="58" fillId="0" borderId="4" xfId="0" applyFont="1" applyBorder="1" applyAlignment="1">
      <alignment horizontal="left"/>
    </xf>
    <xf numFmtId="0" fontId="35" fillId="0" borderId="0" xfId="0" applyFont="1" applyAlignment="1">
      <alignment horizontal="justify" vertical="center"/>
    </xf>
    <xf numFmtId="0" fontId="55" fillId="7" borderId="2" xfId="0" applyFont="1" applyFill="1" applyBorder="1" applyAlignment="1">
      <alignment horizontal="center" vertical="center"/>
    </xf>
    <xf numFmtId="0" fontId="55" fillId="7" borderId="3" xfId="0" applyFont="1" applyFill="1" applyBorder="1" applyAlignment="1">
      <alignment horizontal="center" vertical="center"/>
    </xf>
    <xf numFmtId="0" fontId="55" fillId="7" borderId="4" xfId="0" applyFont="1" applyFill="1" applyBorder="1" applyAlignment="1">
      <alignment horizontal="center" vertical="center"/>
    </xf>
    <xf numFmtId="0" fontId="35" fillId="0" borderId="2" xfId="0" applyFont="1" applyBorder="1" applyAlignment="1">
      <alignment horizontal="center"/>
    </xf>
    <xf numFmtId="0" fontId="35" fillId="0" borderId="3" xfId="0" applyFont="1" applyBorder="1" applyAlignment="1">
      <alignment horizontal="center"/>
    </xf>
    <xf numFmtId="0" fontId="35" fillId="0" borderId="4" xfId="0" applyFont="1" applyBorder="1" applyAlignment="1">
      <alignment horizontal="center"/>
    </xf>
    <xf numFmtId="0" fontId="55" fillId="7" borderId="1" xfId="0" applyFont="1" applyFill="1" applyBorder="1" applyAlignment="1">
      <alignment horizontal="center" vertical="center"/>
    </xf>
    <xf numFmtId="0" fontId="46" fillId="3" borderId="0" xfId="10" applyFont="1" applyFill="1" applyAlignment="1">
      <alignment horizontal="left"/>
    </xf>
    <xf numFmtId="0" fontId="2" fillId="3" borderId="0" xfId="2" applyFill="1" applyAlignment="1">
      <alignment horizontal="center"/>
    </xf>
    <xf numFmtId="0" fontId="8" fillId="3" borderId="0" xfId="3" applyFill="1" applyAlignment="1">
      <alignment horizontal="center"/>
    </xf>
  </cellXfs>
  <cellStyles count="14">
    <cellStyle name="Hipervínculo" xfId="2" builtinId="8"/>
    <cellStyle name="Hipervínculo 2 2" xfId="11" xr:uid="{3411840C-38E8-4C0B-BA6E-9273773C923D}"/>
    <cellStyle name="Hipervínculo 2 4" xfId="7" xr:uid="{A7735582-3667-4250-B4E8-F5E8AB214B03}"/>
    <cellStyle name="Hipervínculo 3" xfId="5" xr:uid="{D3C77663-34AE-41C5-A5CF-08F25807F41C}"/>
    <cellStyle name="Hipervínculo 4" xfId="9" xr:uid="{7A81977A-4AD5-4F69-BAD7-131D3DF6D852}"/>
    <cellStyle name="Normal" xfId="0" builtinId="0"/>
    <cellStyle name="Normal 15 2" xfId="13" xr:uid="{87D9C3B5-6343-4680-A744-926F5F09758A}"/>
    <cellStyle name="Normal 2" xfId="3" xr:uid="{CC256039-9982-488A-B815-2E7DEA347C88}"/>
    <cellStyle name="Normal 3" xfId="4" xr:uid="{8C9B98CE-016A-488F-B71B-7F4514DA253C}"/>
    <cellStyle name="Normal 3 2" xfId="10" xr:uid="{33032E46-E97C-4F18-BB4E-A6755EA4B2FB}"/>
    <cellStyle name="Normal 4 2 2" xfId="8" xr:uid="{084D35AA-15D2-42B1-93EB-3B9DA00AA4C0}"/>
    <cellStyle name="Normal 5 2" xfId="12" xr:uid="{5EA25C10-12B0-4BB2-A234-114C3CEB1801}"/>
    <cellStyle name="Normal 5 3" xfId="6" xr:uid="{99C25477-CA32-402C-9801-6E8AD4852054}"/>
    <cellStyle name="Porcentaje" xfId="1" builtinId="5"/>
  </cellStyles>
  <dxfs count="0"/>
  <tableStyles count="0" defaultTableStyle="TableStyleMedium2" defaultPivotStyle="PivotStyleMedium9"/>
  <colors>
    <mruColors>
      <color rgb="FF4353EF"/>
      <color rgb="FF9DF779"/>
      <color rgb="FF3BDB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www.youtube.com/actualicesevideo/" TargetMode="External"/><Relationship Id="rId13" Type="http://schemas.openxmlformats.org/officeDocument/2006/relationships/image" Target="../media/image10.png"/><Relationship Id="rId18" Type="http://schemas.openxmlformats.org/officeDocument/2006/relationships/image" Target="../media/image13.png"/><Relationship Id="rId3" Type="http://schemas.openxmlformats.org/officeDocument/2006/relationships/image" Target="../media/image5.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hyperlink" Target="https://www.instagram.com/unapersonanatural/" TargetMode="External"/><Relationship Id="rId17" Type="http://schemas.openxmlformats.org/officeDocument/2006/relationships/image" Target="../media/image12.png"/><Relationship Id="rId2" Type="http://schemas.openxmlformats.org/officeDocument/2006/relationships/image" Target="../media/image4.png"/><Relationship Id="rId16" Type="http://schemas.openxmlformats.org/officeDocument/2006/relationships/hyperlink" Target="https://actualicese.com/category/formatos/" TargetMode="External"/><Relationship Id="rId20" Type="http://schemas.openxmlformats.org/officeDocument/2006/relationships/hyperlink" Target="https://actualicese.com/suscripcion-gratuita/" TargetMode="External"/><Relationship Id="rId1" Type="http://schemas.openxmlformats.org/officeDocument/2006/relationships/hyperlink" Target="https://actualicese.com/" TargetMode="External"/><Relationship Id="rId6" Type="http://schemas.openxmlformats.org/officeDocument/2006/relationships/hyperlink" Target="https://www.instagram.com/actualicese/" TargetMode="External"/><Relationship Id="rId11" Type="http://schemas.openxmlformats.org/officeDocument/2006/relationships/image" Target="../media/image9.png"/><Relationship Id="rId24" Type="http://schemas.openxmlformats.org/officeDocument/2006/relationships/image" Target="../media/image17.png"/><Relationship Id="rId5" Type="http://schemas.openxmlformats.org/officeDocument/2006/relationships/image" Target="../media/image6.png"/><Relationship Id="rId15" Type="http://schemas.openxmlformats.org/officeDocument/2006/relationships/image" Target="../media/image11.png"/><Relationship Id="rId23" Type="http://schemas.openxmlformats.org/officeDocument/2006/relationships/hyperlink" Target="https://twitter.com/actualicese/" TargetMode="External"/><Relationship Id="rId10" Type="http://schemas.openxmlformats.org/officeDocument/2006/relationships/hyperlink" Target="https://www.facebook.com/groups/actualiceseOro" TargetMode="External"/><Relationship Id="rId19" Type="http://schemas.openxmlformats.org/officeDocument/2006/relationships/image" Target="../media/image14.png"/><Relationship Id="rId4" Type="http://schemas.openxmlformats.org/officeDocument/2006/relationships/hyperlink" Target="https://www.facebook.com/actualicese/" TargetMode="External"/><Relationship Id="rId9" Type="http://schemas.openxmlformats.org/officeDocument/2006/relationships/image" Target="../media/image8.png"/><Relationship Id="rId14" Type="http://schemas.openxmlformats.org/officeDocument/2006/relationships/hyperlink" Target="https://actualicese.com/contacto/" TargetMode="External"/><Relationship Id="rId22"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xdr:col>
      <xdr:colOff>189902</xdr:colOff>
      <xdr:row>18</xdr:row>
      <xdr:rowOff>65246</xdr:rowOff>
    </xdr:from>
    <xdr:to>
      <xdr:col>10</xdr:col>
      <xdr:colOff>456245</xdr:colOff>
      <xdr:row>21</xdr:row>
      <xdr:rowOff>56316</xdr:rowOff>
    </xdr:to>
    <xdr:pic>
      <xdr:nvPicPr>
        <xdr:cNvPr id="2" name="Imagen 1">
          <a:extLst>
            <a:ext uri="{FF2B5EF4-FFF2-40B4-BE49-F238E27FC236}">
              <a16:creationId xmlns:a16="http://schemas.microsoft.com/office/drawing/2014/main" id="{E11B2B01-F838-4059-B517-F6E775CA60B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927" y="7589996"/>
          <a:ext cx="9076968" cy="695920"/>
        </a:xfrm>
        <a:prstGeom prst="rect">
          <a:avLst/>
        </a:prstGeom>
        <a:noFill/>
        <a:ln>
          <a:noFill/>
        </a:ln>
      </xdr:spPr>
    </xdr:pic>
    <xdr:clientData/>
  </xdr:twoCellAnchor>
  <xdr:twoCellAnchor editAs="oneCell">
    <xdr:from>
      <xdr:col>1</xdr:col>
      <xdr:colOff>403359</xdr:colOff>
      <xdr:row>3</xdr:row>
      <xdr:rowOff>780004</xdr:rowOff>
    </xdr:from>
    <xdr:to>
      <xdr:col>10</xdr:col>
      <xdr:colOff>945178</xdr:colOff>
      <xdr:row>14</xdr:row>
      <xdr:rowOff>119124</xdr:rowOff>
    </xdr:to>
    <xdr:pic>
      <xdr:nvPicPr>
        <xdr:cNvPr id="3" name="Imagen 2">
          <a:extLst>
            <a:ext uri="{FF2B5EF4-FFF2-40B4-BE49-F238E27FC236}">
              <a16:creationId xmlns:a16="http://schemas.microsoft.com/office/drawing/2014/main" id="{92822D03-3CD3-4F44-849C-CA2072C1A4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5384" y="1399129"/>
          <a:ext cx="9352444" cy="5444645"/>
        </a:xfrm>
        <a:prstGeom prst="rect">
          <a:avLst/>
        </a:prstGeom>
      </xdr:spPr>
    </xdr:pic>
    <xdr:clientData/>
  </xdr:twoCellAnchor>
  <xdr:twoCellAnchor editAs="oneCell">
    <xdr:from>
      <xdr:col>1</xdr:col>
      <xdr:colOff>195049</xdr:colOff>
      <xdr:row>3</xdr:row>
      <xdr:rowOff>54593</xdr:rowOff>
    </xdr:from>
    <xdr:to>
      <xdr:col>10</xdr:col>
      <xdr:colOff>912526</xdr:colOff>
      <xdr:row>3</xdr:row>
      <xdr:rowOff>455437</xdr:rowOff>
    </xdr:to>
    <xdr:pic>
      <xdr:nvPicPr>
        <xdr:cNvPr id="4" name="Imagen 3">
          <a:extLst>
            <a:ext uri="{FF2B5EF4-FFF2-40B4-BE49-F238E27FC236}">
              <a16:creationId xmlns:a16="http://schemas.microsoft.com/office/drawing/2014/main" id="{483D020D-9108-4D94-BE05-96CC79B98915}"/>
            </a:ext>
          </a:extLst>
        </xdr:cNvPr>
        <xdr:cNvPicPr>
          <a:picLocks noChangeAspect="1"/>
        </xdr:cNvPicPr>
      </xdr:nvPicPr>
      <xdr:blipFill>
        <a:blip xmlns:r="http://schemas.openxmlformats.org/officeDocument/2006/relationships" r:embed="rId3"/>
        <a:stretch>
          <a:fillRect/>
        </a:stretch>
      </xdr:blipFill>
      <xdr:spPr>
        <a:xfrm>
          <a:off x="1157074" y="673718"/>
          <a:ext cx="9528102" cy="4008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914401</xdr:colOff>
      <xdr:row>12</xdr:row>
      <xdr:rowOff>444500</xdr:rowOff>
    </xdr:from>
    <xdr:to>
      <xdr:col>11</xdr:col>
      <xdr:colOff>165098</xdr:colOff>
      <xdr:row>15</xdr:row>
      <xdr:rowOff>30778</xdr:rowOff>
    </xdr:to>
    <xdr:pic>
      <xdr:nvPicPr>
        <xdr:cNvPr id="2" name="Imagen 1">
          <a:hlinkClick xmlns:r="http://schemas.openxmlformats.org/officeDocument/2006/relationships" r:id="rId1"/>
          <a:extLst>
            <a:ext uri="{FF2B5EF4-FFF2-40B4-BE49-F238E27FC236}">
              <a16:creationId xmlns:a16="http://schemas.microsoft.com/office/drawing/2014/main" id="{8EA02FF8-AF94-45FB-ABF4-6C490B2F63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914401" y="6464300"/>
          <a:ext cx="8670922" cy="815003"/>
        </a:xfrm>
        <a:prstGeom prst="rect">
          <a:avLst/>
        </a:prstGeom>
      </xdr:spPr>
    </xdr:pic>
    <xdr:clientData/>
  </xdr:twoCellAnchor>
  <xdr:twoCellAnchor editAs="oneCell">
    <xdr:from>
      <xdr:col>4</xdr:col>
      <xdr:colOff>762000</xdr:colOff>
      <xdr:row>28</xdr:row>
      <xdr:rowOff>51640</xdr:rowOff>
    </xdr:from>
    <xdr:to>
      <xdr:col>7</xdr:col>
      <xdr:colOff>651244</xdr:colOff>
      <xdr:row>28</xdr:row>
      <xdr:rowOff>923545</xdr:rowOff>
    </xdr:to>
    <xdr:pic>
      <xdr:nvPicPr>
        <xdr:cNvPr id="3" name="Imagen 2">
          <a:hlinkClick xmlns:r="http://schemas.openxmlformats.org/officeDocument/2006/relationships" r:id="rId1"/>
          <a:extLst>
            <a:ext uri="{FF2B5EF4-FFF2-40B4-BE49-F238E27FC236}">
              <a16:creationId xmlns:a16="http://schemas.microsoft.com/office/drawing/2014/main" id="{C0577150-63F8-48FA-A43F-2071AA175C6B}"/>
            </a:ext>
          </a:extLst>
        </xdr:cNvPr>
        <xdr:cNvPicPr>
          <a:picLocks noChangeAspect="1"/>
        </xdr:cNvPicPr>
      </xdr:nvPicPr>
      <xdr:blipFill>
        <a:blip xmlns:r="http://schemas.openxmlformats.org/officeDocument/2006/relationships" r:embed="rId3"/>
        <a:stretch>
          <a:fillRect/>
        </a:stretch>
      </xdr:blipFill>
      <xdr:spPr>
        <a:xfrm>
          <a:off x="3981450" y="13605715"/>
          <a:ext cx="2746744" cy="871905"/>
        </a:xfrm>
        <a:prstGeom prst="rect">
          <a:avLst/>
        </a:prstGeom>
      </xdr:spPr>
    </xdr:pic>
    <xdr:clientData/>
  </xdr:twoCellAnchor>
  <xdr:twoCellAnchor editAs="oneCell">
    <xdr:from>
      <xdr:col>4</xdr:col>
      <xdr:colOff>711200</xdr:colOff>
      <xdr:row>28</xdr:row>
      <xdr:rowOff>1084825</xdr:rowOff>
    </xdr:from>
    <xdr:to>
      <xdr:col>7</xdr:col>
      <xdr:colOff>600441</xdr:colOff>
      <xdr:row>30</xdr:row>
      <xdr:rowOff>126830</xdr:rowOff>
    </xdr:to>
    <xdr:pic>
      <xdr:nvPicPr>
        <xdr:cNvPr id="4" name="Imagen 3">
          <a:hlinkClick xmlns:r="http://schemas.openxmlformats.org/officeDocument/2006/relationships" r:id="rId4"/>
          <a:extLst>
            <a:ext uri="{FF2B5EF4-FFF2-40B4-BE49-F238E27FC236}">
              <a16:creationId xmlns:a16="http://schemas.microsoft.com/office/drawing/2014/main" id="{0C41AD27-CB0A-4305-B81B-9567CE523E0D}"/>
            </a:ext>
          </a:extLst>
        </xdr:cNvPr>
        <xdr:cNvPicPr>
          <a:picLocks noChangeAspect="1"/>
        </xdr:cNvPicPr>
      </xdr:nvPicPr>
      <xdr:blipFill>
        <a:blip xmlns:r="http://schemas.openxmlformats.org/officeDocument/2006/relationships" r:embed="rId5"/>
        <a:stretch>
          <a:fillRect/>
        </a:stretch>
      </xdr:blipFill>
      <xdr:spPr>
        <a:xfrm>
          <a:off x="3930650" y="14638900"/>
          <a:ext cx="2746741" cy="823180"/>
        </a:xfrm>
        <a:prstGeom prst="rect">
          <a:avLst/>
        </a:prstGeom>
      </xdr:spPr>
    </xdr:pic>
    <xdr:clientData/>
  </xdr:twoCellAnchor>
  <xdr:twoCellAnchor editAs="oneCell">
    <xdr:from>
      <xdr:col>7</xdr:col>
      <xdr:colOff>723900</xdr:colOff>
      <xdr:row>28</xdr:row>
      <xdr:rowOff>1110225</xdr:rowOff>
    </xdr:from>
    <xdr:to>
      <xdr:col>11</xdr:col>
      <xdr:colOff>127000</xdr:colOff>
      <xdr:row>30</xdr:row>
      <xdr:rowOff>152230</xdr:rowOff>
    </xdr:to>
    <xdr:pic>
      <xdr:nvPicPr>
        <xdr:cNvPr id="5" name="Imagen 4">
          <a:hlinkClick xmlns:r="http://schemas.openxmlformats.org/officeDocument/2006/relationships" r:id="rId6"/>
          <a:extLst>
            <a:ext uri="{FF2B5EF4-FFF2-40B4-BE49-F238E27FC236}">
              <a16:creationId xmlns:a16="http://schemas.microsoft.com/office/drawing/2014/main" id="{01A33C7D-27D4-45D5-B9E0-4A76519C580D}"/>
            </a:ext>
          </a:extLst>
        </xdr:cNvPr>
        <xdr:cNvPicPr>
          <a:picLocks noChangeAspect="1"/>
        </xdr:cNvPicPr>
      </xdr:nvPicPr>
      <xdr:blipFill>
        <a:blip xmlns:r="http://schemas.openxmlformats.org/officeDocument/2006/relationships" r:embed="rId7"/>
        <a:stretch>
          <a:fillRect/>
        </a:stretch>
      </xdr:blipFill>
      <xdr:spPr>
        <a:xfrm>
          <a:off x="6800850" y="14664300"/>
          <a:ext cx="2746375" cy="823180"/>
        </a:xfrm>
        <a:prstGeom prst="rect">
          <a:avLst/>
        </a:prstGeom>
      </xdr:spPr>
    </xdr:pic>
    <xdr:clientData/>
  </xdr:twoCellAnchor>
  <xdr:twoCellAnchor editAs="oneCell">
    <xdr:from>
      <xdr:col>0</xdr:col>
      <xdr:colOff>965200</xdr:colOff>
      <xdr:row>30</xdr:row>
      <xdr:rowOff>339115</xdr:rowOff>
    </xdr:from>
    <xdr:to>
      <xdr:col>4</xdr:col>
      <xdr:colOff>518381</xdr:colOff>
      <xdr:row>31</xdr:row>
      <xdr:rowOff>355601</xdr:rowOff>
    </xdr:to>
    <xdr:pic>
      <xdr:nvPicPr>
        <xdr:cNvPr id="6" name="Imagen 5">
          <a:hlinkClick xmlns:r="http://schemas.openxmlformats.org/officeDocument/2006/relationships" r:id="rId8"/>
          <a:extLst>
            <a:ext uri="{FF2B5EF4-FFF2-40B4-BE49-F238E27FC236}">
              <a16:creationId xmlns:a16="http://schemas.microsoft.com/office/drawing/2014/main" id="{3D434773-23B1-44C0-BFBB-FB2866C1B47B}"/>
            </a:ext>
          </a:extLst>
        </xdr:cNvPr>
        <xdr:cNvPicPr>
          <a:picLocks noChangeAspect="1"/>
        </xdr:cNvPicPr>
      </xdr:nvPicPr>
      <xdr:blipFill>
        <a:blip xmlns:r="http://schemas.openxmlformats.org/officeDocument/2006/relationships" r:embed="rId9"/>
        <a:stretch>
          <a:fillRect/>
        </a:stretch>
      </xdr:blipFill>
      <xdr:spPr>
        <a:xfrm>
          <a:off x="955675" y="15674365"/>
          <a:ext cx="2782156" cy="778486"/>
        </a:xfrm>
        <a:prstGeom prst="rect">
          <a:avLst/>
        </a:prstGeom>
      </xdr:spPr>
    </xdr:pic>
    <xdr:clientData/>
  </xdr:twoCellAnchor>
  <xdr:twoCellAnchor editAs="oneCell">
    <xdr:from>
      <xdr:col>4</xdr:col>
      <xdr:colOff>673100</xdr:colOff>
      <xdr:row>30</xdr:row>
      <xdr:rowOff>364514</xdr:rowOff>
    </xdr:from>
    <xdr:to>
      <xdr:col>7</xdr:col>
      <xdr:colOff>562342</xdr:colOff>
      <xdr:row>31</xdr:row>
      <xdr:rowOff>380999</xdr:rowOff>
    </xdr:to>
    <xdr:pic>
      <xdr:nvPicPr>
        <xdr:cNvPr id="7" name="Imagen 6">
          <a:hlinkClick xmlns:r="http://schemas.openxmlformats.org/officeDocument/2006/relationships" r:id="rId10"/>
          <a:extLst>
            <a:ext uri="{FF2B5EF4-FFF2-40B4-BE49-F238E27FC236}">
              <a16:creationId xmlns:a16="http://schemas.microsoft.com/office/drawing/2014/main" id="{03282B06-78EE-4CEC-8E26-1110E36A5917}"/>
            </a:ext>
          </a:extLst>
        </xdr:cNvPr>
        <xdr:cNvPicPr>
          <a:picLocks noChangeAspect="1"/>
        </xdr:cNvPicPr>
      </xdr:nvPicPr>
      <xdr:blipFill>
        <a:blip xmlns:r="http://schemas.openxmlformats.org/officeDocument/2006/relationships" r:embed="rId11"/>
        <a:stretch>
          <a:fillRect/>
        </a:stretch>
      </xdr:blipFill>
      <xdr:spPr>
        <a:xfrm>
          <a:off x="3892550" y="15699764"/>
          <a:ext cx="2746742" cy="778485"/>
        </a:xfrm>
        <a:prstGeom prst="rect">
          <a:avLst/>
        </a:prstGeom>
      </xdr:spPr>
    </xdr:pic>
    <xdr:clientData/>
  </xdr:twoCellAnchor>
  <xdr:twoCellAnchor editAs="oneCell">
    <xdr:from>
      <xdr:col>7</xdr:col>
      <xdr:colOff>698499</xdr:colOff>
      <xdr:row>30</xdr:row>
      <xdr:rowOff>377215</xdr:rowOff>
    </xdr:from>
    <xdr:to>
      <xdr:col>11</xdr:col>
      <xdr:colOff>101600</xdr:colOff>
      <xdr:row>31</xdr:row>
      <xdr:rowOff>393701</xdr:rowOff>
    </xdr:to>
    <xdr:pic>
      <xdr:nvPicPr>
        <xdr:cNvPr id="8" name="Imagen 7">
          <a:hlinkClick xmlns:r="http://schemas.openxmlformats.org/officeDocument/2006/relationships" r:id="rId12"/>
          <a:extLst>
            <a:ext uri="{FF2B5EF4-FFF2-40B4-BE49-F238E27FC236}">
              <a16:creationId xmlns:a16="http://schemas.microsoft.com/office/drawing/2014/main" id="{9EC9B065-EE1A-4485-8646-3AE2135267E1}"/>
            </a:ext>
          </a:extLst>
        </xdr:cNvPr>
        <xdr:cNvPicPr>
          <a:picLocks noChangeAspect="1"/>
        </xdr:cNvPicPr>
      </xdr:nvPicPr>
      <xdr:blipFill>
        <a:blip xmlns:r="http://schemas.openxmlformats.org/officeDocument/2006/relationships" r:embed="rId13"/>
        <a:stretch>
          <a:fillRect/>
        </a:stretch>
      </xdr:blipFill>
      <xdr:spPr>
        <a:xfrm>
          <a:off x="6775449" y="15712465"/>
          <a:ext cx="2746376" cy="778486"/>
        </a:xfrm>
        <a:prstGeom prst="rect">
          <a:avLst/>
        </a:prstGeom>
      </xdr:spPr>
    </xdr:pic>
    <xdr:clientData/>
  </xdr:twoCellAnchor>
  <xdr:twoCellAnchor editAs="oneCell">
    <xdr:from>
      <xdr:col>0</xdr:col>
      <xdr:colOff>911411</xdr:colOff>
      <xdr:row>87</xdr:row>
      <xdr:rowOff>0</xdr:rowOff>
    </xdr:from>
    <xdr:to>
      <xdr:col>11</xdr:col>
      <xdr:colOff>167340</xdr:colOff>
      <xdr:row>92</xdr:row>
      <xdr:rowOff>34664</xdr:rowOff>
    </xdr:to>
    <xdr:pic>
      <xdr:nvPicPr>
        <xdr:cNvPr id="9" name="Imagen 8">
          <a:hlinkClick xmlns:r="http://schemas.openxmlformats.org/officeDocument/2006/relationships" r:id="rId14"/>
          <a:extLst>
            <a:ext uri="{FF2B5EF4-FFF2-40B4-BE49-F238E27FC236}">
              <a16:creationId xmlns:a16="http://schemas.microsoft.com/office/drawing/2014/main" id="{09D4C7F8-DB5E-4F3B-A6C3-606A4474655A}"/>
            </a:ext>
          </a:extLst>
        </xdr:cNvPr>
        <xdr:cNvPicPr>
          <a:picLocks noChangeAspect="1"/>
        </xdr:cNvPicPr>
      </xdr:nvPicPr>
      <xdr:blipFill>
        <a:blip xmlns:r="http://schemas.openxmlformats.org/officeDocument/2006/relationships" r:embed="rId15"/>
        <a:stretch>
          <a:fillRect/>
        </a:stretch>
      </xdr:blipFill>
      <xdr:spPr>
        <a:xfrm>
          <a:off x="911411" y="27765375"/>
          <a:ext cx="8676154" cy="1034789"/>
        </a:xfrm>
        <a:prstGeom prst="rect">
          <a:avLst/>
        </a:prstGeom>
      </xdr:spPr>
    </xdr:pic>
    <xdr:clientData/>
  </xdr:twoCellAnchor>
  <xdr:twoCellAnchor editAs="oneCell">
    <xdr:from>
      <xdr:col>1</xdr:col>
      <xdr:colOff>185852</xdr:colOff>
      <xdr:row>16</xdr:row>
      <xdr:rowOff>139391</xdr:rowOff>
    </xdr:from>
    <xdr:to>
      <xdr:col>10</xdr:col>
      <xdr:colOff>964114</xdr:colOff>
      <xdr:row>24</xdr:row>
      <xdr:rowOff>476250</xdr:rowOff>
    </xdr:to>
    <xdr:pic>
      <xdr:nvPicPr>
        <xdr:cNvPr id="10" name="Imagen 9">
          <a:hlinkClick xmlns:r="http://schemas.openxmlformats.org/officeDocument/2006/relationships" r:id="rId16"/>
          <a:extLst>
            <a:ext uri="{FF2B5EF4-FFF2-40B4-BE49-F238E27FC236}">
              <a16:creationId xmlns:a16="http://schemas.microsoft.com/office/drawing/2014/main" id="{152B3091-68E1-4B4E-8E21-BBC927DBFAB3}"/>
            </a:ext>
          </a:extLst>
        </xdr:cNvPr>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138352" y="7635566"/>
          <a:ext cx="8179187" cy="3070534"/>
        </a:xfrm>
        <a:prstGeom prst="rect">
          <a:avLst/>
        </a:prstGeom>
        <a:noFill/>
        <a:ln>
          <a:noFill/>
        </a:ln>
      </xdr:spPr>
    </xdr:pic>
    <xdr:clientData/>
  </xdr:twoCellAnchor>
  <xdr:twoCellAnchor editAs="oneCell">
    <xdr:from>
      <xdr:col>1</xdr:col>
      <xdr:colOff>313629</xdr:colOff>
      <xdr:row>24</xdr:row>
      <xdr:rowOff>534329</xdr:rowOff>
    </xdr:from>
    <xdr:to>
      <xdr:col>10</xdr:col>
      <xdr:colOff>964116</xdr:colOff>
      <xdr:row>27</xdr:row>
      <xdr:rowOff>360092</xdr:rowOff>
    </xdr:to>
    <xdr:pic>
      <xdr:nvPicPr>
        <xdr:cNvPr id="11" name="Imagen 10">
          <a:extLst>
            <a:ext uri="{FF2B5EF4-FFF2-40B4-BE49-F238E27FC236}">
              <a16:creationId xmlns:a16="http://schemas.microsoft.com/office/drawing/2014/main" id="{94E8458F-3C97-41D0-A3D9-FEC2AA696BDE}"/>
            </a:ext>
          </a:extLst>
        </xdr:cNvPr>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266129" y="10764179"/>
          <a:ext cx="8051412" cy="2540388"/>
        </a:xfrm>
        <a:prstGeom prst="rect">
          <a:avLst/>
        </a:prstGeom>
        <a:noFill/>
        <a:ln>
          <a:noFill/>
        </a:ln>
      </xdr:spPr>
    </xdr:pic>
    <xdr:clientData/>
  </xdr:twoCellAnchor>
  <xdr:twoCellAnchor editAs="oneCell">
    <xdr:from>
      <xdr:col>1</xdr:col>
      <xdr:colOff>336860</xdr:colOff>
      <xdr:row>33</xdr:row>
      <xdr:rowOff>92926</xdr:rowOff>
    </xdr:from>
    <xdr:to>
      <xdr:col>6</xdr:col>
      <xdr:colOff>151006</xdr:colOff>
      <xdr:row>84</xdr:row>
      <xdr:rowOff>92926</xdr:rowOff>
    </xdr:to>
    <xdr:pic>
      <xdr:nvPicPr>
        <xdr:cNvPr id="12" name="Imagen 11">
          <a:extLst>
            <a:ext uri="{FF2B5EF4-FFF2-40B4-BE49-F238E27FC236}">
              <a16:creationId xmlns:a16="http://schemas.microsoft.com/office/drawing/2014/main" id="{C518FC86-ACC8-45E1-9D84-1B530188D9ED}"/>
            </a:ext>
          </a:extLst>
        </xdr:cNvPr>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289360" y="17056951"/>
          <a:ext cx="4005146" cy="10201275"/>
        </a:xfrm>
        <a:prstGeom prst="rect">
          <a:avLst/>
        </a:prstGeom>
        <a:noFill/>
        <a:ln>
          <a:noFill/>
        </a:ln>
      </xdr:spPr>
    </xdr:pic>
    <xdr:clientData/>
  </xdr:twoCellAnchor>
  <xdr:twoCellAnchor editAs="oneCell">
    <xdr:from>
      <xdr:col>6</xdr:col>
      <xdr:colOff>348476</xdr:colOff>
      <xdr:row>34</xdr:row>
      <xdr:rowOff>23231</xdr:rowOff>
    </xdr:from>
    <xdr:to>
      <xdr:col>11</xdr:col>
      <xdr:colOff>92927</xdr:colOff>
      <xdr:row>84</xdr:row>
      <xdr:rowOff>58078</xdr:rowOff>
    </xdr:to>
    <xdr:pic>
      <xdr:nvPicPr>
        <xdr:cNvPr id="13" name="Imagen 12">
          <a:hlinkClick xmlns:r="http://schemas.openxmlformats.org/officeDocument/2006/relationships" r:id="rId20"/>
          <a:extLst>
            <a:ext uri="{FF2B5EF4-FFF2-40B4-BE49-F238E27FC236}">
              <a16:creationId xmlns:a16="http://schemas.microsoft.com/office/drawing/2014/main" id="{A932053D-AEF3-4B16-A1B2-67D5337ADB74}"/>
            </a:ext>
          </a:extLst>
        </xdr:cNvPr>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491976" y="17187281"/>
          <a:ext cx="4021176" cy="10036097"/>
        </a:xfrm>
        <a:prstGeom prst="rect">
          <a:avLst/>
        </a:prstGeom>
        <a:noFill/>
        <a:ln>
          <a:noFill/>
        </a:ln>
      </xdr:spPr>
    </xdr:pic>
    <xdr:clientData/>
  </xdr:twoCellAnchor>
  <xdr:twoCellAnchor editAs="oneCell">
    <xdr:from>
      <xdr:col>2</xdr:col>
      <xdr:colOff>31755</xdr:colOff>
      <xdr:row>0</xdr:row>
      <xdr:rowOff>126999</xdr:rowOff>
    </xdr:from>
    <xdr:to>
      <xdr:col>10</xdr:col>
      <xdr:colOff>745072</xdr:colOff>
      <xdr:row>12</xdr:row>
      <xdr:rowOff>20055</xdr:rowOff>
    </xdr:to>
    <xdr:pic>
      <xdr:nvPicPr>
        <xdr:cNvPr id="14" name="Imagen 13">
          <a:extLst>
            <a:ext uri="{FF2B5EF4-FFF2-40B4-BE49-F238E27FC236}">
              <a16:creationId xmlns:a16="http://schemas.microsoft.com/office/drawing/2014/main" id="{453C751C-95AE-4853-ADA8-751768FB813A}"/>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327155" y="126999"/>
          <a:ext cx="7771342" cy="6208131"/>
        </a:xfrm>
        <a:prstGeom prst="rect">
          <a:avLst/>
        </a:prstGeom>
      </xdr:spPr>
    </xdr:pic>
    <xdr:clientData/>
  </xdr:twoCellAnchor>
  <xdr:twoCellAnchor editAs="oneCell">
    <xdr:from>
      <xdr:col>1</xdr:col>
      <xdr:colOff>21166</xdr:colOff>
      <xdr:row>28</xdr:row>
      <xdr:rowOff>1090083</xdr:rowOff>
    </xdr:from>
    <xdr:to>
      <xdr:col>4</xdr:col>
      <xdr:colOff>541866</xdr:colOff>
      <xdr:row>30</xdr:row>
      <xdr:rowOff>64558</xdr:rowOff>
    </xdr:to>
    <xdr:pic>
      <xdr:nvPicPr>
        <xdr:cNvPr id="15" name="Imagen 14" descr="Vista previa de imagen">
          <a:hlinkClick xmlns:r="http://schemas.openxmlformats.org/officeDocument/2006/relationships" r:id="rId23"/>
          <a:extLst>
            <a:ext uri="{FF2B5EF4-FFF2-40B4-BE49-F238E27FC236}">
              <a16:creationId xmlns:a16="http://schemas.microsoft.com/office/drawing/2014/main" id="{2A9DD65D-00F2-468B-B6FC-15CA42E0A7F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973666" y="14644158"/>
          <a:ext cx="2787650" cy="75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30000</xdr:colOff>
      <xdr:row>2</xdr:row>
      <xdr:rowOff>449100</xdr:rowOff>
    </xdr:to>
    <xdr:pic>
      <xdr:nvPicPr>
        <xdr:cNvPr id="2" name="Imagen 1">
          <a:extLst>
            <a:ext uri="{FF2B5EF4-FFF2-40B4-BE49-F238E27FC236}">
              <a16:creationId xmlns:a16="http://schemas.microsoft.com/office/drawing/2014/main" id="{42A76785-BC7B-45A8-8396-B68BA116279E}"/>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1425</xdr:colOff>
      <xdr:row>3</xdr:row>
      <xdr:rowOff>96675</xdr:rowOff>
    </xdr:to>
    <xdr:pic>
      <xdr:nvPicPr>
        <xdr:cNvPr id="2" name="Imagen 1">
          <a:extLst>
            <a:ext uri="{FF2B5EF4-FFF2-40B4-BE49-F238E27FC236}">
              <a16:creationId xmlns:a16="http://schemas.microsoft.com/office/drawing/2014/main" id="{AB885ECA-9ACC-47CE-BB1B-76F53565858E}"/>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83820</xdr:colOff>
      <xdr:row>35</xdr:row>
      <xdr:rowOff>0</xdr:rowOff>
    </xdr:from>
    <xdr:to>
      <xdr:col>8</xdr:col>
      <xdr:colOff>403860</xdr:colOff>
      <xdr:row>35</xdr:row>
      <xdr:rowOff>167640</xdr:rowOff>
    </xdr:to>
    <xdr:sp macro="" textlink="">
      <xdr:nvSpPr>
        <xdr:cNvPr id="2" name="Flecha: a la derecha 1">
          <a:extLst>
            <a:ext uri="{FF2B5EF4-FFF2-40B4-BE49-F238E27FC236}">
              <a16:creationId xmlns:a16="http://schemas.microsoft.com/office/drawing/2014/main" id="{015CDC92-DBBB-5779-83DD-5DD0F25FDD25}"/>
            </a:ext>
          </a:extLst>
        </xdr:cNvPr>
        <xdr:cNvSpPr/>
      </xdr:nvSpPr>
      <xdr:spPr>
        <a:xfrm>
          <a:off x="6469380" y="6309360"/>
          <a:ext cx="320040" cy="16764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83820</xdr:colOff>
      <xdr:row>36</xdr:row>
      <xdr:rowOff>30480</xdr:rowOff>
    </xdr:from>
    <xdr:to>
      <xdr:col>8</xdr:col>
      <xdr:colOff>403860</xdr:colOff>
      <xdr:row>37</xdr:row>
      <xdr:rowOff>22860</xdr:rowOff>
    </xdr:to>
    <xdr:sp macro="" textlink="">
      <xdr:nvSpPr>
        <xdr:cNvPr id="3" name="Flecha: a la derecha 2">
          <a:extLst>
            <a:ext uri="{FF2B5EF4-FFF2-40B4-BE49-F238E27FC236}">
              <a16:creationId xmlns:a16="http://schemas.microsoft.com/office/drawing/2014/main" id="{BFCA4471-690E-47D1-AAB1-BCCECDD2EC2B}"/>
            </a:ext>
          </a:extLst>
        </xdr:cNvPr>
        <xdr:cNvSpPr/>
      </xdr:nvSpPr>
      <xdr:spPr>
        <a:xfrm>
          <a:off x="6469380" y="6515100"/>
          <a:ext cx="320040" cy="16764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0</xdr:col>
      <xdr:colOff>0</xdr:colOff>
      <xdr:row>0</xdr:row>
      <xdr:rowOff>0</xdr:rowOff>
    </xdr:from>
    <xdr:to>
      <xdr:col>0</xdr:col>
      <xdr:colOff>792000</xdr:colOff>
      <xdr:row>3</xdr:row>
      <xdr:rowOff>96675</xdr:rowOff>
    </xdr:to>
    <xdr:pic>
      <xdr:nvPicPr>
        <xdr:cNvPr id="4" name="Imagen 3">
          <a:extLst>
            <a:ext uri="{FF2B5EF4-FFF2-40B4-BE49-F238E27FC236}">
              <a16:creationId xmlns:a16="http://schemas.microsoft.com/office/drawing/2014/main" id="{64EF5AA0-D0CB-4868-8605-646CA11A9BF3}"/>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167640</xdr:colOff>
      <xdr:row>66</xdr:row>
      <xdr:rowOff>15240</xdr:rowOff>
    </xdr:from>
    <xdr:to>
      <xdr:col>7</xdr:col>
      <xdr:colOff>411480</xdr:colOff>
      <xdr:row>69</xdr:row>
      <xdr:rowOff>152400</xdr:rowOff>
    </xdr:to>
    <xdr:sp macro="" textlink="">
      <xdr:nvSpPr>
        <xdr:cNvPr id="5" name="Cerrar llave 4">
          <a:extLst>
            <a:ext uri="{FF2B5EF4-FFF2-40B4-BE49-F238E27FC236}">
              <a16:creationId xmlns:a16="http://schemas.microsoft.com/office/drawing/2014/main" id="{10313DAF-E6F0-20E8-5BA6-E64282332565}"/>
            </a:ext>
          </a:extLst>
        </xdr:cNvPr>
        <xdr:cNvSpPr/>
      </xdr:nvSpPr>
      <xdr:spPr>
        <a:xfrm>
          <a:off x="7620000" y="13525500"/>
          <a:ext cx="243840" cy="83820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O" sz="1100" kern="1200"/>
        </a:p>
      </xdr:txBody>
    </xdr:sp>
    <xdr:clientData/>
  </xdr:twoCellAnchor>
  <xdr:twoCellAnchor>
    <xdr:from>
      <xdr:col>7</xdr:col>
      <xdr:colOff>60960</xdr:colOff>
      <xdr:row>20</xdr:row>
      <xdr:rowOff>22860</xdr:rowOff>
    </xdr:from>
    <xdr:to>
      <xdr:col>7</xdr:col>
      <xdr:colOff>373380</xdr:colOff>
      <xdr:row>20</xdr:row>
      <xdr:rowOff>137160</xdr:rowOff>
    </xdr:to>
    <xdr:sp macro="" textlink="">
      <xdr:nvSpPr>
        <xdr:cNvPr id="2" name="Flecha: a la derecha 1">
          <a:extLst>
            <a:ext uri="{FF2B5EF4-FFF2-40B4-BE49-F238E27FC236}">
              <a16:creationId xmlns:a16="http://schemas.microsoft.com/office/drawing/2014/main" id="{5941F9BD-4C16-4DD5-ADE9-0EAF3975C3BA}"/>
            </a:ext>
          </a:extLst>
        </xdr:cNvPr>
        <xdr:cNvSpPr/>
      </xdr:nvSpPr>
      <xdr:spPr>
        <a:xfrm>
          <a:off x="7513320" y="37185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60960</xdr:colOff>
      <xdr:row>28</xdr:row>
      <xdr:rowOff>99060</xdr:rowOff>
    </xdr:from>
    <xdr:to>
      <xdr:col>7</xdr:col>
      <xdr:colOff>373380</xdr:colOff>
      <xdr:row>28</xdr:row>
      <xdr:rowOff>213360</xdr:rowOff>
    </xdr:to>
    <xdr:sp macro="" textlink="">
      <xdr:nvSpPr>
        <xdr:cNvPr id="7" name="Flecha: a la derecha 6">
          <a:extLst>
            <a:ext uri="{FF2B5EF4-FFF2-40B4-BE49-F238E27FC236}">
              <a16:creationId xmlns:a16="http://schemas.microsoft.com/office/drawing/2014/main" id="{1AC8B8F7-C3EB-4ADF-8151-A5420A8F8B2C}"/>
            </a:ext>
          </a:extLst>
        </xdr:cNvPr>
        <xdr:cNvSpPr/>
      </xdr:nvSpPr>
      <xdr:spPr>
        <a:xfrm>
          <a:off x="7513320" y="52044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45720</xdr:colOff>
      <xdr:row>64</xdr:row>
      <xdr:rowOff>30480</xdr:rowOff>
    </xdr:from>
    <xdr:to>
      <xdr:col>7</xdr:col>
      <xdr:colOff>358140</xdr:colOff>
      <xdr:row>64</xdr:row>
      <xdr:rowOff>144780</xdr:rowOff>
    </xdr:to>
    <xdr:sp macro="" textlink="">
      <xdr:nvSpPr>
        <xdr:cNvPr id="8" name="Flecha: a la derecha 7">
          <a:extLst>
            <a:ext uri="{FF2B5EF4-FFF2-40B4-BE49-F238E27FC236}">
              <a16:creationId xmlns:a16="http://schemas.microsoft.com/office/drawing/2014/main" id="{D547DEBB-7612-45ED-8190-38CC89C5F573}"/>
            </a:ext>
          </a:extLst>
        </xdr:cNvPr>
        <xdr:cNvSpPr/>
      </xdr:nvSpPr>
      <xdr:spPr>
        <a:xfrm>
          <a:off x="7498080" y="1302258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30480</xdr:colOff>
      <xdr:row>69</xdr:row>
      <xdr:rowOff>7620</xdr:rowOff>
    </xdr:from>
    <xdr:to>
      <xdr:col>8</xdr:col>
      <xdr:colOff>342900</xdr:colOff>
      <xdr:row>69</xdr:row>
      <xdr:rowOff>121920</xdr:rowOff>
    </xdr:to>
    <xdr:sp macro="" textlink="">
      <xdr:nvSpPr>
        <xdr:cNvPr id="9" name="Flecha: a la derecha 8">
          <a:extLst>
            <a:ext uri="{FF2B5EF4-FFF2-40B4-BE49-F238E27FC236}">
              <a16:creationId xmlns:a16="http://schemas.microsoft.com/office/drawing/2014/main" id="{3EF6FA1A-2E1A-42B0-AB85-07EDA200C2FD}"/>
            </a:ext>
          </a:extLst>
        </xdr:cNvPr>
        <xdr:cNvSpPr/>
      </xdr:nvSpPr>
      <xdr:spPr>
        <a:xfrm>
          <a:off x="7901940" y="1422654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0</xdr:col>
      <xdr:colOff>0</xdr:colOff>
      <xdr:row>0</xdr:row>
      <xdr:rowOff>0</xdr:rowOff>
    </xdr:from>
    <xdr:to>
      <xdr:col>1</xdr:col>
      <xdr:colOff>10950</xdr:colOff>
      <xdr:row>3</xdr:row>
      <xdr:rowOff>96675</xdr:rowOff>
    </xdr:to>
    <xdr:pic>
      <xdr:nvPicPr>
        <xdr:cNvPr id="3" name="Imagen 2">
          <a:extLst>
            <a:ext uri="{FF2B5EF4-FFF2-40B4-BE49-F238E27FC236}">
              <a16:creationId xmlns:a16="http://schemas.microsoft.com/office/drawing/2014/main" id="{0C36D284-E748-462D-BEBF-13261E6A5801}"/>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68580</xdr:colOff>
      <xdr:row>37</xdr:row>
      <xdr:rowOff>0</xdr:rowOff>
    </xdr:from>
    <xdr:to>
      <xdr:col>7</xdr:col>
      <xdr:colOff>388620</xdr:colOff>
      <xdr:row>37</xdr:row>
      <xdr:rowOff>121920</xdr:rowOff>
    </xdr:to>
    <xdr:sp macro="" textlink="">
      <xdr:nvSpPr>
        <xdr:cNvPr id="2" name="Flecha: a la derecha 1">
          <a:extLst>
            <a:ext uri="{FF2B5EF4-FFF2-40B4-BE49-F238E27FC236}">
              <a16:creationId xmlns:a16="http://schemas.microsoft.com/office/drawing/2014/main" id="{367A7921-5A78-4E86-A58F-16ADF2D41D0C}"/>
            </a:ext>
          </a:extLst>
        </xdr:cNvPr>
        <xdr:cNvSpPr/>
      </xdr:nvSpPr>
      <xdr:spPr>
        <a:xfrm>
          <a:off x="6720840" y="6515100"/>
          <a:ext cx="320040" cy="12192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0</xdr:col>
      <xdr:colOff>0</xdr:colOff>
      <xdr:row>0</xdr:row>
      <xdr:rowOff>0</xdr:rowOff>
    </xdr:from>
    <xdr:to>
      <xdr:col>1</xdr:col>
      <xdr:colOff>1425</xdr:colOff>
      <xdr:row>2</xdr:row>
      <xdr:rowOff>430050</xdr:rowOff>
    </xdr:to>
    <xdr:pic>
      <xdr:nvPicPr>
        <xdr:cNvPr id="3" name="Imagen 2">
          <a:extLst>
            <a:ext uri="{FF2B5EF4-FFF2-40B4-BE49-F238E27FC236}">
              <a16:creationId xmlns:a16="http://schemas.microsoft.com/office/drawing/2014/main" id="{5DF09408-59B0-4E30-B642-54A04973EA93}"/>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434340</xdr:colOff>
      <xdr:row>22</xdr:row>
      <xdr:rowOff>30480</xdr:rowOff>
    </xdr:from>
    <xdr:to>
      <xdr:col>2</xdr:col>
      <xdr:colOff>548640</xdr:colOff>
      <xdr:row>23</xdr:row>
      <xdr:rowOff>167640</xdr:rowOff>
    </xdr:to>
    <xdr:sp macro="" textlink="">
      <xdr:nvSpPr>
        <xdr:cNvPr id="3" name="Flecha: a la derecha 2">
          <a:extLst>
            <a:ext uri="{FF2B5EF4-FFF2-40B4-BE49-F238E27FC236}">
              <a16:creationId xmlns:a16="http://schemas.microsoft.com/office/drawing/2014/main" id="{CAB1C647-08F3-4B5C-BADD-5CF87EDAC316}"/>
            </a:ext>
          </a:extLst>
        </xdr:cNvPr>
        <xdr:cNvSpPr/>
      </xdr:nvSpPr>
      <xdr:spPr>
        <a:xfrm rot="5400000">
          <a:off x="3253740" y="451104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60960</xdr:colOff>
      <xdr:row>38</xdr:row>
      <xdr:rowOff>22860</xdr:rowOff>
    </xdr:from>
    <xdr:to>
      <xdr:col>7</xdr:col>
      <xdr:colOff>373380</xdr:colOff>
      <xdr:row>38</xdr:row>
      <xdr:rowOff>137160</xdr:rowOff>
    </xdr:to>
    <xdr:sp macro="" textlink="">
      <xdr:nvSpPr>
        <xdr:cNvPr id="4" name="Flecha: a la derecha 3">
          <a:extLst>
            <a:ext uri="{FF2B5EF4-FFF2-40B4-BE49-F238E27FC236}">
              <a16:creationId xmlns:a16="http://schemas.microsoft.com/office/drawing/2014/main" id="{0FCAC1E5-A991-4F3C-9E7B-2B32AFCBA7EB}"/>
            </a:ext>
          </a:extLst>
        </xdr:cNvPr>
        <xdr:cNvSpPr/>
      </xdr:nvSpPr>
      <xdr:spPr>
        <a:xfrm>
          <a:off x="6858000" y="74371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0</xdr:col>
      <xdr:colOff>0</xdr:colOff>
      <xdr:row>0</xdr:row>
      <xdr:rowOff>0</xdr:rowOff>
    </xdr:from>
    <xdr:to>
      <xdr:col>1</xdr:col>
      <xdr:colOff>10950</xdr:colOff>
      <xdr:row>3</xdr:row>
      <xdr:rowOff>68100</xdr:rowOff>
    </xdr:to>
    <xdr:pic>
      <xdr:nvPicPr>
        <xdr:cNvPr id="2" name="Imagen 1">
          <a:extLst>
            <a:ext uri="{FF2B5EF4-FFF2-40B4-BE49-F238E27FC236}">
              <a16:creationId xmlns:a16="http://schemas.microsoft.com/office/drawing/2014/main" id="{EB092D61-8D69-434D-97D7-11D9875E8829}"/>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68580</xdr:colOff>
      <xdr:row>63</xdr:row>
      <xdr:rowOff>22860</xdr:rowOff>
    </xdr:from>
    <xdr:to>
      <xdr:col>7</xdr:col>
      <xdr:colOff>381000</xdr:colOff>
      <xdr:row>63</xdr:row>
      <xdr:rowOff>137160</xdr:rowOff>
    </xdr:to>
    <xdr:sp macro="" textlink="">
      <xdr:nvSpPr>
        <xdr:cNvPr id="2" name="Flecha: a la derecha 1">
          <a:extLst>
            <a:ext uri="{FF2B5EF4-FFF2-40B4-BE49-F238E27FC236}">
              <a16:creationId xmlns:a16="http://schemas.microsoft.com/office/drawing/2014/main" id="{DE7F68BC-96C9-4F3E-B66A-93C885534A18}"/>
            </a:ext>
          </a:extLst>
        </xdr:cNvPr>
        <xdr:cNvSpPr/>
      </xdr:nvSpPr>
      <xdr:spPr>
        <a:xfrm>
          <a:off x="7612380" y="1040130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2</xdr:col>
      <xdr:colOff>434340</xdr:colOff>
      <xdr:row>36</xdr:row>
      <xdr:rowOff>30480</xdr:rowOff>
    </xdr:from>
    <xdr:to>
      <xdr:col>2</xdr:col>
      <xdr:colOff>548640</xdr:colOff>
      <xdr:row>37</xdr:row>
      <xdr:rowOff>167640</xdr:rowOff>
    </xdr:to>
    <xdr:sp macro="" textlink="">
      <xdr:nvSpPr>
        <xdr:cNvPr id="3" name="Flecha: a la derecha 2">
          <a:extLst>
            <a:ext uri="{FF2B5EF4-FFF2-40B4-BE49-F238E27FC236}">
              <a16:creationId xmlns:a16="http://schemas.microsoft.com/office/drawing/2014/main" id="{2A89F5E8-253E-4BD6-8876-132430388475}"/>
            </a:ext>
          </a:extLst>
        </xdr:cNvPr>
        <xdr:cNvSpPr/>
      </xdr:nvSpPr>
      <xdr:spPr>
        <a:xfrm rot="5400000">
          <a:off x="3253740" y="468630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0</xdr:col>
      <xdr:colOff>0</xdr:colOff>
      <xdr:row>0</xdr:row>
      <xdr:rowOff>0</xdr:rowOff>
    </xdr:from>
    <xdr:to>
      <xdr:col>1</xdr:col>
      <xdr:colOff>1425</xdr:colOff>
      <xdr:row>3</xdr:row>
      <xdr:rowOff>58575</xdr:rowOff>
    </xdr:to>
    <xdr:pic>
      <xdr:nvPicPr>
        <xdr:cNvPr id="4" name="Imagen 3">
          <a:extLst>
            <a:ext uri="{FF2B5EF4-FFF2-40B4-BE49-F238E27FC236}">
              <a16:creationId xmlns:a16="http://schemas.microsoft.com/office/drawing/2014/main" id="{FE513DEF-704E-4AC4-9C2B-B05565BACAE2}"/>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7</xdr:col>
      <xdr:colOff>60960</xdr:colOff>
      <xdr:row>15</xdr:row>
      <xdr:rowOff>45720</xdr:rowOff>
    </xdr:from>
    <xdr:to>
      <xdr:col>7</xdr:col>
      <xdr:colOff>373380</xdr:colOff>
      <xdr:row>15</xdr:row>
      <xdr:rowOff>160020</xdr:rowOff>
    </xdr:to>
    <xdr:sp macro="" textlink="">
      <xdr:nvSpPr>
        <xdr:cNvPr id="2" name="Flecha: a la derecha 1">
          <a:extLst>
            <a:ext uri="{FF2B5EF4-FFF2-40B4-BE49-F238E27FC236}">
              <a16:creationId xmlns:a16="http://schemas.microsoft.com/office/drawing/2014/main" id="{99920046-64E7-424C-96DB-F1A5C7D2ABDC}"/>
            </a:ext>
          </a:extLst>
        </xdr:cNvPr>
        <xdr:cNvSpPr/>
      </xdr:nvSpPr>
      <xdr:spPr>
        <a:xfrm>
          <a:off x="7513320" y="24993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68580</xdr:colOff>
      <xdr:row>14</xdr:row>
      <xdr:rowOff>38100</xdr:rowOff>
    </xdr:from>
    <xdr:to>
      <xdr:col>7</xdr:col>
      <xdr:colOff>381000</xdr:colOff>
      <xdr:row>14</xdr:row>
      <xdr:rowOff>152400</xdr:rowOff>
    </xdr:to>
    <xdr:sp macro="" textlink="">
      <xdr:nvSpPr>
        <xdr:cNvPr id="3" name="Flecha: a la derecha 2">
          <a:extLst>
            <a:ext uri="{FF2B5EF4-FFF2-40B4-BE49-F238E27FC236}">
              <a16:creationId xmlns:a16="http://schemas.microsoft.com/office/drawing/2014/main" id="{54202EA0-0264-4821-A5DE-1DA89FA0A674}"/>
            </a:ext>
          </a:extLst>
        </xdr:cNvPr>
        <xdr:cNvSpPr/>
      </xdr:nvSpPr>
      <xdr:spPr>
        <a:xfrm>
          <a:off x="7520940" y="231648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0</xdr:col>
      <xdr:colOff>0</xdr:colOff>
      <xdr:row>0</xdr:row>
      <xdr:rowOff>0</xdr:rowOff>
    </xdr:from>
    <xdr:to>
      <xdr:col>1</xdr:col>
      <xdr:colOff>10950</xdr:colOff>
      <xdr:row>3</xdr:row>
      <xdr:rowOff>96675</xdr:rowOff>
    </xdr:to>
    <xdr:pic>
      <xdr:nvPicPr>
        <xdr:cNvPr id="4" name="Imagen 3">
          <a:extLst>
            <a:ext uri="{FF2B5EF4-FFF2-40B4-BE49-F238E27FC236}">
              <a16:creationId xmlns:a16="http://schemas.microsoft.com/office/drawing/2014/main" id="{13420E9D-C091-4DB1-9A9D-BD91CF306110}"/>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99060</xdr:colOff>
      <xdr:row>14</xdr:row>
      <xdr:rowOff>38100</xdr:rowOff>
    </xdr:from>
    <xdr:to>
      <xdr:col>3</xdr:col>
      <xdr:colOff>411480</xdr:colOff>
      <xdr:row>14</xdr:row>
      <xdr:rowOff>152400</xdr:rowOff>
    </xdr:to>
    <xdr:sp macro="" textlink="">
      <xdr:nvSpPr>
        <xdr:cNvPr id="2" name="Flecha: a la derecha 1">
          <a:extLst>
            <a:ext uri="{FF2B5EF4-FFF2-40B4-BE49-F238E27FC236}">
              <a16:creationId xmlns:a16="http://schemas.microsoft.com/office/drawing/2014/main" id="{8F8842C5-11E5-487E-8633-864E787F6FDD}"/>
            </a:ext>
          </a:extLst>
        </xdr:cNvPr>
        <xdr:cNvSpPr/>
      </xdr:nvSpPr>
      <xdr:spPr>
        <a:xfrm>
          <a:off x="3985260" y="21412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3</xdr:col>
      <xdr:colOff>76200</xdr:colOff>
      <xdr:row>18</xdr:row>
      <xdr:rowOff>22860</xdr:rowOff>
    </xdr:from>
    <xdr:to>
      <xdr:col>3</xdr:col>
      <xdr:colOff>388620</xdr:colOff>
      <xdr:row>18</xdr:row>
      <xdr:rowOff>137160</xdr:rowOff>
    </xdr:to>
    <xdr:sp macro="" textlink="">
      <xdr:nvSpPr>
        <xdr:cNvPr id="3" name="Flecha: a la derecha 2">
          <a:extLst>
            <a:ext uri="{FF2B5EF4-FFF2-40B4-BE49-F238E27FC236}">
              <a16:creationId xmlns:a16="http://schemas.microsoft.com/office/drawing/2014/main" id="{B59DC9EE-CA17-4971-BAFC-ED43326CB498}"/>
            </a:ext>
          </a:extLst>
        </xdr:cNvPr>
        <xdr:cNvSpPr/>
      </xdr:nvSpPr>
      <xdr:spPr>
        <a:xfrm>
          <a:off x="3962400" y="230124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5</xdr:col>
      <xdr:colOff>60960</xdr:colOff>
      <xdr:row>27</xdr:row>
      <xdr:rowOff>38100</xdr:rowOff>
    </xdr:from>
    <xdr:to>
      <xdr:col>5</xdr:col>
      <xdr:colOff>373380</xdr:colOff>
      <xdr:row>27</xdr:row>
      <xdr:rowOff>152400</xdr:rowOff>
    </xdr:to>
    <xdr:sp macro="" textlink="">
      <xdr:nvSpPr>
        <xdr:cNvPr id="4" name="Flecha: a la derecha 3">
          <a:extLst>
            <a:ext uri="{FF2B5EF4-FFF2-40B4-BE49-F238E27FC236}">
              <a16:creationId xmlns:a16="http://schemas.microsoft.com/office/drawing/2014/main" id="{7B251A68-442B-492A-8CBE-D2FDC396FDD4}"/>
            </a:ext>
          </a:extLst>
        </xdr:cNvPr>
        <xdr:cNvSpPr/>
      </xdr:nvSpPr>
      <xdr:spPr>
        <a:xfrm>
          <a:off x="5974080" y="38938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4</xdr:col>
      <xdr:colOff>480060</xdr:colOff>
      <xdr:row>33</xdr:row>
      <xdr:rowOff>45720</xdr:rowOff>
    </xdr:from>
    <xdr:to>
      <xdr:col>4</xdr:col>
      <xdr:colOff>594360</xdr:colOff>
      <xdr:row>35</xdr:row>
      <xdr:rowOff>7620</xdr:rowOff>
    </xdr:to>
    <xdr:sp macro="" textlink="">
      <xdr:nvSpPr>
        <xdr:cNvPr id="7" name="Flecha: a la derecha 6">
          <a:extLst>
            <a:ext uri="{FF2B5EF4-FFF2-40B4-BE49-F238E27FC236}">
              <a16:creationId xmlns:a16="http://schemas.microsoft.com/office/drawing/2014/main" id="{FB0E9D1F-ED9C-4016-A92C-786AA4FB1DCA}"/>
            </a:ext>
          </a:extLst>
        </xdr:cNvPr>
        <xdr:cNvSpPr/>
      </xdr:nvSpPr>
      <xdr:spPr>
        <a:xfrm rot="5400000">
          <a:off x="5372100" y="557784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2</xdr:col>
      <xdr:colOff>701040</xdr:colOff>
      <xdr:row>36</xdr:row>
      <xdr:rowOff>112395</xdr:rowOff>
    </xdr:from>
    <xdr:to>
      <xdr:col>2</xdr:col>
      <xdr:colOff>815340</xdr:colOff>
      <xdr:row>38</xdr:row>
      <xdr:rowOff>74295</xdr:rowOff>
    </xdr:to>
    <xdr:sp macro="" textlink="">
      <xdr:nvSpPr>
        <xdr:cNvPr id="8" name="Flecha: a la derecha 7">
          <a:extLst>
            <a:ext uri="{FF2B5EF4-FFF2-40B4-BE49-F238E27FC236}">
              <a16:creationId xmlns:a16="http://schemas.microsoft.com/office/drawing/2014/main" id="{6E247BC9-AFDA-4F9D-B9C7-0AF54D0B101B}"/>
            </a:ext>
          </a:extLst>
        </xdr:cNvPr>
        <xdr:cNvSpPr/>
      </xdr:nvSpPr>
      <xdr:spPr>
        <a:xfrm rot="5400000">
          <a:off x="3653790" y="8065770"/>
          <a:ext cx="34290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2</xdr:col>
      <xdr:colOff>1049655</xdr:colOff>
      <xdr:row>33</xdr:row>
      <xdr:rowOff>66675</xdr:rowOff>
    </xdr:from>
    <xdr:to>
      <xdr:col>3</xdr:col>
      <xdr:colOff>981075</xdr:colOff>
      <xdr:row>34</xdr:row>
      <xdr:rowOff>180975</xdr:rowOff>
    </xdr:to>
    <xdr:sp macro="" textlink="">
      <xdr:nvSpPr>
        <xdr:cNvPr id="9" name="Cerrar llave 8">
          <a:extLst>
            <a:ext uri="{FF2B5EF4-FFF2-40B4-BE49-F238E27FC236}">
              <a16:creationId xmlns:a16="http://schemas.microsoft.com/office/drawing/2014/main" id="{DF33215A-680F-4384-AA11-1A8965DB9526}"/>
            </a:ext>
          </a:extLst>
        </xdr:cNvPr>
        <xdr:cNvSpPr/>
      </xdr:nvSpPr>
      <xdr:spPr>
        <a:xfrm rot="5400000">
          <a:off x="4863465" y="6673215"/>
          <a:ext cx="304800" cy="179832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O" sz="1100" kern="1200"/>
        </a:p>
      </xdr:txBody>
    </xdr:sp>
    <xdr:clientData/>
  </xdr:twoCellAnchor>
  <xdr:twoCellAnchor editAs="oneCell">
    <xdr:from>
      <xdr:col>0</xdr:col>
      <xdr:colOff>0</xdr:colOff>
      <xdr:row>0</xdr:row>
      <xdr:rowOff>0</xdr:rowOff>
    </xdr:from>
    <xdr:to>
      <xdr:col>1</xdr:col>
      <xdr:colOff>1425</xdr:colOff>
      <xdr:row>3</xdr:row>
      <xdr:rowOff>134775</xdr:rowOff>
    </xdr:to>
    <xdr:pic>
      <xdr:nvPicPr>
        <xdr:cNvPr id="5" name="Imagen 4">
          <a:extLst>
            <a:ext uri="{FF2B5EF4-FFF2-40B4-BE49-F238E27FC236}">
              <a16:creationId xmlns:a16="http://schemas.microsoft.com/office/drawing/2014/main" id="{0AE89E03-FE2E-455B-8FC2-FABDA6CD5B83}"/>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114300</xdr:colOff>
      <xdr:row>5</xdr:row>
      <xdr:rowOff>7620</xdr:rowOff>
    </xdr:from>
    <xdr:to>
      <xdr:col>7</xdr:col>
      <xdr:colOff>403860</xdr:colOff>
      <xdr:row>9</xdr:row>
      <xdr:rowOff>175260</xdr:rowOff>
    </xdr:to>
    <xdr:sp macro="" textlink="">
      <xdr:nvSpPr>
        <xdr:cNvPr id="3" name="Cerrar llave 2">
          <a:extLst>
            <a:ext uri="{FF2B5EF4-FFF2-40B4-BE49-F238E27FC236}">
              <a16:creationId xmlns:a16="http://schemas.microsoft.com/office/drawing/2014/main" id="{C3042B8A-3E13-FD20-6EDE-2C051EFCB8C4}"/>
            </a:ext>
          </a:extLst>
        </xdr:cNvPr>
        <xdr:cNvSpPr/>
      </xdr:nvSpPr>
      <xdr:spPr>
        <a:xfrm>
          <a:off x="7254240" y="373380"/>
          <a:ext cx="289560" cy="89916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O" sz="1100" kern="1200"/>
        </a:p>
      </xdr:txBody>
    </xdr:sp>
    <xdr:clientData/>
  </xdr:twoCellAnchor>
  <xdr:twoCellAnchor>
    <xdr:from>
      <xdr:col>7</xdr:col>
      <xdr:colOff>76200</xdr:colOff>
      <xdr:row>10</xdr:row>
      <xdr:rowOff>45720</xdr:rowOff>
    </xdr:from>
    <xdr:to>
      <xdr:col>7</xdr:col>
      <xdr:colOff>388620</xdr:colOff>
      <xdr:row>10</xdr:row>
      <xdr:rowOff>160020</xdr:rowOff>
    </xdr:to>
    <xdr:sp macro="" textlink="">
      <xdr:nvSpPr>
        <xdr:cNvPr id="4" name="Flecha: a la derecha 3">
          <a:extLst>
            <a:ext uri="{FF2B5EF4-FFF2-40B4-BE49-F238E27FC236}">
              <a16:creationId xmlns:a16="http://schemas.microsoft.com/office/drawing/2014/main" id="{9314C1CF-5225-44F2-BF1C-3B08B38008BC}"/>
            </a:ext>
          </a:extLst>
        </xdr:cNvPr>
        <xdr:cNvSpPr/>
      </xdr:nvSpPr>
      <xdr:spPr>
        <a:xfrm>
          <a:off x="7216140" y="132588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68580</xdr:colOff>
      <xdr:row>11</xdr:row>
      <xdr:rowOff>38100</xdr:rowOff>
    </xdr:from>
    <xdr:to>
      <xdr:col>7</xdr:col>
      <xdr:colOff>381000</xdr:colOff>
      <xdr:row>11</xdr:row>
      <xdr:rowOff>152400</xdr:rowOff>
    </xdr:to>
    <xdr:sp macro="" textlink="">
      <xdr:nvSpPr>
        <xdr:cNvPr id="5" name="Flecha: a la derecha 4">
          <a:extLst>
            <a:ext uri="{FF2B5EF4-FFF2-40B4-BE49-F238E27FC236}">
              <a16:creationId xmlns:a16="http://schemas.microsoft.com/office/drawing/2014/main" id="{E85E5C1B-AFAD-439E-96ED-1F08FE0DB57F}"/>
            </a:ext>
          </a:extLst>
        </xdr:cNvPr>
        <xdr:cNvSpPr/>
      </xdr:nvSpPr>
      <xdr:spPr>
        <a:xfrm>
          <a:off x="7574280" y="150114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76200</xdr:colOff>
      <xdr:row>13</xdr:row>
      <xdr:rowOff>38100</xdr:rowOff>
    </xdr:from>
    <xdr:to>
      <xdr:col>7</xdr:col>
      <xdr:colOff>388620</xdr:colOff>
      <xdr:row>13</xdr:row>
      <xdr:rowOff>152400</xdr:rowOff>
    </xdr:to>
    <xdr:sp macro="" textlink="">
      <xdr:nvSpPr>
        <xdr:cNvPr id="6" name="Flecha: a la derecha 5">
          <a:extLst>
            <a:ext uri="{FF2B5EF4-FFF2-40B4-BE49-F238E27FC236}">
              <a16:creationId xmlns:a16="http://schemas.microsoft.com/office/drawing/2014/main" id="{FE38BDCE-E0F8-44D7-B708-F58F4A73BD00}"/>
            </a:ext>
          </a:extLst>
        </xdr:cNvPr>
        <xdr:cNvSpPr/>
      </xdr:nvSpPr>
      <xdr:spPr>
        <a:xfrm>
          <a:off x="7581900" y="186690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68580</xdr:colOff>
      <xdr:row>16</xdr:row>
      <xdr:rowOff>30480</xdr:rowOff>
    </xdr:from>
    <xdr:to>
      <xdr:col>7</xdr:col>
      <xdr:colOff>381000</xdr:colOff>
      <xdr:row>16</xdr:row>
      <xdr:rowOff>144780</xdr:rowOff>
    </xdr:to>
    <xdr:sp macro="" textlink="">
      <xdr:nvSpPr>
        <xdr:cNvPr id="2" name="Flecha: a la derecha 1">
          <a:extLst>
            <a:ext uri="{FF2B5EF4-FFF2-40B4-BE49-F238E27FC236}">
              <a16:creationId xmlns:a16="http://schemas.microsoft.com/office/drawing/2014/main" id="{94DA52F0-0287-4140-A404-30902E5D4A4F}"/>
            </a:ext>
          </a:extLst>
        </xdr:cNvPr>
        <xdr:cNvSpPr/>
      </xdr:nvSpPr>
      <xdr:spPr>
        <a:xfrm>
          <a:off x="7574280" y="24079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0</xdr:col>
      <xdr:colOff>0</xdr:colOff>
      <xdr:row>0</xdr:row>
      <xdr:rowOff>0</xdr:rowOff>
    </xdr:from>
    <xdr:to>
      <xdr:col>1</xdr:col>
      <xdr:colOff>1425</xdr:colOff>
      <xdr:row>3</xdr:row>
      <xdr:rowOff>77625</xdr:rowOff>
    </xdr:to>
    <xdr:pic>
      <xdr:nvPicPr>
        <xdr:cNvPr id="7" name="Imagen 6">
          <a:extLst>
            <a:ext uri="{FF2B5EF4-FFF2-40B4-BE49-F238E27FC236}">
              <a16:creationId xmlns:a16="http://schemas.microsoft.com/office/drawing/2014/main" id="{DCAEBCF1-E985-43EB-AF30-66C3669F830A}"/>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7</xdr:col>
      <xdr:colOff>76200</xdr:colOff>
      <xdr:row>8</xdr:row>
      <xdr:rowOff>38100</xdr:rowOff>
    </xdr:from>
    <xdr:to>
      <xdr:col>7</xdr:col>
      <xdr:colOff>388620</xdr:colOff>
      <xdr:row>8</xdr:row>
      <xdr:rowOff>152400</xdr:rowOff>
    </xdr:to>
    <xdr:sp macro="" textlink="">
      <xdr:nvSpPr>
        <xdr:cNvPr id="3" name="Flecha: a la derecha 2">
          <a:extLst>
            <a:ext uri="{FF2B5EF4-FFF2-40B4-BE49-F238E27FC236}">
              <a16:creationId xmlns:a16="http://schemas.microsoft.com/office/drawing/2014/main" id="{D7331761-8FE9-456C-84F5-024B35227ED5}"/>
            </a:ext>
          </a:extLst>
        </xdr:cNvPr>
        <xdr:cNvSpPr/>
      </xdr:nvSpPr>
      <xdr:spPr>
        <a:xfrm>
          <a:off x="7581900" y="4038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76200</xdr:colOff>
      <xdr:row>9</xdr:row>
      <xdr:rowOff>38100</xdr:rowOff>
    </xdr:from>
    <xdr:to>
      <xdr:col>7</xdr:col>
      <xdr:colOff>388620</xdr:colOff>
      <xdr:row>9</xdr:row>
      <xdr:rowOff>152400</xdr:rowOff>
    </xdr:to>
    <xdr:sp macro="" textlink="">
      <xdr:nvSpPr>
        <xdr:cNvPr id="4" name="Flecha: a la derecha 3">
          <a:extLst>
            <a:ext uri="{FF2B5EF4-FFF2-40B4-BE49-F238E27FC236}">
              <a16:creationId xmlns:a16="http://schemas.microsoft.com/office/drawing/2014/main" id="{30847F0D-5593-4CFA-B5F7-8D02A3DEBE4E}"/>
            </a:ext>
          </a:extLst>
        </xdr:cNvPr>
        <xdr:cNvSpPr/>
      </xdr:nvSpPr>
      <xdr:spPr>
        <a:xfrm>
          <a:off x="7581900" y="58674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60960</xdr:colOff>
      <xdr:row>11</xdr:row>
      <xdr:rowOff>22860</xdr:rowOff>
    </xdr:from>
    <xdr:to>
      <xdr:col>7</xdr:col>
      <xdr:colOff>373380</xdr:colOff>
      <xdr:row>11</xdr:row>
      <xdr:rowOff>137160</xdr:rowOff>
    </xdr:to>
    <xdr:sp macro="" textlink="">
      <xdr:nvSpPr>
        <xdr:cNvPr id="5" name="Flecha: a la derecha 4">
          <a:extLst>
            <a:ext uri="{FF2B5EF4-FFF2-40B4-BE49-F238E27FC236}">
              <a16:creationId xmlns:a16="http://schemas.microsoft.com/office/drawing/2014/main" id="{EBF449AD-9E28-4C65-84E1-05D895358756}"/>
            </a:ext>
          </a:extLst>
        </xdr:cNvPr>
        <xdr:cNvSpPr/>
      </xdr:nvSpPr>
      <xdr:spPr>
        <a:xfrm>
          <a:off x="7566660" y="9372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68580</xdr:colOff>
      <xdr:row>14</xdr:row>
      <xdr:rowOff>30480</xdr:rowOff>
    </xdr:from>
    <xdr:to>
      <xdr:col>7</xdr:col>
      <xdr:colOff>381000</xdr:colOff>
      <xdr:row>14</xdr:row>
      <xdr:rowOff>144780</xdr:rowOff>
    </xdr:to>
    <xdr:sp macro="" textlink="">
      <xdr:nvSpPr>
        <xdr:cNvPr id="6" name="Flecha: a la derecha 5">
          <a:extLst>
            <a:ext uri="{FF2B5EF4-FFF2-40B4-BE49-F238E27FC236}">
              <a16:creationId xmlns:a16="http://schemas.microsoft.com/office/drawing/2014/main" id="{B056D82B-4166-4C23-B110-0BCFD447BFC8}"/>
            </a:ext>
          </a:extLst>
        </xdr:cNvPr>
        <xdr:cNvSpPr/>
      </xdr:nvSpPr>
      <xdr:spPr>
        <a:xfrm>
          <a:off x="7574280" y="14935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91440</xdr:colOff>
      <xdr:row>16</xdr:row>
      <xdr:rowOff>30480</xdr:rowOff>
    </xdr:from>
    <xdr:to>
      <xdr:col>7</xdr:col>
      <xdr:colOff>403860</xdr:colOff>
      <xdr:row>16</xdr:row>
      <xdr:rowOff>144780</xdr:rowOff>
    </xdr:to>
    <xdr:sp macro="" textlink="">
      <xdr:nvSpPr>
        <xdr:cNvPr id="7" name="Flecha: a la derecha 6">
          <a:extLst>
            <a:ext uri="{FF2B5EF4-FFF2-40B4-BE49-F238E27FC236}">
              <a16:creationId xmlns:a16="http://schemas.microsoft.com/office/drawing/2014/main" id="{01234826-935F-4F7C-87F1-2E877E227DA8}"/>
            </a:ext>
          </a:extLst>
        </xdr:cNvPr>
        <xdr:cNvSpPr/>
      </xdr:nvSpPr>
      <xdr:spPr>
        <a:xfrm>
          <a:off x="7780020" y="277368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76200</xdr:colOff>
      <xdr:row>13</xdr:row>
      <xdr:rowOff>22860</xdr:rowOff>
    </xdr:from>
    <xdr:to>
      <xdr:col>7</xdr:col>
      <xdr:colOff>388620</xdr:colOff>
      <xdr:row>13</xdr:row>
      <xdr:rowOff>137160</xdr:rowOff>
    </xdr:to>
    <xdr:sp macro="" textlink="">
      <xdr:nvSpPr>
        <xdr:cNvPr id="8" name="Flecha: a la derecha 7">
          <a:extLst>
            <a:ext uri="{FF2B5EF4-FFF2-40B4-BE49-F238E27FC236}">
              <a16:creationId xmlns:a16="http://schemas.microsoft.com/office/drawing/2014/main" id="{CF86BA6C-1294-4894-B5A8-F464797BCD90}"/>
            </a:ext>
          </a:extLst>
        </xdr:cNvPr>
        <xdr:cNvSpPr/>
      </xdr:nvSpPr>
      <xdr:spPr>
        <a:xfrm>
          <a:off x="7764780" y="22174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83820</xdr:colOff>
      <xdr:row>18</xdr:row>
      <xdr:rowOff>30480</xdr:rowOff>
    </xdr:from>
    <xdr:to>
      <xdr:col>7</xdr:col>
      <xdr:colOff>396240</xdr:colOff>
      <xdr:row>18</xdr:row>
      <xdr:rowOff>144780</xdr:rowOff>
    </xdr:to>
    <xdr:sp macro="" textlink="">
      <xdr:nvSpPr>
        <xdr:cNvPr id="2" name="Flecha: a la derecha 1">
          <a:extLst>
            <a:ext uri="{FF2B5EF4-FFF2-40B4-BE49-F238E27FC236}">
              <a16:creationId xmlns:a16="http://schemas.microsoft.com/office/drawing/2014/main" id="{842DEB23-9040-46C0-97E8-2FA346DDD93D}"/>
            </a:ext>
          </a:extLst>
        </xdr:cNvPr>
        <xdr:cNvSpPr/>
      </xdr:nvSpPr>
      <xdr:spPr>
        <a:xfrm>
          <a:off x="7772400" y="313944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99060</xdr:colOff>
      <xdr:row>19</xdr:row>
      <xdr:rowOff>30480</xdr:rowOff>
    </xdr:from>
    <xdr:to>
      <xdr:col>7</xdr:col>
      <xdr:colOff>411480</xdr:colOff>
      <xdr:row>19</xdr:row>
      <xdr:rowOff>144780</xdr:rowOff>
    </xdr:to>
    <xdr:sp macro="" textlink="">
      <xdr:nvSpPr>
        <xdr:cNvPr id="9" name="Flecha: a la derecha 8">
          <a:extLst>
            <a:ext uri="{FF2B5EF4-FFF2-40B4-BE49-F238E27FC236}">
              <a16:creationId xmlns:a16="http://schemas.microsoft.com/office/drawing/2014/main" id="{E16D39DC-55FA-4362-92AD-4CE560E51C01}"/>
            </a:ext>
          </a:extLst>
        </xdr:cNvPr>
        <xdr:cNvSpPr/>
      </xdr:nvSpPr>
      <xdr:spPr>
        <a:xfrm>
          <a:off x="7787640" y="33223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0</xdr:col>
      <xdr:colOff>0</xdr:colOff>
      <xdr:row>0</xdr:row>
      <xdr:rowOff>0</xdr:rowOff>
    </xdr:from>
    <xdr:to>
      <xdr:col>1</xdr:col>
      <xdr:colOff>10950</xdr:colOff>
      <xdr:row>3</xdr:row>
      <xdr:rowOff>77625</xdr:rowOff>
    </xdr:to>
    <xdr:pic>
      <xdr:nvPicPr>
        <xdr:cNvPr id="10" name="Imagen 9">
          <a:extLst>
            <a:ext uri="{FF2B5EF4-FFF2-40B4-BE49-F238E27FC236}">
              <a16:creationId xmlns:a16="http://schemas.microsoft.com/office/drawing/2014/main" id="{D83AD53C-2D44-439D-8641-3AA7A63F2DA4}"/>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8</xdr:col>
      <xdr:colOff>45720</xdr:colOff>
      <xdr:row>52</xdr:row>
      <xdr:rowOff>38100</xdr:rowOff>
    </xdr:from>
    <xdr:to>
      <xdr:col>8</xdr:col>
      <xdr:colOff>358140</xdr:colOff>
      <xdr:row>52</xdr:row>
      <xdr:rowOff>152400</xdr:rowOff>
    </xdr:to>
    <xdr:sp macro="" textlink="">
      <xdr:nvSpPr>
        <xdr:cNvPr id="2" name="Flecha: a la derecha 1">
          <a:extLst>
            <a:ext uri="{FF2B5EF4-FFF2-40B4-BE49-F238E27FC236}">
              <a16:creationId xmlns:a16="http://schemas.microsoft.com/office/drawing/2014/main" id="{9F91D9B1-4F27-4B1B-87FF-CE77030DA496}"/>
            </a:ext>
          </a:extLst>
        </xdr:cNvPr>
        <xdr:cNvSpPr/>
      </xdr:nvSpPr>
      <xdr:spPr>
        <a:xfrm>
          <a:off x="7734300" y="49758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76200</xdr:colOff>
      <xdr:row>38</xdr:row>
      <xdr:rowOff>45720</xdr:rowOff>
    </xdr:from>
    <xdr:to>
      <xdr:col>8</xdr:col>
      <xdr:colOff>388620</xdr:colOff>
      <xdr:row>38</xdr:row>
      <xdr:rowOff>160020</xdr:rowOff>
    </xdr:to>
    <xdr:sp macro="" textlink="">
      <xdr:nvSpPr>
        <xdr:cNvPr id="3" name="Flecha: a la derecha 2">
          <a:extLst>
            <a:ext uri="{FF2B5EF4-FFF2-40B4-BE49-F238E27FC236}">
              <a16:creationId xmlns:a16="http://schemas.microsoft.com/office/drawing/2014/main" id="{6D6F1C4B-D70E-4844-94EA-BBB7798349A0}"/>
            </a:ext>
          </a:extLst>
        </xdr:cNvPr>
        <xdr:cNvSpPr/>
      </xdr:nvSpPr>
      <xdr:spPr>
        <a:xfrm>
          <a:off x="8679180" y="24231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83820</xdr:colOff>
      <xdr:row>40</xdr:row>
      <xdr:rowOff>22860</xdr:rowOff>
    </xdr:from>
    <xdr:to>
      <xdr:col>8</xdr:col>
      <xdr:colOff>396240</xdr:colOff>
      <xdr:row>40</xdr:row>
      <xdr:rowOff>137160</xdr:rowOff>
    </xdr:to>
    <xdr:sp macro="" textlink="">
      <xdr:nvSpPr>
        <xdr:cNvPr id="4" name="Flecha: a la derecha 3">
          <a:extLst>
            <a:ext uri="{FF2B5EF4-FFF2-40B4-BE49-F238E27FC236}">
              <a16:creationId xmlns:a16="http://schemas.microsoft.com/office/drawing/2014/main" id="{6DAC3422-8CDB-4D81-8E39-83228D9F34F9}"/>
            </a:ext>
          </a:extLst>
        </xdr:cNvPr>
        <xdr:cNvSpPr/>
      </xdr:nvSpPr>
      <xdr:spPr>
        <a:xfrm>
          <a:off x="8862060" y="31318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68580</xdr:colOff>
      <xdr:row>37</xdr:row>
      <xdr:rowOff>45720</xdr:rowOff>
    </xdr:from>
    <xdr:to>
      <xdr:col>8</xdr:col>
      <xdr:colOff>381000</xdr:colOff>
      <xdr:row>37</xdr:row>
      <xdr:rowOff>160020</xdr:rowOff>
    </xdr:to>
    <xdr:sp macro="" textlink="">
      <xdr:nvSpPr>
        <xdr:cNvPr id="5" name="Flecha: a la derecha 4">
          <a:extLst>
            <a:ext uri="{FF2B5EF4-FFF2-40B4-BE49-F238E27FC236}">
              <a16:creationId xmlns:a16="http://schemas.microsoft.com/office/drawing/2014/main" id="{749383C3-0A67-4D70-B135-A92E2A8D2D61}"/>
            </a:ext>
          </a:extLst>
        </xdr:cNvPr>
        <xdr:cNvSpPr/>
      </xdr:nvSpPr>
      <xdr:spPr>
        <a:xfrm>
          <a:off x="8671560" y="224028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76200</xdr:colOff>
      <xdr:row>34</xdr:row>
      <xdr:rowOff>22860</xdr:rowOff>
    </xdr:from>
    <xdr:to>
      <xdr:col>8</xdr:col>
      <xdr:colOff>365760</xdr:colOff>
      <xdr:row>35</xdr:row>
      <xdr:rowOff>160020</xdr:rowOff>
    </xdr:to>
    <xdr:sp macro="" textlink="">
      <xdr:nvSpPr>
        <xdr:cNvPr id="6" name="Cerrar llave 5">
          <a:extLst>
            <a:ext uri="{FF2B5EF4-FFF2-40B4-BE49-F238E27FC236}">
              <a16:creationId xmlns:a16="http://schemas.microsoft.com/office/drawing/2014/main" id="{39EE592A-6F99-43A1-B059-06DAB6B57FE6}"/>
            </a:ext>
          </a:extLst>
        </xdr:cNvPr>
        <xdr:cNvSpPr/>
      </xdr:nvSpPr>
      <xdr:spPr>
        <a:xfrm>
          <a:off x="8854440" y="6629400"/>
          <a:ext cx="289560" cy="32004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O" sz="1100" kern="1200"/>
        </a:p>
      </xdr:txBody>
    </xdr:sp>
    <xdr:clientData/>
  </xdr:twoCellAnchor>
  <xdr:twoCellAnchor>
    <xdr:from>
      <xdr:col>8</xdr:col>
      <xdr:colOff>83820</xdr:colOff>
      <xdr:row>41</xdr:row>
      <xdr:rowOff>45720</xdr:rowOff>
    </xdr:from>
    <xdr:to>
      <xdr:col>8</xdr:col>
      <xdr:colOff>396240</xdr:colOff>
      <xdr:row>41</xdr:row>
      <xdr:rowOff>160020</xdr:rowOff>
    </xdr:to>
    <xdr:sp macro="" textlink="">
      <xdr:nvSpPr>
        <xdr:cNvPr id="7" name="Flecha: a la derecha 6">
          <a:extLst>
            <a:ext uri="{FF2B5EF4-FFF2-40B4-BE49-F238E27FC236}">
              <a16:creationId xmlns:a16="http://schemas.microsoft.com/office/drawing/2014/main" id="{23D9175C-05A6-49B3-BBD3-D290E0642A63}"/>
            </a:ext>
          </a:extLst>
        </xdr:cNvPr>
        <xdr:cNvSpPr/>
      </xdr:nvSpPr>
      <xdr:spPr>
        <a:xfrm>
          <a:off x="8862060" y="315468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91440</xdr:colOff>
      <xdr:row>42</xdr:row>
      <xdr:rowOff>45720</xdr:rowOff>
    </xdr:from>
    <xdr:to>
      <xdr:col>8</xdr:col>
      <xdr:colOff>403860</xdr:colOff>
      <xdr:row>42</xdr:row>
      <xdr:rowOff>160020</xdr:rowOff>
    </xdr:to>
    <xdr:sp macro="" textlink="">
      <xdr:nvSpPr>
        <xdr:cNvPr id="8" name="Flecha: a la derecha 7">
          <a:extLst>
            <a:ext uri="{FF2B5EF4-FFF2-40B4-BE49-F238E27FC236}">
              <a16:creationId xmlns:a16="http://schemas.microsoft.com/office/drawing/2014/main" id="{57761F7F-97D1-4756-9EFB-354B6885AAEF}"/>
            </a:ext>
          </a:extLst>
        </xdr:cNvPr>
        <xdr:cNvSpPr/>
      </xdr:nvSpPr>
      <xdr:spPr>
        <a:xfrm>
          <a:off x="8869680" y="574548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91440</xdr:colOff>
      <xdr:row>43</xdr:row>
      <xdr:rowOff>30480</xdr:rowOff>
    </xdr:from>
    <xdr:to>
      <xdr:col>8</xdr:col>
      <xdr:colOff>403860</xdr:colOff>
      <xdr:row>43</xdr:row>
      <xdr:rowOff>144780</xdr:rowOff>
    </xdr:to>
    <xdr:sp macro="" textlink="">
      <xdr:nvSpPr>
        <xdr:cNvPr id="9" name="Flecha: a la derecha 8">
          <a:extLst>
            <a:ext uri="{FF2B5EF4-FFF2-40B4-BE49-F238E27FC236}">
              <a16:creationId xmlns:a16="http://schemas.microsoft.com/office/drawing/2014/main" id="{F6F0E5D3-9B0F-4E80-8D54-65A591876D56}"/>
            </a:ext>
          </a:extLst>
        </xdr:cNvPr>
        <xdr:cNvSpPr/>
      </xdr:nvSpPr>
      <xdr:spPr>
        <a:xfrm>
          <a:off x="8869680" y="61036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91440</xdr:colOff>
      <xdr:row>44</xdr:row>
      <xdr:rowOff>38100</xdr:rowOff>
    </xdr:from>
    <xdr:to>
      <xdr:col>8</xdr:col>
      <xdr:colOff>403860</xdr:colOff>
      <xdr:row>44</xdr:row>
      <xdr:rowOff>152400</xdr:rowOff>
    </xdr:to>
    <xdr:sp macro="" textlink="">
      <xdr:nvSpPr>
        <xdr:cNvPr id="10" name="Flecha: a la derecha 9">
          <a:extLst>
            <a:ext uri="{FF2B5EF4-FFF2-40B4-BE49-F238E27FC236}">
              <a16:creationId xmlns:a16="http://schemas.microsoft.com/office/drawing/2014/main" id="{4D5C375A-7BEA-423A-8AB9-CEDA4A574BB7}"/>
            </a:ext>
          </a:extLst>
        </xdr:cNvPr>
        <xdr:cNvSpPr/>
      </xdr:nvSpPr>
      <xdr:spPr>
        <a:xfrm>
          <a:off x="8869680" y="62941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76200</xdr:colOff>
      <xdr:row>47</xdr:row>
      <xdr:rowOff>45720</xdr:rowOff>
    </xdr:from>
    <xdr:to>
      <xdr:col>8</xdr:col>
      <xdr:colOff>388620</xdr:colOff>
      <xdr:row>47</xdr:row>
      <xdr:rowOff>160020</xdr:rowOff>
    </xdr:to>
    <xdr:sp macro="" textlink="">
      <xdr:nvSpPr>
        <xdr:cNvPr id="12" name="Flecha: a la derecha 11">
          <a:extLst>
            <a:ext uri="{FF2B5EF4-FFF2-40B4-BE49-F238E27FC236}">
              <a16:creationId xmlns:a16="http://schemas.microsoft.com/office/drawing/2014/main" id="{AF6114EC-914F-4DD7-A741-AE9F1599662D}"/>
            </a:ext>
          </a:extLst>
        </xdr:cNvPr>
        <xdr:cNvSpPr/>
      </xdr:nvSpPr>
      <xdr:spPr>
        <a:xfrm>
          <a:off x="8854440" y="902970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83820</xdr:colOff>
      <xdr:row>48</xdr:row>
      <xdr:rowOff>38100</xdr:rowOff>
    </xdr:from>
    <xdr:to>
      <xdr:col>8</xdr:col>
      <xdr:colOff>396240</xdr:colOff>
      <xdr:row>48</xdr:row>
      <xdr:rowOff>152400</xdr:rowOff>
    </xdr:to>
    <xdr:sp macro="" textlink="">
      <xdr:nvSpPr>
        <xdr:cNvPr id="13" name="Flecha: a la derecha 12">
          <a:extLst>
            <a:ext uri="{FF2B5EF4-FFF2-40B4-BE49-F238E27FC236}">
              <a16:creationId xmlns:a16="http://schemas.microsoft.com/office/drawing/2014/main" id="{EB4AEAE8-267E-47F5-9AD4-C34EC2BA5F4A}"/>
            </a:ext>
          </a:extLst>
        </xdr:cNvPr>
        <xdr:cNvSpPr/>
      </xdr:nvSpPr>
      <xdr:spPr>
        <a:xfrm>
          <a:off x="8862060" y="92049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76200</xdr:colOff>
      <xdr:row>49</xdr:row>
      <xdr:rowOff>45720</xdr:rowOff>
    </xdr:from>
    <xdr:to>
      <xdr:col>8</xdr:col>
      <xdr:colOff>388620</xdr:colOff>
      <xdr:row>49</xdr:row>
      <xdr:rowOff>160020</xdr:rowOff>
    </xdr:to>
    <xdr:sp macro="" textlink="">
      <xdr:nvSpPr>
        <xdr:cNvPr id="14" name="Flecha: a la derecha 13">
          <a:extLst>
            <a:ext uri="{FF2B5EF4-FFF2-40B4-BE49-F238E27FC236}">
              <a16:creationId xmlns:a16="http://schemas.microsoft.com/office/drawing/2014/main" id="{F8ABE8F4-58F9-492D-BFD0-4CD3C96F7236}"/>
            </a:ext>
          </a:extLst>
        </xdr:cNvPr>
        <xdr:cNvSpPr/>
      </xdr:nvSpPr>
      <xdr:spPr>
        <a:xfrm>
          <a:off x="8854440" y="93954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160020</xdr:colOff>
      <xdr:row>21</xdr:row>
      <xdr:rowOff>30480</xdr:rowOff>
    </xdr:from>
    <xdr:to>
      <xdr:col>7</xdr:col>
      <xdr:colOff>449580</xdr:colOff>
      <xdr:row>27</xdr:row>
      <xdr:rowOff>152400</xdr:rowOff>
    </xdr:to>
    <xdr:sp macro="" textlink="">
      <xdr:nvSpPr>
        <xdr:cNvPr id="15" name="Cerrar llave 14">
          <a:extLst>
            <a:ext uri="{FF2B5EF4-FFF2-40B4-BE49-F238E27FC236}">
              <a16:creationId xmlns:a16="http://schemas.microsoft.com/office/drawing/2014/main" id="{23304190-C895-4335-90DA-38F2FCD2A6B9}"/>
            </a:ext>
          </a:extLst>
        </xdr:cNvPr>
        <xdr:cNvSpPr/>
      </xdr:nvSpPr>
      <xdr:spPr>
        <a:xfrm>
          <a:off x="7970520" y="4396740"/>
          <a:ext cx="289560" cy="121920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O" sz="1100" kern="1200"/>
        </a:p>
      </xdr:txBody>
    </xdr:sp>
    <xdr:clientData/>
  </xdr:twoCellAnchor>
  <xdr:twoCellAnchor>
    <xdr:from>
      <xdr:col>7</xdr:col>
      <xdr:colOff>137160</xdr:colOff>
      <xdr:row>11</xdr:row>
      <xdr:rowOff>22860</xdr:rowOff>
    </xdr:from>
    <xdr:to>
      <xdr:col>7</xdr:col>
      <xdr:colOff>426720</xdr:colOff>
      <xdr:row>17</xdr:row>
      <xdr:rowOff>144780</xdr:rowOff>
    </xdr:to>
    <xdr:sp macro="" textlink="">
      <xdr:nvSpPr>
        <xdr:cNvPr id="16" name="Cerrar llave 15">
          <a:extLst>
            <a:ext uri="{FF2B5EF4-FFF2-40B4-BE49-F238E27FC236}">
              <a16:creationId xmlns:a16="http://schemas.microsoft.com/office/drawing/2014/main" id="{B372F073-0B3D-4F01-8979-529E8284A9B4}"/>
            </a:ext>
          </a:extLst>
        </xdr:cNvPr>
        <xdr:cNvSpPr/>
      </xdr:nvSpPr>
      <xdr:spPr>
        <a:xfrm>
          <a:off x="7947660" y="2392680"/>
          <a:ext cx="289560" cy="121920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O" sz="1100" kern="1200"/>
        </a:p>
      </xdr:txBody>
    </xdr:sp>
    <xdr:clientData/>
  </xdr:twoCellAnchor>
  <xdr:twoCellAnchor editAs="oneCell">
    <xdr:from>
      <xdr:col>0</xdr:col>
      <xdr:colOff>0</xdr:colOff>
      <xdr:row>0</xdr:row>
      <xdr:rowOff>0</xdr:rowOff>
    </xdr:from>
    <xdr:to>
      <xdr:col>1</xdr:col>
      <xdr:colOff>1425</xdr:colOff>
      <xdr:row>3</xdr:row>
      <xdr:rowOff>77625</xdr:rowOff>
    </xdr:to>
    <xdr:pic>
      <xdr:nvPicPr>
        <xdr:cNvPr id="11" name="Imagen 10">
          <a:extLst>
            <a:ext uri="{FF2B5EF4-FFF2-40B4-BE49-F238E27FC236}">
              <a16:creationId xmlns:a16="http://schemas.microsoft.com/office/drawing/2014/main" id="{C86CBC96-3D07-46F9-8D5B-3CDE0A9BECE9}"/>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8</xdr:col>
      <xdr:colOff>60960</xdr:colOff>
      <xdr:row>11</xdr:row>
      <xdr:rowOff>45720</xdr:rowOff>
    </xdr:from>
    <xdr:to>
      <xdr:col>8</xdr:col>
      <xdr:colOff>373380</xdr:colOff>
      <xdr:row>11</xdr:row>
      <xdr:rowOff>160020</xdr:rowOff>
    </xdr:to>
    <xdr:sp macro="" textlink="">
      <xdr:nvSpPr>
        <xdr:cNvPr id="3" name="Flecha: a la derecha 2">
          <a:extLst>
            <a:ext uri="{FF2B5EF4-FFF2-40B4-BE49-F238E27FC236}">
              <a16:creationId xmlns:a16="http://schemas.microsoft.com/office/drawing/2014/main" id="{6D0954C4-E03C-4A91-88ED-46E8628C79E6}"/>
            </a:ext>
          </a:extLst>
        </xdr:cNvPr>
        <xdr:cNvSpPr/>
      </xdr:nvSpPr>
      <xdr:spPr>
        <a:xfrm>
          <a:off x="8839200" y="169164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68580</xdr:colOff>
      <xdr:row>12</xdr:row>
      <xdr:rowOff>45720</xdr:rowOff>
    </xdr:from>
    <xdr:to>
      <xdr:col>8</xdr:col>
      <xdr:colOff>381000</xdr:colOff>
      <xdr:row>12</xdr:row>
      <xdr:rowOff>160020</xdr:rowOff>
    </xdr:to>
    <xdr:sp macro="" textlink="">
      <xdr:nvSpPr>
        <xdr:cNvPr id="4" name="Flecha: a la derecha 3">
          <a:extLst>
            <a:ext uri="{FF2B5EF4-FFF2-40B4-BE49-F238E27FC236}">
              <a16:creationId xmlns:a16="http://schemas.microsoft.com/office/drawing/2014/main" id="{C800492A-CFD4-496D-8B1A-B7A9F2A9F5DF}"/>
            </a:ext>
          </a:extLst>
        </xdr:cNvPr>
        <xdr:cNvSpPr/>
      </xdr:nvSpPr>
      <xdr:spPr>
        <a:xfrm>
          <a:off x="8846820" y="18745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68580</xdr:colOff>
      <xdr:row>9</xdr:row>
      <xdr:rowOff>45720</xdr:rowOff>
    </xdr:from>
    <xdr:to>
      <xdr:col>8</xdr:col>
      <xdr:colOff>381000</xdr:colOff>
      <xdr:row>9</xdr:row>
      <xdr:rowOff>160020</xdr:rowOff>
    </xdr:to>
    <xdr:sp macro="" textlink="">
      <xdr:nvSpPr>
        <xdr:cNvPr id="5" name="Flecha: a la derecha 4">
          <a:extLst>
            <a:ext uri="{FF2B5EF4-FFF2-40B4-BE49-F238E27FC236}">
              <a16:creationId xmlns:a16="http://schemas.microsoft.com/office/drawing/2014/main" id="{A11AEA91-FE9A-43B2-BB5A-5963AD7A8BFE}"/>
            </a:ext>
          </a:extLst>
        </xdr:cNvPr>
        <xdr:cNvSpPr/>
      </xdr:nvSpPr>
      <xdr:spPr>
        <a:xfrm>
          <a:off x="8846820" y="132588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83820</xdr:colOff>
      <xdr:row>31</xdr:row>
      <xdr:rowOff>38100</xdr:rowOff>
    </xdr:from>
    <xdr:to>
      <xdr:col>8</xdr:col>
      <xdr:colOff>396240</xdr:colOff>
      <xdr:row>31</xdr:row>
      <xdr:rowOff>152400</xdr:rowOff>
    </xdr:to>
    <xdr:sp macro="" textlink="">
      <xdr:nvSpPr>
        <xdr:cNvPr id="8" name="Flecha: a la derecha 7">
          <a:extLst>
            <a:ext uri="{FF2B5EF4-FFF2-40B4-BE49-F238E27FC236}">
              <a16:creationId xmlns:a16="http://schemas.microsoft.com/office/drawing/2014/main" id="{B1C8D18C-2E78-4089-A1DB-EE2E01255198}"/>
            </a:ext>
          </a:extLst>
        </xdr:cNvPr>
        <xdr:cNvSpPr/>
      </xdr:nvSpPr>
      <xdr:spPr>
        <a:xfrm>
          <a:off x="8945880" y="53416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91440</xdr:colOff>
      <xdr:row>30</xdr:row>
      <xdr:rowOff>53340</xdr:rowOff>
    </xdr:from>
    <xdr:to>
      <xdr:col>8</xdr:col>
      <xdr:colOff>403860</xdr:colOff>
      <xdr:row>30</xdr:row>
      <xdr:rowOff>167640</xdr:rowOff>
    </xdr:to>
    <xdr:sp macro="" textlink="">
      <xdr:nvSpPr>
        <xdr:cNvPr id="9" name="Flecha: a la derecha 8">
          <a:extLst>
            <a:ext uri="{FF2B5EF4-FFF2-40B4-BE49-F238E27FC236}">
              <a16:creationId xmlns:a16="http://schemas.microsoft.com/office/drawing/2014/main" id="{AF3C15CD-D5BB-4F7A-840C-05EC53E4716B}"/>
            </a:ext>
          </a:extLst>
        </xdr:cNvPr>
        <xdr:cNvSpPr/>
      </xdr:nvSpPr>
      <xdr:spPr>
        <a:xfrm>
          <a:off x="8869680" y="499110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68580</xdr:colOff>
      <xdr:row>43</xdr:row>
      <xdr:rowOff>45720</xdr:rowOff>
    </xdr:from>
    <xdr:to>
      <xdr:col>8</xdr:col>
      <xdr:colOff>381000</xdr:colOff>
      <xdr:row>43</xdr:row>
      <xdr:rowOff>160020</xdr:rowOff>
    </xdr:to>
    <xdr:sp macro="" textlink="">
      <xdr:nvSpPr>
        <xdr:cNvPr id="12" name="Flecha: a la derecha 11">
          <a:extLst>
            <a:ext uri="{FF2B5EF4-FFF2-40B4-BE49-F238E27FC236}">
              <a16:creationId xmlns:a16="http://schemas.microsoft.com/office/drawing/2014/main" id="{91578929-326A-4E16-A317-E1D43432C75D}"/>
            </a:ext>
          </a:extLst>
        </xdr:cNvPr>
        <xdr:cNvSpPr/>
      </xdr:nvSpPr>
      <xdr:spPr>
        <a:xfrm>
          <a:off x="8930640" y="73609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76200</xdr:colOff>
      <xdr:row>36</xdr:row>
      <xdr:rowOff>60960</xdr:rowOff>
    </xdr:from>
    <xdr:to>
      <xdr:col>8</xdr:col>
      <xdr:colOff>388620</xdr:colOff>
      <xdr:row>36</xdr:row>
      <xdr:rowOff>175260</xdr:rowOff>
    </xdr:to>
    <xdr:sp macro="" textlink="">
      <xdr:nvSpPr>
        <xdr:cNvPr id="13" name="Flecha: a la derecha 12">
          <a:extLst>
            <a:ext uri="{FF2B5EF4-FFF2-40B4-BE49-F238E27FC236}">
              <a16:creationId xmlns:a16="http://schemas.microsoft.com/office/drawing/2014/main" id="{FB762C57-9FD4-4757-8F11-47ECA07D618C}"/>
            </a:ext>
          </a:extLst>
        </xdr:cNvPr>
        <xdr:cNvSpPr/>
      </xdr:nvSpPr>
      <xdr:spPr>
        <a:xfrm>
          <a:off x="8938260" y="627888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68580</xdr:colOff>
      <xdr:row>10</xdr:row>
      <xdr:rowOff>45720</xdr:rowOff>
    </xdr:from>
    <xdr:to>
      <xdr:col>8</xdr:col>
      <xdr:colOff>381000</xdr:colOff>
      <xdr:row>10</xdr:row>
      <xdr:rowOff>160020</xdr:rowOff>
    </xdr:to>
    <xdr:sp macro="" textlink="">
      <xdr:nvSpPr>
        <xdr:cNvPr id="14" name="Flecha: a la derecha 13">
          <a:extLst>
            <a:ext uri="{FF2B5EF4-FFF2-40B4-BE49-F238E27FC236}">
              <a16:creationId xmlns:a16="http://schemas.microsoft.com/office/drawing/2014/main" id="{BAE72C62-E182-4680-BC7A-CE3D06BBE063}"/>
            </a:ext>
          </a:extLst>
        </xdr:cNvPr>
        <xdr:cNvSpPr/>
      </xdr:nvSpPr>
      <xdr:spPr>
        <a:xfrm>
          <a:off x="8846820" y="150876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45720</xdr:colOff>
      <xdr:row>13</xdr:row>
      <xdr:rowOff>47625</xdr:rowOff>
    </xdr:from>
    <xdr:to>
      <xdr:col>8</xdr:col>
      <xdr:colOff>358140</xdr:colOff>
      <xdr:row>13</xdr:row>
      <xdr:rowOff>161925</xdr:rowOff>
    </xdr:to>
    <xdr:sp macro="" textlink="">
      <xdr:nvSpPr>
        <xdr:cNvPr id="16" name="Flecha: a la derecha 15">
          <a:extLst>
            <a:ext uri="{FF2B5EF4-FFF2-40B4-BE49-F238E27FC236}">
              <a16:creationId xmlns:a16="http://schemas.microsoft.com/office/drawing/2014/main" id="{2AB2C6A1-07F9-4CA4-A27E-AAD30C03826B}"/>
            </a:ext>
          </a:extLst>
        </xdr:cNvPr>
        <xdr:cNvSpPr/>
      </xdr:nvSpPr>
      <xdr:spPr>
        <a:xfrm>
          <a:off x="12037695" y="289560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68580</xdr:colOff>
      <xdr:row>45</xdr:row>
      <xdr:rowOff>30480</xdr:rowOff>
    </xdr:from>
    <xdr:to>
      <xdr:col>8</xdr:col>
      <xdr:colOff>381000</xdr:colOff>
      <xdr:row>45</xdr:row>
      <xdr:rowOff>144780</xdr:rowOff>
    </xdr:to>
    <xdr:sp macro="" textlink="">
      <xdr:nvSpPr>
        <xdr:cNvPr id="17" name="Flecha: a la derecha 16">
          <a:extLst>
            <a:ext uri="{FF2B5EF4-FFF2-40B4-BE49-F238E27FC236}">
              <a16:creationId xmlns:a16="http://schemas.microsoft.com/office/drawing/2014/main" id="{1163F687-B433-4662-939B-29BF91B6178B}"/>
            </a:ext>
          </a:extLst>
        </xdr:cNvPr>
        <xdr:cNvSpPr/>
      </xdr:nvSpPr>
      <xdr:spPr>
        <a:xfrm>
          <a:off x="8930640" y="771144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144780</xdr:colOff>
      <xdr:row>16</xdr:row>
      <xdr:rowOff>45720</xdr:rowOff>
    </xdr:from>
    <xdr:to>
      <xdr:col>9</xdr:col>
      <xdr:colOff>0</xdr:colOff>
      <xdr:row>20</xdr:row>
      <xdr:rowOff>129540</xdr:rowOff>
    </xdr:to>
    <xdr:sp macro="" textlink="">
      <xdr:nvSpPr>
        <xdr:cNvPr id="18" name="Cerrar llave 17">
          <a:extLst>
            <a:ext uri="{FF2B5EF4-FFF2-40B4-BE49-F238E27FC236}">
              <a16:creationId xmlns:a16="http://schemas.microsoft.com/office/drawing/2014/main" id="{17937BBD-D752-4FE2-96C5-F98C539E41E6}"/>
            </a:ext>
          </a:extLst>
        </xdr:cNvPr>
        <xdr:cNvSpPr/>
      </xdr:nvSpPr>
      <xdr:spPr>
        <a:xfrm>
          <a:off x="8923020" y="2423160"/>
          <a:ext cx="289560" cy="81534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O" sz="1100" kern="1200"/>
        </a:p>
      </xdr:txBody>
    </xdr:sp>
    <xdr:clientData/>
  </xdr:twoCellAnchor>
  <xdr:twoCellAnchor>
    <xdr:from>
      <xdr:col>8</xdr:col>
      <xdr:colOff>99060</xdr:colOff>
      <xdr:row>21</xdr:row>
      <xdr:rowOff>22860</xdr:rowOff>
    </xdr:from>
    <xdr:to>
      <xdr:col>8</xdr:col>
      <xdr:colOff>411480</xdr:colOff>
      <xdr:row>21</xdr:row>
      <xdr:rowOff>137160</xdr:rowOff>
    </xdr:to>
    <xdr:sp macro="" textlink="">
      <xdr:nvSpPr>
        <xdr:cNvPr id="20" name="Flecha: a la derecha 19">
          <a:extLst>
            <a:ext uri="{FF2B5EF4-FFF2-40B4-BE49-F238E27FC236}">
              <a16:creationId xmlns:a16="http://schemas.microsoft.com/office/drawing/2014/main" id="{84E0FAE1-AF2F-4596-919F-D0319F8EFA92}"/>
            </a:ext>
          </a:extLst>
        </xdr:cNvPr>
        <xdr:cNvSpPr/>
      </xdr:nvSpPr>
      <xdr:spPr>
        <a:xfrm>
          <a:off x="8961120" y="3131820"/>
          <a:ext cx="312420" cy="114300"/>
        </a:xfrm>
        <a:prstGeom prst="righ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8</xdr:col>
      <xdr:colOff>129540</xdr:colOff>
      <xdr:row>32</xdr:row>
      <xdr:rowOff>22860</xdr:rowOff>
    </xdr:from>
    <xdr:to>
      <xdr:col>8</xdr:col>
      <xdr:colOff>419100</xdr:colOff>
      <xdr:row>33</xdr:row>
      <xdr:rowOff>160020</xdr:rowOff>
    </xdr:to>
    <xdr:sp macro="" textlink="">
      <xdr:nvSpPr>
        <xdr:cNvPr id="21" name="Cerrar llave 20">
          <a:extLst>
            <a:ext uri="{FF2B5EF4-FFF2-40B4-BE49-F238E27FC236}">
              <a16:creationId xmlns:a16="http://schemas.microsoft.com/office/drawing/2014/main" id="{1C9874E1-A9A2-49AA-AA54-0DFB7C10599B}"/>
            </a:ext>
          </a:extLst>
        </xdr:cNvPr>
        <xdr:cNvSpPr/>
      </xdr:nvSpPr>
      <xdr:spPr>
        <a:xfrm>
          <a:off x="8991600" y="5509260"/>
          <a:ext cx="289560" cy="32004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O" sz="1100" kern="1200"/>
        </a:p>
      </xdr:txBody>
    </xdr:sp>
    <xdr:clientData/>
  </xdr:twoCellAnchor>
  <xdr:twoCellAnchor editAs="oneCell">
    <xdr:from>
      <xdr:col>0</xdr:col>
      <xdr:colOff>0</xdr:colOff>
      <xdr:row>0</xdr:row>
      <xdr:rowOff>0</xdr:rowOff>
    </xdr:from>
    <xdr:to>
      <xdr:col>1</xdr:col>
      <xdr:colOff>1425</xdr:colOff>
      <xdr:row>3</xdr:row>
      <xdr:rowOff>77625</xdr:rowOff>
    </xdr:to>
    <xdr:pic>
      <xdr:nvPicPr>
        <xdr:cNvPr id="2" name="Imagen 1">
          <a:extLst>
            <a:ext uri="{FF2B5EF4-FFF2-40B4-BE49-F238E27FC236}">
              <a16:creationId xmlns:a16="http://schemas.microsoft.com/office/drawing/2014/main" id="{848BF784-19B8-412D-AD92-17F7250A88CC}"/>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12700</xdr:colOff>
      <xdr:row>0</xdr:row>
      <xdr:rowOff>38100</xdr:rowOff>
    </xdr:from>
    <xdr:to>
      <xdr:col>1</xdr:col>
      <xdr:colOff>3073400</xdr:colOff>
      <xdr:row>4</xdr:row>
      <xdr:rowOff>47625</xdr:rowOff>
    </xdr:to>
    <xdr:pic>
      <xdr:nvPicPr>
        <xdr:cNvPr id="2" name="Imagen 1">
          <a:extLst>
            <a:ext uri="{FF2B5EF4-FFF2-40B4-BE49-F238E27FC236}">
              <a16:creationId xmlns:a16="http://schemas.microsoft.com/office/drawing/2014/main" id="{5C683A2C-E05C-4FD3-858C-F701AF98E5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 y="38100"/>
          <a:ext cx="382270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vea-my.sharepoint.com/Users/cadavid/Desktop/VA22-Rentas-exentas-empresas-de-economia-naranja.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vea-my.sharepoint.com/personal/marias_actualicese_com/Documents/Escritorio/M&#243;nica/1.Modelos%20y%20Formatos%20MARIAS/Nuevos-Actualizaciones-Reencauches%20MARIAS/ACTUALIZACIONES%20A%20PARTIR%20DE%20AGOSTO%202022/MF_SMA_Seguridad%20social%20independientes_publicar%20en%20dic%2019%20y%2026%20de%202022.xlsx?DE22EF17" TargetMode="External"/><Relationship Id="rId1" Type="http://schemas.openxmlformats.org/officeDocument/2006/relationships/externalLinkPath" Target="file:///\\DE22EF17\MF_SMA_Seguridad%20social%20independientes_publicar%20en%20dic%2019%20y%2026%20de%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JAIME%20FERNANDO%20DIAZ/AppData/Local/Temp/Temp1_ECC&#174;%20Indices%20Financieros.zip/ECC&#174;%20Indices%20Financiero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vea-my.sharepoint.com/Users/cadavid/Desktop/VA21-Calendario-tributario-2021-avanzado.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montagas/Dropbox/Analisis%20Financiero/Matriz_Excel_para_el_Desarrollo_de_An&#225;lisis_Financiero%20V4.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montagas/Downloads/Dashboard%20-%20Financier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Empieza aquí"/>
      <sheetName val="Introducción"/>
      <sheetName val="Actividades "/>
      <sheetName val="Material relacionado"/>
      <sheetName val="Listado completo de archivos "/>
    </sheetNames>
    <sheetDataSet>
      <sheetData sheetId="0"/>
      <sheetData sheetId="1"/>
      <sheetData sheetId="2"/>
      <sheetData sheetId="3">
        <row r="12">
          <cell r="B12" t="str">
            <v>Código actividad económica</v>
          </cell>
          <cell r="C12" t="str">
            <v>Nombre actividad económica</v>
          </cell>
        </row>
        <row r="13">
          <cell r="B13">
            <v>3210</v>
          </cell>
          <cell r="C13" t="str">
            <v>Fabricación de joyas, bisutería y artículos conexos</v>
          </cell>
        </row>
        <row r="14">
          <cell r="B14">
            <v>5811</v>
          </cell>
          <cell r="C14" t="str">
            <v>Edición de libros</v>
          </cell>
        </row>
        <row r="15">
          <cell r="B15">
            <v>5820</v>
          </cell>
          <cell r="C15" t="str">
            <v>Edición de programas de informática (software)</v>
          </cell>
        </row>
        <row r="16">
          <cell r="B16">
            <v>5911</v>
          </cell>
          <cell r="C16" t="str">
            <v>Actividades de producción de películas cinematográficas, videos, programas, anuncios y comerciales de televisión</v>
          </cell>
        </row>
        <row r="17">
          <cell r="B17">
            <v>5912</v>
          </cell>
          <cell r="C17" t="str">
            <v>Actividades de posproducción de películas cinematográficas, videos, programas, anuncios y comerciales de televisión</v>
          </cell>
        </row>
        <row r="18">
          <cell r="B18">
            <v>5913</v>
          </cell>
          <cell r="C18" t="str">
            <v>Actividades de distribución de películas cinematográficas, videos, programas, anuncios y comerciales de televisión</v>
          </cell>
        </row>
        <row r="19">
          <cell r="B19">
            <v>5914</v>
          </cell>
          <cell r="C19" t="str">
            <v>Actividades de exhibición de películas cinematográficas y videos</v>
          </cell>
        </row>
        <row r="20">
          <cell r="B20">
            <v>5920</v>
          </cell>
          <cell r="C20" t="str">
            <v>Actividades de grabación de sonido y edición de música</v>
          </cell>
        </row>
        <row r="21">
          <cell r="B21">
            <v>6010</v>
          </cell>
          <cell r="C21" t="str">
            <v>Actividades de programación y trasmisión en el servicio de radiodifusión sonora</v>
          </cell>
        </row>
        <row r="22">
          <cell r="B22">
            <v>6020</v>
          </cell>
          <cell r="C22" t="str">
            <v>Actividades de programación y trasmisión de televisión</v>
          </cell>
        </row>
        <row r="23">
          <cell r="B23">
            <v>6201</v>
          </cell>
          <cell r="C23" t="str">
            <v>Actividades de desarrollo de sistemas informáticos (planificación, análisis, diseño, programación y pruebas)</v>
          </cell>
        </row>
        <row r="24">
          <cell r="B24">
            <v>6202</v>
          </cell>
          <cell r="C24" t="str">
            <v>Actividades de consultoría informática y actividades de administración de instalaciones informáticas</v>
          </cell>
        </row>
        <row r="25">
          <cell r="B25">
            <v>7110</v>
          </cell>
          <cell r="C25" t="str">
            <v>Actividades de arquitectura e ingeniería y otras actividades conexas de consultoría técnica</v>
          </cell>
        </row>
        <row r="26">
          <cell r="B26">
            <v>7220</v>
          </cell>
          <cell r="C26" t="str">
            <v>Investigación y desarrollo experimental en el campo de las ciencias sociales y de las humanidades</v>
          </cell>
        </row>
        <row r="27">
          <cell r="B27">
            <v>7410</v>
          </cell>
          <cell r="C27" t="str">
            <v>Actividades especializadas de diseño</v>
          </cell>
        </row>
        <row r="28">
          <cell r="B28">
            <v>7420</v>
          </cell>
          <cell r="C28" t="str">
            <v>Actividades de fotografía</v>
          </cell>
        </row>
        <row r="29">
          <cell r="B29">
            <v>9001</v>
          </cell>
          <cell r="C29" t="str">
            <v>Creación literaria</v>
          </cell>
        </row>
        <row r="30">
          <cell r="B30">
            <v>9002</v>
          </cell>
          <cell r="C30" t="str">
            <v>Creación musical</v>
          </cell>
        </row>
        <row r="31">
          <cell r="B31">
            <v>9003</v>
          </cell>
          <cell r="C31" t="str">
            <v>Creación teatral</v>
          </cell>
        </row>
        <row r="32">
          <cell r="B32">
            <v>9004</v>
          </cell>
          <cell r="C32" t="str">
            <v>Creación audiovisual</v>
          </cell>
        </row>
        <row r="33">
          <cell r="B33">
            <v>9005</v>
          </cell>
          <cell r="C33" t="str">
            <v>Artes plásticas y visuales</v>
          </cell>
        </row>
        <row r="34">
          <cell r="B34">
            <v>9006</v>
          </cell>
          <cell r="C34" t="str">
            <v>Actividades teatrales</v>
          </cell>
        </row>
        <row r="35">
          <cell r="B35">
            <v>9007</v>
          </cell>
          <cell r="C35" t="str">
            <v>Actividades de espectáculos musicales en vivo</v>
          </cell>
        </row>
        <row r="36">
          <cell r="B36">
            <v>9008</v>
          </cell>
          <cell r="C36" t="str">
            <v>Otras actividades de espectáculos en vivo</v>
          </cell>
        </row>
        <row r="37">
          <cell r="B37">
            <v>9101</v>
          </cell>
          <cell r="C37" t="str">
            <v>Actividades de bibliotecas y archivos</v>
          </cell>
        </row>
        <row r="38">
          <cell r="B38">
            <v>9102</v>
          </cell>
          <cell r="C38" t="str">
            <v>Actividades y funcionamiento de museos, conservación  de edificios y sitios históricos</v>
          </cell>
        </row>
        <row r="39">
          <cell r="C39" t="str">
            <v>Actividades referentes al turismo cultural</v>
          </cell>
        </row>
        <row r="40">
          <cell r="C40" t="str">
            <v>Actividades relacionadas con deporte, recreación y aprovechamiento del tiempo libre</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1  Prest. servicios"/>
      <sheetName val="EJ2  Prest. servicios"/>
      <sheetName val="EJ3  Prest. servicios"/>
      <sheetName val="ok hecho 2"/>
      <sheetName val="EJ4 Otros independientes"/>
      <sheetName val="EJ5 Otros independientes"/>
      <sheetName val="EJ6 Otros independientes"/>
      <sheetName val="ok hecho MA "/>
      <sheetName val="Tablas"/>
    </sheetNames>
    <sheetDataSet>
      <sheetData sheetId="0">
        <row r="8">
          <cell r="D8">
            <v>1000000</v>
          </cell>
        </row>
        <row r="14">
          <cell r="D14">
            <v>4000000</v>
          </cell>
        </row>
      </sheetData>
      <sheetData sheetId="1">
        <row r="8">
          <cell r="D8">
            <v>1000000</v>
          </cell>
        </row>
        <row r="14">
          <cell r="D14">
            <v>1000000</v>
          </cell>
        </row>
      </sheetData>
      <sheetData sheetId="2">
        <row r="10">
          <cell r="D10">
            <v>1000000</v>
          </cell>
        </row>
        <row r="16">
          <cell r="D16">
            <v>4964000</v>
          </cell>
        </row>
      </sheetData>
      <sheetData sheetId="3" refreshError="1"/>
      <sheetData sheetId="4">
        <row r="5">
          <cell r="D5">
            <v>1000000</v>
          </cell>
        </row>
        <row r="13">
          <cell r="D13">
            <v>1200000</v>
          </cell>
          <cell r="G13">
            <v>3000000</v>
          </cell>
        </row>
      </sheetData>
      <sheetData sheetId="5">
        <row r="9">
          <cell r="D9">
            <v>1000000</v>
          </cell>
        </row>
        <row r="17">
          <cell r="D17">
            <v>1000000</v>
          </cell>
          <cell r="G17">
            <v>2410000</v>
          </cell>
        </row>
      </sheetData>
      <sheetData sheetId="6" refreshError="1"/>
      <sheetData sheetId="7" refreshError="1"/>
      <sheetData sheetId="8">
        <row r="12">
          <cell r="A12" t="str">
            <v>N/A</v>
          </cell>
          <cell r="B12">
            <v>0</v>
          </cell>
        </row>
        <row r="13">
          <cell r="A13" t="str">
            <v>I</v>
          </cell>
          <cell r="B13">
            <v>5.2199999999999998E-3</v>
          </cell>
        </row>
        <row r="14">
          <cell r="A14" t="str">
            <v>II</v>
          </cell>
          <cell r="B14">
            <v>1.044E-2</v>
          </cell>
        </row>
        <row r="15">
          <cell r="A15" t="str">
            <v>III</v>
          </cell>
          <cell r="B15">
            <v>2.436E-2</v>
          </cell>
        </row>
        <row r="16">
          <cell r="A16" t="str">
            <v>IV</v>
          </cell>
          <cell r="B16">
            <v>4.3499999999999997E-2</v>
          </cell>
        </row>
        <row r="17">
          <cell r="A17" t="str">
            <v>V</v>
          </cell>
          <cell r="B17">
            <v>6.9599999999999995E-2</v>
          </cell>
        </row>
        <row r="27">
          <cell r="F27">
            <v>1</v>
          </cell>
          <cell r="G27">
            <v>2</v>
          </cell>
          <cell r="H27">
            <v>3</v>
          </cell>
          <cell r="I27">
            <v>4</v>
          </cell>
          <cell r="J27">
            <v>5</v>
          </cell>
          <cell r="K27">
            <v>6</v>
          </cell>
        </row>
        <row r="28">
          <cell r="F28">
            <v>0.83599999999999997</v>
          </cell>
        </row>
        <row r="29">
          <cell r="F29">
            <v>0.75600000000000001</v>
          </cell>
          <cell r="G29">
            <v>0.82199999999999995</v>
          </cell>
        </row>
        <row r="30">
          <cell r="F30">
            <v>0.752</v>
          </cell>
          <cell r="G30">
            <v>0.77300000000000002</v>
          </cell>
          <cell r="H30">
            <v>0.82199999999999995</v>
          </cell>
        </row>
        <row r="31">
          <cell r="F31">
            <v>0.751</v>
          </cell>
          <cell r="G31">
            <v>0.76600000000000001</v>
          </cell>
          <cell r="H31">
            <v>0.78600000000000003</v>
          </cell>
          <cell r="I31">
            <v>0.82199999999999995</v>
          </cell>
        </row>
        <row r="32">
          <cell r="F32">
            <v>0.749</v>
          </cell>
          <cell r="G32">
            <v>0.76200000000000001</v>
          </cell>
          <cell r="H32">
            <v>0.77700000000000002</v>
          </cell>
          <cell r="I32">
            <v>0.79300000000000004</v>
          </cell>
          <cell r="J32">
            <v>0.82199999999999995</v>
          </cell>
        </row>
        <row r="33">
          <cell r="F33">
            <v>0.749</v>
          </cell>
          <cell r="G33">
            <v>0.75900000000000001</v>
          </cell>
          <cell r="H33">
            <v>0.77200000000000002</v>
          </cell>
          <cell r="I33">
            <v>0.78500000000000003</v>
          </cell>
          <cell r="J33">
            <v>0.79800000000000004</v>
          </cell>
          <cell r="K33">
            <v>0.82199999999999995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ño_1"/>
      <sheetName val="Parámetros"/>
      <sheetName val="Indices Financieros"/>
      <sheetName val="Indices de Liquidez"/>
      <sheetName val="Capital de Trabajo"/>
      <sheetName val="Razón Corriente"/>
      <sheetName val="Prueba Acida"/>
      <sheetName val="Rotación de Cuentas x Cobrar"/>
      <sheetName val="Rotación de Activo Total"/>
      <sheetName val="Rotación de Activos Fijos"/>
      <sheetName val="Rotación de Inventarios"/>
      <sheetName val="Edad de la Cartera"/>
      <sheetName val="Edad de los Inventarios"/>
      <sheetName val="Rotación Cuentas por Pagar"/>
      <sheetName val="Edad Cuentas por Pagar"/>
      <sheetName val="Indices de Endeudamiento"/>
      <sheetName val="Endeudamiento"/>
      <sheetName val="Propiedad de los Socios"/>
      <sheetName val="Relación Deuda a Patrimonio"/>
      <sheetName val="Rel. Deuda Largo Pzo a Patrimon"/>
      <sheetName val="Indices de Rentabilidad"/>
      <sheetName val="Indice Natural de Utilidad"/>
      <sheetName val="Indice Utilidad de Operación"/>
      <sheetName val="Indice Utilidad por Accion"/>
      <sheetName val="Rendimiento del Activo Total"/>
      <sheetName val="Rendimiento del Activo Fijo"/>
      <sheetName val="Rentabilidad del Patrimonio"/>
      <sheetName val="Rentabilidad Capital de Trabajo"/>
      <sheetName val="Fórmula de Dupont"/>
      <sheetName val="Dividendos por Acción"/>
      <sheetName val="Indices de Cobertura"/>
      <sheetName val="Cobertura de Intereses"/>
      <sheetName val="Cubrimiento Financiero"/>
      <sheetName val="Posición Defensiva"/>
      <sheetName val="Cuentas (2)"/>
      <sheetName val="Cuentas"/>
      <sheetName val="Analisis Gerencial"/>
      <sheetName val="Hoja1"/>
    </sheetNames>
    <sheetDataSet>
      <sheetData sheetId="0">
        <row r="1">
          <cell r="F1" t="str">
            <v>Enero Año_1</v>
          </cell>
        </row>
        <row r="2">
          <cell r="A2" t="str">
            <v>CODIGO</v>
          </cell>
          <cell r="F2" t="str">
            <v>SalActual</v>
          </cell>
        </row>
        <row r="3">
          <cell r="A3">
            <v>110505</v>
          </cell>
          <cell r="F3">
            <v>16500</v>
          </cell>
        </row>
        <row r="4">
          <cell r="A4">
            <v>220505</v>
          </cell>
          <cell r="F4">
            <v>-250560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Empieza aquí"/>
      <sheetName val="Introducción"/>
      <sheetName val="Calendario 2021"/>
      <sheetName val="Material relacionado"/>
      <sheetName val="Normativa"/>
      <sheetName val="Calendario"/>
      <sheetName val="Listado completo de archivo"/>
      <sheetName val="Hoja2"/>
      <sheetName val="Hoja1"/>
    </sheetNames>
    <sheetDataSet>
      <sheetData sheetId="0" refreshError="1"/>
      <sheetData sheetId="1" refreshError="1"/>
      <sheetData sheetId="2" refreshError="1"/>
      <sheetData sheetId="3" refreshError="1"/>
      <sheetData sheetId="4" refreshError="1"/>
      <sheetData sheetId="5">
        <row r="7">
          <cell r="E7">
            <v>1</v>
          </cell>
          <cell r="F7">
            <v>44236</v>
          </cell>
          <cell r="G7">
            <v>44264</v>
          </cell>
          <cell r="H7">
            <v>44298</v>
          </cell>
          <cell r="I7">
            <v>44326</v>
          </cell>
          <cell r="J7">
            <v>44356</v>
          </cell>
          <cell r="K7">
            <v>44385</v>
          </cell>
          <cell r="L7">
            <v>44418</v>
          </cell>
          <cell r="M7">
            <v>44447</v>
          </cell>
          <cell r="N7">
            <v>44476</v>
          </cell>
          <cell r="O7">
            <v>44509</v>
          </cell>
          <cell r="P7">
            <v>44540</v>
          </cell>
          <cell r="Q7">
            <v>44573</v>
          </cell>
        </row>
        <row r="8">
          <cell r="E8">
            <v>2</v>
          </cell>
          <cell r="F8">
            <v>44237</v>
          </cell>
          <cell r="G8">
            <v>44265</v>
          </cell>
          <cell r="H8">
            <v>44299</v>
          </cell>
          <cell r="I8">
            <v>44327</v>
          </cell>
          <cell r="J8">
            <v>44357</v>
          </cell>
          <cell r="K8">
            <v>44386</v>
          </cell>
          <cell r="L8">
            <v>44419</v>
          </cell>
          <cell r="M8">
            <v>44448</v>
          </cell>
          <cell r="N8">
            <v>44477</v>
          </cell>
          <cell r="O8">
            <v>44510</v>
          </cell>
          <cell r="P8">
            <v>44543</v>
          </cell>
          <cell r="Q8">
            <v>44574</v>
          </cell>
        </row>
        <row r="9">
          <cell r="E9">
            <v>3</v>
          </cell>
          <cell r="F9">
            <v>44238</v>
          </cell>
          <cell r="G9">
            <v>44266</v>
          </cell>
          <cell r="H9">
            <v>44300</v>
          </cell>
          <cell r="I9">
            <v>44328</v>
          </cell>
          <cell r="J9">
            <v>44358</v>
          </cell>
          <cell r="K9">
            <v>44389</v>
          </cell>
          <cell r="L9">
            <v>44420</v>
          </cell>
          <cell r="M9">
            <v>44449</v>
          </cell>
          <cell r="N9">
            <v>44480</v>
          </cell>
          <cell r="O9">
            <v>44511</v>
          </cell>
          <cell r="P9">
            <v>44544</v>
          </cell>
          <cell r="Q9">
            <v>44575</v>
          </cell>
        </row>
        <row r="10">
          <cell r="E10">
            <v>4</v>
          </cell>
          <cell r="F10">
            <v>44239</v>
          </cell>
          <cell r="G10">
            <v>44267</v>
          </cell>
          <cell r="H10">
            <v>44301</v>
          </cell>
          <cell r="I10">
            <v>44329</v>
          </cell>
          <cell r="J10">
            <v>44362</v>
          </cell>
          <cell r="K10">
            <v>44390</v>
          </cell>
          <cell r="L10">
            <v>44421</v>
          </cell>
          <cell r="M10">
            <v>44452</v>
          </cell>
          <cell r="N10">
            <v>44481</v>
          </cell>
          <cell r="O10">
            <v>44512</v>
          </cell>
          <cell r="P10">
            <v>44545</v>
          </cell>
          <cell r="Q10">
            <v>44578</v>
          </cell>
        </row>
        <row r="11">
          <cell r="E11">
            <v>5</v>
          </cell>
          <cell r="F11">
            <v>44242</v>
          </cell>
          <cell r="G11">
            <v>44270</v>
          </cell>
          <cell r="H11">
            <v>44302</v>
          </cell>
          <cell r="I11">
            <v>44330</v>
          </cell>
          <cell r="J11">
            <v>44363</v>
          </cell>
          <cell r="K11">
            <v>44391</v>
          </cell>
          <cell r="L11">
            <v>44425</v>
          </cell>
          <cell r="M11">
            <v>44453</v>
          </cell>
          <cell r="N11">
            <v>44482</v>
          </cell>
          <cell r="O11">
            <v>44516</v>
          </cell>
          <cell r="P11">
            <v>44546</v>
          </cell>
          <cell r="Q11">
            <v>44579</v>
          </cell>
        </row>
        <row r="12">
          <cell r="E12">
            <v>6</v>
          </cell>
          <cell r="F12">
            <v>44243</v>
          </cell>
          <cell r="G12">
            <v>44271</v>
          </cell>
          <cell r="H12">
            <v>44305</v>
          </cell>
          <cell r="I12">
            <v>44334</v>
          </cell>
          <cell r="J12">
            <v>44364</v>
          </cell>
          <cell r="K12">
            <v>44392</v>
          </cell>
          <cell r="L12">
            <v>44426</v>
          </cell>
          <cell r="M12">
            <v>44454</v>
          </cell>
          <cell r="N12">
            <v>44483</v>
          </cell>
          <cell r="O12">
            <v>44517</v>
          </cell>
          <cell r="P12">
            <v>44547</v>
          </cell>
          <cell r="Q12">
            <v>44580</v>
          </cell>
        </row>
        <row r="13">
          <cell r="E13">
            <v>7</v>
          </cell>
          <cell r="F13">
            <v>44244</v>
          </cell>
          <cell r="G13">
            <v>44272</v>
          </cell>
          <cell r="H13">
            <v>44306</v>
          </cell>
          <cell r="I13">
            <v>44335</v>
          </cell>
          <cell r="J13">
            <v>44365</v>
          </cell>
          <cell r="K13">
            <v>44393</v>
          </cell>
          <cell r="L13">
            <v>44427</v>
          </cell>
          <cell r="M13">
            <v>44455</v>
          </cell>
          <cell r="N13">
            <v>44484</v>
          </cell>
          <cell r="O13">
            <v>44518</v>
          </cell>
          <cell r="P13">
            <v>44550</v>
          </cell>
          <cell r="Q13">
            <v>44581</v>
          </cell>
        </row>
        <row r="14">
          <cell r="E14">
            <v>8</v>
          </cell>
          <cell r="F14">
            <v>44245</v>
          </cell>
          <cell r="G14">
            <v>44273</v>
          </cell>
          <cell r="H14">
            <v>44307</v>
          </cell>
          <cell r="I14">
            <v>44336</v>
          </cell>
          <cell r="J14">
            <v>44368</v>
          </cell>
          <cell r="K14">
            <v>44396</v>
          </cell>
          <cell r="L14">
            <v>44428</v>
          </cell>
          <cell r="M14">
            <v>44456</v>
          </cell>
          <cell r="N14">
            <v>44488</v>
          </cell>
          <cell r="O14">
            <v>44519</v>
          </cell>
          <cell r="P14">
            <v>44551</v>
          </cell>
          <cell r="Q14">
            <v>44582</v>
          </cell>
        </row>
        <row r="15">
          <cell r="E15">
            <v>9</v>
          </cell>
          <cell r="F15">
            <v>44246</v>
          </cell>
          <cell r="G15">
            <v>44274</v>
          </cell>
          <cell r="H15">
            <v>44308</v>
          </cell>
          <cell r="I15">
            <v>44337</v>
          </cell>
          <cell r="J15">
            <v>44369</v>
          </cell>
          <cell r="K15">
            <v>44398</v>
          </cell>
          <cell r="L15">
            <v>44431</v>
          </cell>
          <cell r="M15">
            <v>44459</v>
          </cell>
          <cell r="N15">
            <v>44489</v>
          </cell>
          <cell r="O15">
            <v>44522</v>
          </cell>
          <cell r="P15">
            <v>44552</v>
          </cell>
          <cell r="Q15">
            <v>44585</v>
          </cell>
        </row>
        <row r="16">
          <cell r="E16">
            <v>0</v>
          </cell>
          <cell r="F16">
            <v>44249</v>
          </cell>
          <cell r="G16">
            <v>44278</v>
          </cell>
          <cell r="H16">
            <v>44309</v>
          </cell>
          <cell r="I16">
            <v>44340</v>
          </cell>
          <cell r="J16">
            <v>44370</v>
          </cell>
          <cell r="K16">
            <v>44399</v>
          </cell>
          <cell r="L16">
            <v>44432</v>
          </cell>
          <cell r="M16">
            <v>44460</v>
          </cell>
          <cell r="N16">
            <v>44490</v>
          </cell>
          <cell r="O16">
            <v>44523</v>
          </cell>
          <cell r="P16">
            <v>44553</v>
          </cell>
          <cell r="Q16">
            <v>44586</v>
          </cell>
        </row>
        <row r="20">
          <cell r="E20">
            <v>1</v>
          </cell>
          <cell r="F20">
            <v>44264</v>
          </cell>
          <cell r="G20">
            <v>44326</v>
          </cell>
          <cell r="H20">
            <v>44385</v>
          </cell>
          <cell r="I20">
            <v>44447</v>
          </cell>
          <cell r="J20">
            <v>44509</v>
          </cell>
          <cell r="K20">
            <v>44573</v>
          </cell>
          <cell r="M20">
            <v>1</v>
          </cell>
          <cell r="N20">
            <v>44494</v>
          </cell>
          <cell r="P20">
            <v>1</v>
          </cell>
          <cell r="Q20">
            <v>44298</v>
          </cell>
          <cell r="R20">
            <v>44326</v>
          </cell>
          <cell r="S20">
            <v>44385</v>
          </cell>
          <cell r="T20">
            <v>44447</v>
          </cell>
          <cell r="U20">
            <v>44509</v>
          </cell>
          <cell r="V20">
            <v>44573</v>
          </cell>
        </row>
        <row r="21">
          <cell r="E21">
            <v>2</v>
          </cell>
          <cell r="F21">
            <v>44265</v>
          </cell>
          <cell r="G21">
            <v>44327</v>
          </cell>
          <cell r="H21">
            <v>44386</v>
          </cell>
          <cell r="I21">
            <v>44448</v>
          </cell>
          <cell r="J21">
            <v>44510</v>
          </cell>
          <cell r="K21">
            <v>44574</v>
          </cell>
          <cell r="M21">
            <v>2</v>
          </cell>
          <cell r="N21">
            <v>44494</v>
          </cell>
          <cell r="P21">
            <v>2</v>
          </cell>
          <cell r="Q21">
            <v>44299</v>
          </cell>
          <cell r="R21">
            <v>44327</v>
          </cell>
          <cell r="S21">
            <v>44386</v>
          </cell>
          <cell r="T21">
            <v>44448</v>
          </cell>
          <cell r="U21">
            <v>44510</v>
          </cell>
          <cell r="V21">
            <v>44574</v>
          </cell>
        </row>
        <row r="22">
          <cell r="E22">
            <v>3</v>
          </cell>
          <cell r="F22">
            <v>44266</v>
          </cell>
          <cell r="G22">
            <v>44328</v>
          </cell>
          <cell r="H22">
            <v>44389</v>
          </cell>
          <cell r="I22">
            <v>44449</v>
          </cell>
          <cell r="J22">
            <v>44511</v>
          </cell>
          <cell r="K22">
            <v>44575</v>
          </cell>
          <cell r="M22">
            <v>3</v>
          </cell>
          <cell r="N22">
            <v>44495</v>
          </cell>
          <cell r="P22">
            <v>3</v>
          </cell>
          <cell r="Q22">
            <v>44300</v>
          </cell>
          <cell r="R22">
            <v>44328</v>
          </cell>
          <cell r="S22">
            <v>44389</v>
          </cell>
          <cell r="T22">
            <v>44449</v>
          </cell>
          <cell r="U22">
            <v>44511</v>
          </cell>
          <cell r="V22">
            <v>44575</v>
          </cell>
        </row>
        <row r="23">
          <cell r="E23">
            <v>4</v>
          </cell>
          <cell r="F23">
            <v>44267</v>
          </cell>
          <cell r="G23">
            <v>44329</v>
          </cell>
          <cell r="H23">
            <v>44390</v>
          </cell>
          <cell r="I23">
            <v>44452</v>
          </cell>
          <cell r="J23">
            <v>44512</v>
          </cell>
          <cell r="K23">
            <v>44578</v>
          </cell>
          <cell r="M23">
            <v>4</v>
          </cell>
          <cell r="N23">
            <v>44495</v>
          </cell>
          <cell r="P23">
            <v>4</v>
          </cell>
          <cell r="Q23">
            <v>44301</v>
          </cell>
          <cell r="R23">
            <v>44329</v>
          </cell>
          <cell r="S23">
            <v>44390</v>
          </cell>
          <cell r="T23">
            <v>44452</v>
          </cell>
          <cell r="U23">
            <v>44512</v>
          </cell>
          <cell r="V23">
            <v>44578</v>
          </cell>
        </row>
        <row r="24">
          <cell r="E24">
            <v>5</v>
          </cell>
          <cell r="F24">
            <v>44270</v>
          </cell>
          <cell r="G24">
            <v>44330</v>
          </cell>
          <cell r="H24">
            <v>44391</v>
          </cell>
          <cell r="I24">
            <v>44453</v>
          </cell>
          <cell r="J24">
            <v>44516</v>
          </cell>
          <cell r="K24">
            <v>44579</v>
          </cell>
          <cell r="M24">
            <v>5</v>
          </cell>
          <cell r="N24">
            <v>44496</v>
          </cell>
          <cell r="P24">
            <v>5</v>
          </cell>
          <cell r="Q24">
            <v>44302</v>
          </cell>
          <cell r="R24">
            <v>44330</v>
          </cell>
          <cell r="S24">
            <v>44391</v>
          </cell>
          <cell r="T24">
            <v>44453</v>
          </cell>
          <cell r="U24">
            <v>44516</v>
          </cell>
          <cell r="V24">
            <v>44579</v>
          </cell>
        </row>
        <row r="25">
          <cell r="E25">
            <v>6</v>
          </cell>
          <cell r="F25">
            <v>44271</v>
          </cell>
          <cell r="G25">
            <v>44334</v>
          </cell>
          <cell r="H25">
            <v>44392</v>
          </cell>
          <cell r="I25">
            <v>44454</v>
          </cell>
          <cell r="J25">
            <v>44517</v>
          </cell>
          <cell r="K25">
            <v>44580</v>
          </cell>
          <cell r="M25">
            <v>6</v>
          </cell>
          <cell r="N25">
            <v>44496</v>
          </cell>
          <cell r="P25">
            <v>6</v>
          </cell>
          <cell r="Q25">
            <v>44305</v>
          </cell>
          <cell r="R25">
            <v>44334</v>
          </cell>
          <cell r="S25">
            <v>44392</v>
          </cell>
          <cell r="T25">
            <v>44454</v>
          </cell>
          <cell r="U25">
            <v>44517</v>
          </cell>
          <cell r="V25">
            <v>44580</v>
          </cell>
        </row>
        <row r="26">
          <cell r="E26">
            <v>7</v>
          </cell>
          <cell r="F26">
            <v>44272</v>
          </cell>
          <cell r="G26">
            <v>44335</v>
          </cell>
          <cell r="H26">
            <v>44393</v>
          </cell>
          <cell r="I26">
            <v>44455</v>
          </cell>
          <cell r="J26">
            <v>44518</v>
          </cell>
          <cell r="K26">
            <v>44581</v>
          </cell>
          <cell r="M26">
            <v>7</v>
          </cell>
          <cell r="N26">
            <v>44497</v>
          </cell>
          <cell r="P26">
            <v>7</v>
          </cell>
          <cell r="Q26">
            <v>44306</v>
          </cell>
          <cell r="R26">
            <v>44335</v>
          </cell>
          <cell r="S26">
            <v>44393</v>
          </cell>
          <cell r="T26">
            <v>44455</v>
          </cell>
          <cell r="U26">
            <v>44518</v>
          </cell>
          <cell r="V26">
            <v>44581</v>
          </cell>
        </row>
        <row r="27">
          <cell r="E27">
            <v>8</v>
          </cell>
          <cell r="F27">
            <v>44273</v>
          </cell>
          <cell r="G27">
            <v>44336</v>
          </cell>
          <cell r="H27">
            <v>44396</v>
          </cell>
          <cell r="I27">
            <v>44456</v>
          </cell>
          <cell r="J27">
            <v>44519</v>
          </cell>
          <cell r="K27">
            <v>44582</v>
          </cell>
          <cell r="M27">
            <v>8</v>
          </cell>
          <cell r="N27">
            <v>44497</v>
          </cell>
          <cell r="P27">
            <v>8</v>
          </cell>
          <cell r="Q27">
            <v>44307</v>
          </cell>
          <cell r="R27">
            <v>44336</v>
          </cell>
          <cell r="S27">
            <v>44396</v>
          </cell>
          <cell r="T27">
            <v>44456</v>
          </cell>
          <cell r="U27">
            <v>44519</v>
          </cell>
          <cell r="V27">
            <v>44582</v>
          </cell>
        </row>
        <row r="28">
          <cell r="E28">
            <v>9</v>
          </cell>
          <cell r="F28">
            <v>44274</v>
          </cell>
          <cell r="G28">
            <v>44337</v>
          </cell>
          <cell r="H28">
            <v>44398</v>
          </cell>
          <cell r="I28">
            <v>44459</v>
          </cell>
          <cell r="J28">
            <v>44522</v>
          </cell>
          <cell r="K28">
            <v>44585</v>
          </cell>
          <cell r="M28">
            <v>9</v>
          </cell>
          <cell r="N28">
            <v>44498</v>
          </cell>
          <cell r="P28">
            <v>9</v>
          </cell>
          <cell r="Q28">
            <v>44308</v>
          </cell>
          <cell r="R28">
            <v>44337</v>
          </cell>
          <cell r="S28">
            <v>44398</v>
          </cell>
          <cell r="T28">
            <v>44459</v>
          </cell>
          <cell r="U28">
            <v>44522</v>
          </cell>
          <cell r="V28">
            <v>44585</v>
          </cell>
        </row>
        <row r="29">
          <cell r="E29">
            <v>0</v>
          </cell>
          <cell r="F29">
            <v>44278</v>
          </cell>
          <cell r="G29">
            <v>44340</v>
          </cell>
          <cell r="H29">
            <v>44399</v>
          </cell>
          <cell r="I29">
            <v>44460</v>
          </cell>
          <cell r="J29">
            <v>44523</v>
          </cell>
          <cell r="K29">
            <v>44586</v>
          </cell>
          <cell r="M29">
            <v>0</v>
          </cell>
          <cell r="N29">
            <v>44498</v>
          </cell>
          <cell r="P29">
            <v>0</v>
          </cell>
          <cell r="Q29">
            <v>44309</v>
          </cell>
          <cell r="R29">
            <v>44340</v>
          </cell>
          <cell r="S29">
            <v>44399</v>
          </cell>
          <cell r="T29">
            <v>44460</v>
          </cell>
          <cell r="U29">
            <v>44523</v>
          </cell>
          <cell r="V29">
            <v>44586</v>
          </cell>
        </row>
        <row r="33">
          <cell r="E33">
            <v>1</v>
          </cell>
          <cell r="F33">
            <v>44236</v>
          </cell>
          <cell r="I33">
            <v>1</v>
          </cell>
          <cell r="J33">
            <v>44298</v>
          </cell>
          <cell r="M33">
            <v>1</v>
          </cell>
          <cell r="N33">
            <v>44356</v>
          </cell>
        </row>
        <row r="34">
          <cell r="E34">
            <v>2</v>
          </cell>
          <cell r="F34">
            <v>44237</v>
          </cell>
          <cell r="I34">
            <v>2</v>
          </cell>
          <cell r="J34">
            <v>44299</v>
          </cell>
          <cell r="M34">
            <v>2</v>
          </cell>
          <cell r="N34">
            <v>44357</v>
          </cell>
        </row>
        <row r="35">
          <cell r="E35">
            <v>3</v>
          </cell>
          <cell r="F35">
            <v>44238</v>
          </cell>
          <cell r="I35">
            <v>3</v>
          </cell>
          <cell r="J35">
            <v>44300</v>
          </cell>
          <cell r="M35">
            <v>3</v>
          </cell>
          <cell r="N35">
            <v>44358</v>
          </cell>
        </row>
        <row r="36">
          <cell r="E36">
            <v>4</v>
          </cell>
          <cell r="F36">
            <v>44239</v>
          </cell>
          <cell r="I36">
            <v>4</v>
          </cell>
          <cell r="J36">
            <v>44301</v>
          </cell>
          <cell r="M36">
            <v>4</v>
          </cell>
          <cell r="N36">
            <v>44362</v>
          </cell>
        </row>
        <row r="37">
          <cell r="E37">
            <v>5</v>
          </cell>
          <cell r="F37">
            <v>44242</v>
          </cell>
          <cell r="I37">
            <v>5</v>
          </cell>
          <cell r="J37">
            <v>44302</v>
          </cell>
          <cell r="M37">
            <v>5</v>
          </cell>
          <cell r="N37">
            <v>44363</v>
          </cell>
        </row>
        <row r="38">
          <cell r="E38">
            <v>6</v>
          </cell>
          <cell r="F38">
            <v>44243</v>
          </cell>
          <cell r="I38">
            <v>6</v>
          </cell>
          <cell r="J38">
            <v>44305</v>
          </cell>
          <cell r="M38">
            <v>6</v>
          </cell>
          <cell r="N38">
            <v>44364</v>
          </cell>
        </row>
        <row r="39">
          <cell r="E39">
            <v>7</v>
          </cell>
          <cell r="F39">
            <v>44244</v>
          </cell>
          <cell r="I39">
            <v>7</v>
          </cell>
          <cell r="J39">
            <v>44306</v>
          </cell>
          <cell r="M39">
            <v>7</v>
          </cell>
          <cell r="N39">
            <v>44365</v>
          </cell>
        </row>
        <row r="40">
          <cell r="E40">
            <v>8</v>
          </cell>
          <cell r="F40">
            <v>44245</v>
          </cell>
          <cell r="I40">
            <v>8</v>
          </cell>
          <cell r="J40">
            <v>44307</v>
          </cell>
          <cell r="M40">
            <v>8</v>
          </cell>
          <cell r="N40">
            <v>44368</v>
          </cell>
        </row>
        <row r="41">
          <cell r="E41">
            <v>9</v>
          </cell>
          <cell r="F41">
            <v>44246</v>
          </cell>
          <cell r="I41">
            <v>9</v>
          </cell>
          <cell r="J41">
            <v>44308</v>
          </cell>
          <cell r="M41">
            <v>9</v>
          </cell>
          <cell r="N41">
            <v>44369</v>
          </cell>
        </row>
        <row r="42">
          <cell r="E42">
            <v>0</v>
          </cell>
          <cell r="F42">
            <v>44249</v>
          </cell>
          <cell r="I42">
            <v>0</v>
          </cell>
          <cell r="J42">
            <v>44309</v>
          </cell>
          <cell r="M42">
            <v>0</v>
          </cell>
          <cell r="N42">
            <v>44370</v>
          </cell>
        </row>
        <row r="46">
          <cell r="E46">
            <v>1</v>
          </cell>
          <cell r="F46">
            <v>44446</v>
          </cell>
          <cell r="I46">
            <v>1</v>
          </cell>
          <cell r="J46">
            <v>44540</v>
          </cell>
          <cell r="M46">
            <v>1</v>
          </cell>
          <cell r="N46">
            <v>44249</v>
          </cell>
        </row>
        <row r="47">
          <cell r="E47">
            <v>2</v>
          </cell>
          <cell r="F47">
            <v>44447</v>
          </cell>
          <cell r="I47">
            <v>2</v>
          </cell>
          <cell r="J47">
            <v>44543</v>
          </cell>
          <cell r="M47">
            <v>2</v>
          </cell>
          <cell r="N47">
            <v>44249</v>
          </cell>
        </row>
        <row r="48">
          <cell r="E48">
            <v>3</v>
          </cell>
          <cell r="F48">
            <v>44448</v>
          </cell>
          <cell r="I48">
            <v>3</v>
          </cell>
          <cell r="J48">
            <v>44544</v>
          </cell>
          <cell r="M48">
            <v>3</v>
          </cell>
          <cell r="N48">
            <v>44250</v>
          </cell>
        </row>
        <row r="49">
          <cell r="E49">
            <v>4</v>
          </cell>
          <cell r="F49">
            <v>44449</v>
          </cell>
          <cell r="I49">
            <v>4</v>
          </cell>
          <cell r="J49">
            <v>44545</v>
          </cell>
          <cell r="M49">
            <v>4</v>
          </cell>
          <cell r="N49">
            <v>44250</v>
          </cell>
        </row>
        <row r="50">
          <cell r="E50">
            <v>5</v>
          </cell>
          <cell r="F50">
            <v>44452</v>
          </cell>
          <cell r="I50">
            <v>5</v>
          </cell>
          <cell r="J50">
            <v>44546</v>
          </cell>
          <cell r="M50">
            <v>5</v>
          </cell>
          <cell r="N50">
            <v>44251</v>
          </cell>
        </row>
        <row r="51">
          <cell r="E51">
            <v>6</v>
          </cell>
          <cell r="F51">
            <v>44453</v>
          </cell>
          <cell r="I51">
            <v>6</v>
          </cell>
          <cell r="J51">
            <v>44547</v>
          </cell>
          <cell r="M51">
            <v>6</v>
          </cell>
          <cell r="N51">
            <v>44251</v>
          </cell>
        </row>
        <row r="52">
          <cell r="E52">
            <v>7</v>
          </cell>
          <cell r="F52">
            <v>44454</v>
          </cell>
          <cell r="I52">
            <v>7</v>
          </cell>
          <cell r="J52">
            <v>44550</v>
          </cell>
          <cell r="M52">
            <v>7</v>
          </cell>
          <cell r="N52">
            <v>44252</v>
          </cell>
        </row>
        <row r="53">
          <cell r="E53">
            <v>8</v>
          </cell>
          <cell r="F53">
            <v>44455</v>
          </cell>
          <cell r="I53">
            <v>8</v>
          </cell>
          <cell r="J53">
            <v>44551</v>
          </cell>
          <cell r="M53">
            <v>8</v>
          </cell>
          <cell r="N53">
            <v>44252</v>
          </cell>
        </row>
        <row r="54">
          <cell r="E54">
            <v>9</v>
          </cell>
          <cell r="F54">
            <v>44456</v>
          </cell>
          <cell r="I54">
            <v>9</v>
          </cell>
          <cell r="J54">
            <v>44552</v>
          </cell>
          <cell r="M54">
            <v>9</v>
          </cell>
          <cell r="N54">
            <v>44253</v>
          </cell>
        </row>
        <row r="55">
          <cell r="E55">
            <v>0</v>
          </cell>
          <cell r="F55">
            <v>44459</v>
          </cell>
          <cell r="I55">
            <v>0</v>
          </cell>
          <cell r="J55">
            <v>44553</v>
          </cell>
          <cell r="M55">
            <v>0</v>
          </cell>
          <cell r="N55">
            <v>44253</v>
          </cell>
        </row>
        <row r="59">
          <cell r="E59" t="str">
            <v>01</v>
          </cell>
          <cell r="F59">
            <v>44298</v>
          </cell>
          <cell r="J59">
            <v>1</v>
          </cell>
          <cell r="K59">
            <v>44198</v>
          </cell>
          <cell r="L59">
            <v>44204</v>
          </cell>
          <cell r="M59">
            <v>44209</v>
          </cell>
        </row>
        <row r="60">
          <cell r="E60" t="str">
            <v>02</v>
          </cell>
          <cell r="F60">
            <v>44298</v>
          </cell>
          <cell r="J60">
            <v>2</v>
          </cell>
          <cell r="K60">
            <v>44205</v>
          </cell>
          <cell r="L60">
            <v>44211</v>
          </cell>
          <cell r="M60">
            <v>44215</v>
          </cell>
        </row>
        <row r="61">
          <cell r="E61" t="str">
            <v>03</v>
          </cell>
          <cell r="F61">
            <v>44298</v>
          </cell>
          <cell r="J61">
            <v>3</v>
          </cell>
          <cell r="K61">
            <v>44212</v>
          </cell>
          <cell r="L61">
            <v>44218</v>
          </cell>
          <cell r="M61">
            <v>44222</v>
          </cell>
        </row>
        <row r="62">
          <cell r="E62" t="str">
            <v>04</v>
          </cell>
          <cell r="F62">
            <v>44298</v>
          </cell>
          <cell r="J62">
            <v>4</v>
          </cell>
          <cell r="K62">
            <v>44219</v>
          </cell>
          <cell r="L62">
            <v>44225</v>
          </cell>
          <cell r="M62">
            <v>44229</v>
          </cell>
        </row>
        <row r="63">
          <cell r="E63" t="str">
            <v>05</v>
          </cell>
          <cell r="F63">
            <v>44298</v>
          </cell>
          <cell r="J63">
            <v>5</v>
          </cell>
          <cell r="K63">
            <v>44226</v>
          </cell>
          <cell r="L63">
            <v>44232</v>
          </cell>
          <cell r="M63">
            <v>44236</v>
          </cell>
        </row>
        <row r="64">
          <cell r="E64" t="str">
            <v>06</v>
          </cell>
          <cell r="F64">
            <v>44299</v>
          </cell>
          <cell r="J64">
            <v>6</v>
          </cell>
          <cell r="K64">
            <v>44233</v>
          </cell>
          <cell r="L64">
            <v>44239</v>
          </cell>
          <cell r="M64">
            <v>44243</v>
          </cell>
        </row>
        <row r="65">
          <cell r="E65" t="str">
            <v>07</v>
          </cell>
          <cell r="F65">
            <v>44299</v>
          </cell>
          <cell r="J65">
            <v>7</v>
          </cell>
          <cell r="K65">
            <v>44240</v>
          </cell>
          <cell r="L65">
            <v>44246</v>
          </cell>
          <cell r="M65">
            <v>44250</v>
          </cell>
        </row>
        <row r="66">
          <cell r="E66" t="str">
            <v>08</v>
          </cell>
          <cell r="F66">
            <v>44299</v>
          </cell>
          <cell r="J66">
            <v>8</v>
          </cell>
          <cell r="K66">
            <v>44247</v>
          </cell>
          <cell r="L66">
            <v>44253</v>
          </cell>
          <cell r="M66">
            <v>44257</v>
          </cell>
        </row>
        <row r="67">
          <cell r="E67" t="str">
            <v>09</v>
          </cell>
          <cell r="F67">
            <v>44299</v>
          </cell>
          <cell r="J67">
            <v>9</v>
          </cell>
          <cell r="K67">
            <v>44254</v>
          </cell>
          <cell r="L67">
            <v>44260</v>
          </cell>
          <cell r="M67">
            <v>44264</v>
          </cell>
        </row>
        <row r="68">
          <cell r="E68" t="str">
            <v>10</v>
          </cell>
          <cell r="F68">
            <v>44299</v>
          </cell>
          <cell r="J68">
            <v>10</v>
          </cell>
          <cell r="K68">
            <v>44261</v>
          </cell>
          <cell r="L68">
            <v>44267</v>
          </cell>
          <cell r="M68">
            <v>44271</v>
          </cell>
        </row>
        <row r="69">
          <cell r="E69" t="str">
            <v>11</v>
          </cell>
          <cell r="F69">
            <v>44300</v>
          </cell>
          <cell r="J69">
            <v>11</v>
          </cell>
          <cell r="K69">
            <v>44268</v>
          </cell>
          <cell r="L69">
            <v>44274</v>
          </cell>
          <cell r="M69">
            <v>44279</v>
          </cell>
        </row>
        <row r="70">
          <cell r="E70" t="str">
            <v>12</v>
          </cell>
          <cell r="F70">
            <v>44300</v>
          </cell>
          <cell r="J70">
            <v>12</v>
          </cell>
          <cell r="K70">
            <v>44275</v>
          </cell>
          <cell r="L70">
            <v>44281</v>
          </cell>
          <cell r="M70">
            <v>44285</v>
          </cell>
        </row>
        <row r="71">
          <cell r="E71" t="str">
            <v>13</v>
          </cell>
          <cell r="F71">
            <v>44300</v>
          </cell>
          <cell r="J71">
            <v>13</v>
          </cell>
          <cell r="K71">
            <v>44282</v>
          </cell>
          <cell r="L71">
            <v>44288</v>
          </cell>
          <cell r="M71">
            <v>44292</v>
          </cell>
        </row>
        <row r="72">
          <cell r="E72" t="str">
            <v>14</v>
          </cell>
          <cell r="F72">
            <v>44300</v>
          </cell>
          <cell r="J72">
            <v>14</v>
          </cell>
          <cell r="K72">
            <v>44289</v>
          </cell>
          <cell r="L72">
            <v>44295</v>
          </cell>
          <cell r="M72">
            <v>44299</v>
          </cell>
        </row>
        <row r="73">
          <cell r="E73" t="str">
            <v>15</v>
          </cell>
          <cell r="F73">
            <v>44300</v>
          </cell>
          <cell r="J73">
            <v>15</v>
          </cell>
          <cell r="K73">
            <v>44296</v>
          </cell>
          <cell r="L73">
            <v>44302</v>
          </cell>
          <cell r="M73">
            <v>44306</v>
          </cell>
        </row>
        <row r="74">
          <cell r="E74" t="str">
            <v>16</v>
          </cell>
          <cell r="F74">
            <v>44301</v>
          </cell>
          <cell r="J74">
            <v>16</v>
          </cell>
          <cell r="K74">
            <v>44303</v>
          </cell>
          <cell r="L74">
            <v>44309</v>
          </cell>
          <cell r="M74">
            <v>44313</v>
          </cell>
        </row>
        <row r="75">
          <cell r="E75" t="str">
            <v>17</v>
          </cell>
          <cell r="F75">
            <v>44301</v>
          </cell>
          <cell r="J75">
            <v>17</v>
          </cell>
          <cell r="K75">
            <v>44310</v>
          </cell>
          <cell r="L75">
            <v>44316</v>
          </cell>
          <cell r="M75">
            <v>44320</v>
          </cell>
        </row>
        <row r="76">
          <cell r="E76" t="str">
            <v>18</v>
          </cell>
          <cell r="F76">
            <v>44301</v>
          </cell>
          <cell r="J76">
            <v>18</v>
          </cell>
          <cell r="K76">
            <v>44317</v>
          </cell>
          <cell r="L76">
            <v>44323</v>
          </cell>
          <cell r="M76">
            <v>44327</v>
          </cell>
        </row>
        <row r="77">
          <cell r="E77" t="str">
            <v>19</v>
          </cell>
          <cell r="F77">
            <v>44301</v>
          </cell>
          <cell r="J77">
            <v>19</v>
          </cell>
          <cell r="K77">
            <v>44324</v>
          </cell>
          <cell r="L77">
            <v>44330</v>
          </cell>
          <cell r="M77">
            <v>44335</v>
          </cell>
        </row>
        <row r="78">
          <cell r="E78" t="str">
            <v>20</v>
          </cell>
          <cell r="F78">
            <v>44301</v>
          </cell>
          <cell r="J78">
            <v>20</v>
          </cell>
          <cell r="K78">
            <v>44331</v>
          </cell>
          <cell r="L78">
            <v>44337</v>
          </cell>
          <cell r="M78">
            <v>44341</v>
          </cell>
        </row>
        <row r="79">
          <cell r="E79" t="str">
            <v>21</v>
          </cell>
          <cell r="F79">
            <v>44302</v>
          </cell>
          <cell r="J79">
            <v>21</v>
          </cell>
          <cell r="K79">
            <v>44338</v>
          </cell>
          <cell r="L79">
            <v>44344</v>
          </cell>
          <cell r="M79">
            <v>44348</v>
          </cell>
        </row>
        <row r="80">
          <cell r="E80" t="str">
            <v>22</v>
          </cell>
          <cell r="F80">
            <v>44302</v>
          </cell>
          <cell r="J80">
            <v>22</v>
          </cell>
          <cell r="K80">
            <v>44345</v>
          </cell>
          <cell r="L80">
            <v>44351</v>
          </cell>
          <cell r="M80">
            <v>44356</v>
          </cell>
        </row>
        <row r="81">
          <cell r="E81" t="str">
            <v>23</v>
          </cell>
          <cell r="F81">
            <v>44302</v>
          </cell>
          <cell r="J81">
            <v>23</v>
          </cell>
          <cell r="K81">
            <v>44352</v>
          </cell>
          <cell r="L81">
            <v>44358</v>
          </cell>
          <cell r="M81">
            <v>44363</v>
          </cell>
        </row>
        <row r="82">
          <cell r="E82" t="str">
            <v>24</v>
          </cell>
          <cell r="F82">
            <v>44302</v>
          </cell>
          <cell r="J82">
            <v>24</v>
          </cell>
          <cell r="K82">
            <v>44359</v>
          </cell>
          <cell r="L82">
            <v>44365</v>
          </cell>
          <cell r="M82">
            <v>44369</v>
          </cell>
        </row>
        <row r="83">
          <cell r="E83" t="str">
            <v>25</v>
          </cell>
          <cell r="F83">
            <v>44302</v>
          </cell>
          <cell r="J83">
            <v>25</v>
          </cell>
          <cell r="K83">
            <v>44366</v>
          </cell>
          <cell r="L83">
            <v>44372</v>
          </cell>
          <cell r="M83">
            <v>44376</v>
          </cell>
        </row>
        <row r="84">
          <cell r="E84" t="str">
            <v>26</v>
          </cell>
          <cell r="F84">
            <v>44305</v>
          </cell>
          <cell r="J84">
            <v>26</v>
          </cell>
          <cell r="K84">
            <v>44373</v>
          </cell>
          <cell r="L84">
            <v>44379</v>
          </cell>
          <cell r="M84">
            <v>44384</v>
          </cell>
        </row>
        <row r="85">
          <cell r="E85" t="str">
            <v>27</v>
          </cell>
          <cell r="F85">
            <v>44305</v>
          </cell>
          <cell r="J85">
            <v>27</v>
          </cell>
          <cell r="K85">
            <v>44380</v>
          </cell>
          <cell r="L85">
            <v>44386</v>
          </cell>
          <cell r="M85">
            <v>44390</v>
          </cell>
        </row>
        <row r="86">
          <cell r="E86" t="str">
            <v>28</v>
          </cell>
          <cell r="F86">
            <v>44305</v>
          </cell>
          <cell r="J86">
            <v>28</v>
          </cell>
          <cell r="K86">
            <v>44387</v>
          </cell>
          <cell r="L86">
            <v>44393</v>
          </cell>
          <cell r="M86">
            <v>44399</v>
          </cell>
        </row>
        <row r="87">
          <cell r="E87" t="str">
            <v>29</v>
          </cell>
          <cell r="F87">
            <v>44305</v>
          </cell>
          <cell r="J87">
            <v>29</v>
          </cell>
          <cell r="K87">
            <v>44394</v>
          </cell>
          <cell r="L87">
            <v>44400</v>
          </cell>
          <cell r="M87">
            <v>44404</v>
          </cell>
        </row>
        <row r="88">
          <cell r="E88" t="str">
            <v>30</v>
          </cell>
          <cell r="F88">
            <v>44305</v>
          </cell>
          <cell r="J88">
            <v>30</v>
          </cell>
          <cell r="K88">
            <v>44401</v>
          </cell>
          <cell r="L88">
            <v>44407</v>
          </cell>
          <cell r="M88">
            <v>44411</v>
          </cell>
        </row>
        <row r="89">
          <cell r="E89" t="str">
            <v>31</v>
          </cell>
          <cell r="F89">
            <v>44306</v>
          </cell>
          <cell r="J89">
            <v>31</v>
          </cell>
          <cell r="K89">
            <v>44408</v>
          </cell>
          <cell r="L89">
            <v>44414</v>
          </cell>
          <cell r="M89">
            <v>44418</v>
          </cell>
        </row>
        <row r="90">
          <cell r="E90" t="str">
            <v>32</v>
          </cell>
          <cell r="F90">
            <v>44306</v>
          </cell>
          <cell r="J90">
            <v>32</v>
          </cell>
          <cell r="K90">
            <v>44415</v>
          </cell>
          <cell r="L90">
            <v>44421</v>
          </cell>
          <cell r="M90">
            <v>44426</v>
          </cell>
        </row>
        <row r="91">
          <cell r="E91" t="str">
            <v>33</v>
          </cell>
          <cell r="F91">
            <v>44306</v>
          </cell>
          <cell r="J91">
            <v>33</v>
          </cell>
          <cell r="K91">
            <v>44422</v>
          </cell>
          <cell r="L91">
            <v>44428</v>
          </cell>
          <cell r="M91">
            <v>44432</v>
          </cell>
        </row>
        <row r="92">
          <cell r="E92" t="str">
            <v>34</v>
          </cell>
          <cell r="F92">
            <v>44306</v>
          </cell>
          <cell r="J92">
            <v>34</v>
          </cell>
          <cell r="K92">
            <v>44429</v>
          </cell>
          <cell r="L92">
            <v>44435</v>
          </cell>
          <cell r="M92">
            <v>44439</v>
          </cell>
        </row>
        <row r="93">
          <cell r="E93" t="str">
            <v>35</v>
          </cell>
          <cell r="F93">
            <v>44306</v>
          </cell>
          <cell r="J93">
            <v>35</v>
          </cell>
          <cell r="K93">
            <v>44436</v>
          </cell>
          <cell r="L93">
            <v>44442</v>
          </cell>
          <cell r="M93">
            <v>44446</v>
          </cell>
        </row>
        <row r="94">
          <cell r="E94" t="str">
            <v>36</v>
          </cell>
          <cell r="F94">
            <v>44307</v>
          </cell>
          <cell r="J94">
            <v>36</v>
          </cell>
          <cell r="K94">
            <v>44443</v>
          </cell>
          <cell r="L94">
            <v>44449</v>
          </cell>
          <cell r="M94">
            <v>44453</v>
          </cell>
        </row>
        <row r="95">
          <cell r="E95" t="str">
            <v>37</v>
          </cell>
          <cell r="F95">
            <v>44307</v>
          </cell>
          <cell r="J95">
            <v>37</v>
          </cell>
          <cell r="K95">
            <v>44450</v>
          </cell>
          <cell r="L95">
            <v>44456</v>
          </cell>
          <cell r="M95">
            <v>44460</v>
          </cell>
        </row>
        <row r="96">
          <cell r="E96" t="str">
            <v>38</v>
          </cell>
          <cell r="F96">
            <v>44307</v>
          </cell>
          <cell r="J96">
            <v>38</v>
          </cell>
          <cell r="K96">
            <v>44457</v>
          </cell>
          <cell r="L96">
            <v>44463</v>
          </cell>
          <cell r="M96">
            <v>44467</v>
          </cell>
        </row>
        <row r="97">
          <cell r="E97" t="str">
            <v>39</v>
          </cell>
          <cell r="F97">
            <v>44307</v>
          </cell>
          <cell r="J97">
            <v>39</v>
          </cell>
          <cell r="K97">
            <v>44464</v>
          </cell>
          <cell r="L97">
            <v>44470</v>
          </cell>
          <cell r="M97">
            <v>44474</v>
          </cell>
        </row>
        <row r="98">
          <cell r="E98" t="str">
            <v>40</v>
          </cell>
          <cell r="F98">
            <v>44307</v>
          </cell>
          <cell r="J98">
            <v>40</v>
          </cell>
          <cell r="K98">
            <v>44471</v>
          </cell>
          <cell r="L98">
            <v>44477</v>
          </cell>
          <cell r="M98">
            <v>44481</v>
          </cell>
        </row>
        <row r="99">
          <cell r="E99" t="str">
            <v>41</v>
          </cell>
          <cell r="F99">
            <v>44308</v>
          </cell>
          <cell r="J99">
            <v>41</v>
          </cell>
          <cell r="K99">
            <v>44478</v>
          </cell>
          <cell r="L99">
            <v>44484</v>
          </cell>
          <cell r="M99">
            <v>44488</v>
          </cell>
        </row>
        <row r="100">
          <cell r="E100" t="str">
            <v>42</v>
          </cell>
          <cell r="F100">
            <v>44308</v>
          </cell>
          <cell r="J100">
            <v>42</v>
          </cell>
          <cell r="K100">
            <v>44485</v>
          </cell>
          <cell r="L100">
            <v>44491</v>
          </cell>
          <cell r="M100">
            <v>44495</v>
          </cell>
        </row>
        <row r="101">
          <cell r="E101" t="str">
            <v>43</v>
          </cell>
          <cell r="F101">
            <v>44308</v>
          </cell>
          <cell r="J101">
            <v>43</v>
          </cell>
          <cell r="K101">
            <v>44492</v>
          </cell>
          <cell r="L101">
            <v>44498</v>
          </cell>
          <cell r="M101">
            <v>44503</v>
          </cell>
        </row>
        <row r="102">
          <cell r="E102" t="str">
            <v>44</v>
          </cell>
          <cell r="F102">
            <v>44308</v>
          </cell>
          <cell r="J102">
            <v>44</v>
          </cell>
          <cell r="K102">
            <v>44499</v>
          </cell>
          <cell r="L102">
            <v>44505</v>
          </cell>
          <cell r="M102">
            <v>44509</v>
          </cell>
        </row>
        <row r="103">
          <cell r="E103" t="str">
            <v>45</v>
          </cell>
          <cell r="F103">
            <v>44308</v>
          </cell>
          <cell r="J103">
            <v>45</v>
          </cell>
          <cell r="K103">
            <v>44506</v>
          </cell>
          <cell r="L103">
            <v>44512</v>
          </cell>
          <cell r="M103">
            <v>44517</v>
          </cell>
        </row>
        <row r="104">
          <cell r="E104" t="str">
            <v>46</v>
          </cell>
          <cell r="F104">
            <v>44309</v>
          </cell>
          <cell r="J104">
            <v>46</v>
          </cell>
          <cell r="K104">
            <v>44513</v>
          </cell>
          <cell r="L104">
            <v>44519</v>
          </cell>
          <cell r="M104">
            <v>44523</v>
          </cell>
        </row>
        <row r="105">
          <cell r="E105" t="str">
            <v>47</v>
          </cell>
          <cell r="F105">
            <v>44309</v>
          </cell>
          <cell r="J105">
            <v>47</v>
          </cell>
          <cell r="K105">
            <v>44520</v>
          </cell>
          <cell r="L105">
            <v>44526</v>
          </cell>
          <cell r="M105">
            <v>44530</v>
          </cell>
        </row>
        <row r="106">
          <cell r="E106" t="str">
            <v>48</v>
          </cell>
          <cell r="F106">
            <v>44309</v>
          </cell>
          <cell r="J106">
            <v>48</v>
          </cell>
          <cell r="K106">
            <v>44527</v>
          </cell>
          <cell r="L106">
            <v>44533</v>
          </cell>
          <cell r="M106">
            <v>44537</v>
          </cell>
        </row>
        <row r="107">
          <cell r="E107" t="str">
            <v>49</v>
          </cell>
          <cell r="F107">
            <v>44309</v>
          </cell>
          <cell r="J107">
            <v>49</v>
          </cell>
          <cell r="K107">
            <v>44534</v>
          </cell>
          <cell r="L107">
            <v>44540</v>
          </cell>
          <cell r="M107">
            <v>44544</v>
          </cell>
        </row>
        <row r="108">
          <cell r="E108" t="str">
            <v>50</v>
          </cell>
          <cell r="F108">
            <v>44309</v>
          </cell>
          <cell r="J108">
            <v>50</v>
          </cell>
          <cell r="K108">
            <v>44541</v>
          </cell>
          <cell r="L108">
            <v>44547</v>
          </cell>
          <cell r="M108">
            <v>44551</v>
          </cell>
        </row>
        <row r="109">
          <cell r="E109" t="str">
            <v>51</v>
          </cell>
          <cell r="F109">
            <v>44312</v>
          </cell>
          <cell r="J109">
            <v>51</v>
          </cell>
          <cell r="K109">
            <v>44548</v>
          </cell>
          <cell r="L109">
            <v>44554</v>
          </cell>
          <cell r="M109">
            <v>44558</v>
          </cell>
        </row>
        <row r="110">
          <cell r="E110" t="str">
            <v>52</v>
          </cell>
          <cell r="F110">
            <v>44312</v>
          </cell>
          <cell r="J110">
            <v>52</v>
          </cell>
          <cell r="K110">
            <v>44555</v>
          </cell>
          <cell r="L110">
            <v>44561</v>
          </cell>
          <cell r="M110">
            <v>44565</v>
          </cell>
        </row>
        <row r="111">
          <cell r="E111" t="str">
            <v>53</v>
          </cell>
          <cell r="F111">
            <v>44312</v>
          </cell>
        </row>
        <row r="112">
          <cell r="E112" t="str">
            <v>54</v>
          </cell>
          <cell r="F112">
            <v>44312</v>
          </cell>
        </row>
        <row r="113">
          <cell r="E113" t="str">
            <v>55</v>
          </cell>
          <cell r="F113">
            <v>44312</v>
          </cell>
        </row>
        <row r="114">
          <cell r="E114" t="str">
            <v>56</v>
          </cell>
          <cell r="F114">
            <v>44313</v>
          </cell>
        </row>
        <row r="115">
          <cell r="E115" t="str">
            <v>57</v>
          </cell>
          <cell r="F115">
            <v>44313</v>
          </cell>
        </row>
        <row r="116">
          <cell r="E116" t="str">
            <v>58</v>
          </cell>
          <cell r="F116">
            <v>44313</v>
          </cell>
        </row>
        <row r="117">
          <cell r="E117" t="str">
            <v>59</v>
          </cell>
          <cell r="F117">
            <v>44313</v>
          </cell>
        </row>
        <row r="118">
          <cell r="E118" t="str">
            <v>60</v>
          </cell>
          <cell r="F118">
            <v>44313</v>
          </cell>
        </row>
        <row r="119">
          <cell r="E119" t="str">
            <v>61</v>
          </cell>
          <cell r="F119">
            <v>44314</v>
          </cell>
        </row>
        <row r="120">
          <cell r="E120" t="str">
            <v>62</v>
          </cell>
          <cell r="F120">
            <v>44314</v>
          </cell>
        </row>
        <row r="121">
          <cell r="E121" t="str">
            <v>63</v>
          </cell>
          <cell r="F121">
            <v>44314</v>
          </cell>
        </row>
        <row r="122">
          <cell r="E122" t="str">
            <v>64</v>
          </cell>
          <cell r="F122">
            <v>44314</v>
          </cell>
        </row>
        <row r="123">
          <cell r="E123" t="str">
            <v>65</v>
          </cell>
          <cell r="F123">
            <v>44314</v>
          </cell>
        </row>
        <row r="124">
          <cell r="E124" t="str">
            <v>66</v>
          </cell>
          <cell r="F124">
            <v>44315</v>
          </cell>
        </row>
        <row r="125">
          <cell r="E125" t="str">
            <v>67</v>
          </cell>
          <cell r="F125">
            <v>44315</v>
          </cell>
        </row>
        <row r="126">
          <cell r="E126" t="str">
            <v>68</v>
          </cell>
          <cell r="F126">
            <v>44315</v>
          </cell>
        </row>
        <row r="127">
          <cell r="E127" t="str">
            <v>69</v>
          </cell>
          <cell r="F127">
            <v>44315</v>
          </cell>
        </row>
        <row r="128">
          <cell r="E128" t="str">
            <v>70</v>
          </cell>
          <cell r="F128">
            <v>44315</v>
          </cell>
        </row>
        <row r="129">
          <cell r="E129" t="str">
            <v>71</v>
          </cell>
          <cell r="F129">
            <v>44316</v>
          </cell>
        </row>
        <row r="130">
          <cell r="E130" t="str">
            <v>72</v>
          </cell>
          <cell r="F130">
            <v>44316</v>
          </cell>
        </row>
        <row r="131">
          <cell r="E131" t="str">
            <v>73</v>
          </cell>
          <cell r="F131">
            <v>44316</v>
          </cell>
        </row>
        <row r="132">
          <cell r="E132" t="str">
            <v>74</v>
          </cell>
          <cell r="F132">
            <v>44316</v>
          </cell>
        </row>
        <row r="133">
          <cell r="E133" t="str">
            <v>75</v>
          </cell>
          <cell r="F133">
            <v>44316</v>
          </cell>
        </row>
        <row r="134">
          <cell r="E134" t="str">
            <v>76</v>
          </cell>
          <cell r="F134">
            <v>44319</v>
          </cell>
        </row>
        <row r="135">
          <cell r="E135" t="str">
            <v>77</v>
          </cell>
          <cell r="F135">
            <v>44319</v>
          </cell>
        </row>
        <row r="136">
          <cell r="E136" t="str">
            <v>78</v>
          </cell>
          <cell r="F136">
            <v>44319</v>
          </cell>
        </row>
        <row r="137">
          <cell r="E137" t="str">
            <v>79</v>
          </cell>
          <cell r="F137">
            <v>44319</v>
          </cell>
        </row>
        <row r="138">
          <cell r="E138" t="str">
            <v>80</v>
          </cell>
          <cell r="F138">
            <v>44319</v>
          </cell>
        </row>
        <row r="139">
          <cell r="E139" t="str">
            <v>81</v>
          </cell>
          <cell r="F139">
            <v>44320</v>
          </cell>
        </row>
        <row r="140">
          <cell r="E140" t="str">
            <v>82</v>
          </cell>
          <cell r="F140">
            <v>44320</v>
          </cell>
        </row>
        <row r="141">
          <cell r="E141" t="str">
            <v>83</v>
          </cell>
          <cell r="F141">
            <v>44320</v>
          </cell>
        </row>
        <row r="142">
          <cell r="E142" t="str">
            <v>84</v>
          </cell>
          <cell r="F142">
            <v>44320</v>
          </cell>
        </row>
        <row r="143">
          <cell r="E143" t="str">
            <v>85</v>
          </cell>
          <cell r="F143">
            <v>44320</v>
          </cell>
        </row>
        <row r="144">
          <cell r="E144" t="str">
            <v>86</v>
          </cell>
          <cell r="F144">
            <v>44321</v>
          </cell>
        </row>
        <row r="145">
          <cell r="E145" t="str">
            <v>87</v>
          </cell>
          <cell r="F145">
            <v>44321</v>
          </cell>
        </row>
        <row r="146">
          <cell r="E146" t="str">
            <v>88</v>
          </cell>
          <cell r="F146">
            <v>44321</v>
          </cell>
        </row>
        <row r="147">
          <cell r="E147" t="str">
            <v>89</v>
          </cell>
          <cell r="F147">
            <v>44321</v>
          </cell>
        </row>
        <row r="148">
          <cell r="E148" t="str">
            <v>90</v>
          </cell>
          <cell r="F148">
            <v>44321</v>
          </cell>
        </row>
        <row r="149">
          <cell r="E149" t="str">
            <v>91</v>
          </cell>
          <cell r="F149">
            <v>44322</v>
          </cell>
        </row>
        <row r="150">
          <cell r="E150" t="str">
            <v>92</v>
          </cell>
          <cell r="F150">
            <v>44322</v>
          </cell>
        </row>
        <row r="151">
          <cell r="E151" t="str">
            <v>93</v>
          </cell>
          <cell r="F151">
            <v>44322</v>
          </cell>
        </row>
        <row r="152">
          <cell r="E152" t="str">
            <v>94</v>
          </cell>
          <cell r="F152">
            <v>44322</v>
          </cell>
        </row>
        <row r="153">
          <cell r="E153" t="str">
            <v>95</v>
          </cell>
          <cell r="F153">
            <v>44322</v>
          </cell>
        </row>
        <row r="154">
          <cell r="E154" t="str">
            <v>96</v>
          </cell>
          <cell r="F154">
            <v>44323</v>
          </cell>
        </row>
        <row r="155">
          <cell r="E155" t="str">
            <v>97</v>
          </cell>
          <cell r="F155">
            <v>44323</v>
          </cell>
        </row>
        <row r="156">
          <cell r="E156" t="str">
            <v>98</v>
          </cell>
          <cell r="F156">
            <v>44323</v>
          </cell>
        </row>
        <row r="157">
          <cell r="E157" t="str">
            <v>99</v>
          </cell>
          <cell r="F157">
            <v>44323</v>
          </cell>
        </row>
        <row r="158">
          <cell r="E158" t="str">
            <v>00</v>
          </cell>
          <cell r="F158">
            <v>44323</v>
          </cell>
        </row>
        <row r="162">
          <cell r="E162" t="str">
            <v>01</v>
          </cell>
          <cell r="F162">
            <v>44418</v>
          </cell>
          <cell r="J162" t="str">
            <v>01</v>
          </cell>
          <cell r="K162">
            <v>44341</v>
          </cell>
          <cell r="N162">
            <v>1</v>
          </cell>
          <cell r="O162">
            <v>44313</v>
          </cell>
        </row>
        <row r="163">
          <cell r="E163" t="str">
            <v>02</v>
          </cell>
          <cell r="F163">
            <v>44418</v>
          </cell>
          <cell r="J163" t="str">
            <v>02</v>
          </cell>
          <cell r="K163">
            <v>44341</v>
          </cell>
          <cell r="N163">
            <v>2</v>
          </cell>
          <cell r="O163">
            <v>44314</v>
          </cell>
        </row>
        <row r="164">
          <cell r="E164" t="str">
            <v>03</v>
          </cell>
          <cell r="F164">
            <v>44419</v>
          </cell>
          <cell r="J164" t="str">
            <v>03</v>
          </cell>
          <cell r="K164">
            <v>44341</v>
          </cell>
          <cell r="N164">
            <v>3</v>
          </cell>
          <cell r="O164">
            <v>44315</v>
          </cell>
        </row>
        <row r="165">
          <cell r="E165" t="str">
            <v>04</v>
          </cell>
          <cell r="F165">
            <v>44419</v>
          </cell>
          <cell r="J165" t="str">
            <v>04</v>
          </cell>
          <cell r="K165">
            <v>44341</v>
          </cell>
          <cell r="N165">
            <v>4</v>
          </cell>
          <cell r="O165">
            <v>44316</v>
          </cell>
        </row>
        <row r="166">
          <cell r="E166" t="str">
            <v>05</v>
          </cell>
          <cell r="F166">
            <v>44420</v>
          </cell>
          <cell r="J166" t="str">
            <v>05</v>
          </cell>
          <cell r="K166">
            <v>44341</v>
          </cell>
          <cell r="N166">
            <v>5</v>
          </cell>
          <cell r="O166">
            <v>44319</v>
          </cell>
        </row>
        <row r="167">
          <cell r="E167" t="str">
            <v>06</v>
          </cell>
          <cell r="F167">
            <v>44420</v>
          </cell>
          <cell r="J167" t="str">
            <v>06</v>
          </cell>
          <cell r="K167">
            <v>44341</v>
          </cell>
          <cell r="N167">
            <v>6</v>
          </cell>
          <cell r="O167">
            <v>44320</v>
          </cell>
        </row>
        <row r="168">
          <cell r="E168" t="str">
            <v>07</v>
          </cell>
          <cell r="F168">
            <v>44421</v>
          </cell>
          <cell r="J168" t="str">
            <v>07</v>
          </cell>
          <cell r="K168">
            <v>44342</v>
          </cell>
          <cell r="N168">
            <v>7</v>
          </cell>
          <cell r="O168">
            <v>44321</v>
          </cell>
        </row>
        <row r="169">
          <cell r="E169" t="str">
            <v>08</v>
          </cell>
          <cell r="F169">
            <v>44421</v>
          </cell>
          <cell r="J169" t="str">
            <v>08</v>
          </cell>
          <cell r="K169">
            <v>44342</v>
          </cell>
          <cell r="N169">
            <v>8</v>
          </cell>
          <cell r="O169">
            <v>44322</v>
          </cell>
        </row>
        <row r="170">
          <cell r="E170" t="str">
            <v>09</v>
          </cell>
          <cell r="F170">
            <v>44425</v>
          </cell>
          <cell r="J170" t="str">
            <v>09</v>
          </cell>
          <cell r="K170">
            <v>44342</v>
          </cell>
          <cell r="N170">
            <v>9</v>
          </cell>
          <cell r="O170">
            <v>44323</v>
          </cell>
        </row>
        <row r="171">
          <cell r="E171" t="str">
            <v>10</v>
          </cell>
          <cell r="F171">
            <v>44425</v>
          </cell>
          <cell r="J171" t="str">
            <v>10</v>
          </cell>
          <cell r="K171">
            <v>44342</v>
          </cell>
          <cell r="N171">
            <v>0</v>
          </cell>
          <cell r="O171">
            <v>44326</v>
          </cell>
        </row>
        <row r="172">
          <cell r="E172" t="str">
            <v>11</v>
          </cell>
          <cell r="F172">
            <v>44426</v>
          </cell>
          <cell r="J172" t="str">
            <v>11</v>
          </cell>
          <cell r="K172">
            <v>44342</v>
          </cell>
        </row>
        <row r="173">
          <cell r="E173" t="str">
            <v>12</v>
          </cell>
          <cell r="F173">
            <v>44426</v>
          </cell>
          <cell r="J173" t="str">
            <v>12</v>
          </cell>
          <cell r="K173">
            <v>44342</v>
          </cell>
        </row>
        <row r="174">
          <cell r="E174" t="str">
            <v>13</v>
          </cell>
          <cell r="F174">
            <v>44427</v>
          </cell>
          <cell r="J174" t="str">
            <v>13</v>
          </cell>
          <cell r="K174">
            <v>44343</v>
          </cell>
        </row>
        <row r="175">
          <cell r="E175" t="str">
            <v>14</v>
          </cell>
          <cell r="F175">
            <v>44427</v>
          </cell>
          <cell r="J175" t="str">
            <v>14</v>
          </cell>
          <cell r="K175">
            <v>44343</v>
          </cell>
        </row>
        <row r="176">
          <cell r="E176" t="str">
            <v>15</v>
          </cell>
          <cell r="F176">
            <v>44428</v>
          </cell>
          <cell r="J176" t="str">
            <v>15</v>
          </cell>
          <cell r="K176">
            <v>44343</v>
          </cell>
        </row>
        <row r="177">
          <cell r="E177" t="str">
            <v>16</v>
          </cell>
          <cell r="F177">
            <v>44428</v>
          </cell>
          <cell r="J177" t="str">
            <v>16</v>
          </cell>
          <cell r="K177">
            <v>44343</v>
          </cell>
        </row>
        <row r="178">
          <cell r="E178" t="str">
            <v>17</v>
          </cell>
          <cell r="F178">
            <v>44431</v>
          </cell>
          <cell r="J178" t="str">
            <v>17</v>
          </cell>
          <cell r="K178">
            <v>44343</v>
          </cell>
        </row>
        <row r="179">
          <cell r="E179" t="str">
            <v>18</v>
          </cell>
          <cell r="F179">
            <v>44431</v>
          </cell>
          <cell r="J179" t="str">
            <v>18</v>
          </cell>
          <cell r="K179">
            <v>44343</v>
          </cell>
        </row>
        <row r="180">
          <cell r="E180" t="str">
            <v>19</v>
          </cell>
          <cell r="F180">
            <v>44432</v>
          </cell>
          <cell r="J180" t="str">
            <v>19</v>
          </cell>
          <cell r="K180">
            <v>44344</v>
          </cell>
        </row>
        <row r="181">
          <cell r="E181" t="str">
            <v>20</v>
          </cell>
          <cell r="F181">
            <v>44432</v>
          </cell>
          <cell r="J181" t="str">
            <v>20</v>
          </cell>
          <cell r="K181">
            <v>44344</v>
          </cell>
        </row>
        <row r="182">
          <cell r="E182" t="str">
            <v>21</v>
          </cell>
          <cell r="F182">
            <v>44433</v>
          </cell>
          <cell r="J182" t="str">
            <v>21</v>
          </cell>
          <cell r="K182">
            <v>44344</v>
          </cell>
        </row>
        <row r="183">
          <cell r="E183" t="str">
            <v>22</v>
          </cell>
          <cell r="F183">
            <v>44433</v>
          </cell>
          <cell r="J183" t="str">
            <v>22</v>
          </cell>
          <cell r="K183">
            <v>44344</v>
          </cell>
        </row>
        <row r="184">
          <cell r="E184" t="str">
            <v>23</v>
          </cell>
          <cell r="F184">
            <v>44434</v>
          </cell>
          <cell r="J184" t="str">
            <v>23</v>
          </cell>
          <cell r="K184">
            <v>44344</v>
          </cell>
        </row>
        <row r="185">
          <cell r="E185" t="str">
            <v>24</v>
          </cell>
          <cell r="F185">
            <v>44434</v>
          </cell>
          <cell r="J185" t="str">
            <v>24</v>
          </cell>
          <cell r="K185">
            <v>44344</v>
          </cell>
        </row>
        <row r="186">
          <cell r="E186" t="str">
            <v>25</v>
          </cell>
          <cell r="F186">
            <v>44435</v>
          </cell>
          <cell r="J186" t="str">
            <v>25</v>
          </cell>
          <cell r="K186">
            <v>44347</v>
          </cell>
        </row>
        <row r="187">
          <cell r="E187" t="str">
            <v>26</v>
          </cell>
          <cell r="F187">
            <v>44435</v>
          </cell>
          <cell r="J187" t="str">
            <v>26</v>
          </cell>
          <cell r="K187">
            <v>44347</v>
          </cell>
        </row>
        <row r="188">
          <cell r="E188" t="str">
            <v>27</v>
          </cell>
          <cell r="F188">
            <v>44438</v>
          </cell>
          <cell r="J188" t="str">
            <v>27</v>
          </cell>
          <cell r="K188">
            <v>44347</v>
          </cell>
        </row>
        <row r="189">
          <cell r="E189" t="str">
            <v>28</v>
          </cell>
          <cell r="F189">
            <v>44438</v>
          </cell>
          <cell r="J189" t="str">
            <v>28</v>
          </cell>
          <cell r="K189">
            <v>44347</v>
          </cell>
        </row>
        <row r="190">
          <cell r="E190" t="str">
            <v>29</v>
          </cell>
          <cell r="F190">
            <v>44439</v>
          </cell>
          <cell r="J190" t="str">
            <v>29</v>
          </cell>
          <cell r="K190">
            <v>44347</v>
          </cell>
        </row>
        <row r="191">
          <cell r="E191" t="str">
            <v>30</v>
          </cell>
          <cell r="F191">
            <v>44439</v>
          </cell>
          <cell r="J191" t="str">
            <v>30</v>
          </cell>
          <cell r="K191">
            <v>44347</v>
          </cell>
        </row>
        <row r="192">
          <cell r="E192" t="str">
            <v>31</v>
          </cell>
          <cell r="F192">
            <v>44440</v>
          </cell>
          <cell r="J192" t="str">
            <v>31</v>
          </cell>
          <cell r="K192">
            <v>44348</v>
          </cell>
        </row>
        <row r="193">
          <cell r="E193" t="str">
            <v>32</v>
          </cell>
          <cell r="F193">
            <v>44440</v>
          </cell>
          <cell r="J193" t="str">
            <v>32</v>
          </cell>
          <cell r="K193">
            <v>44348</v>
          </cell>
        </row>
        <row r="194">
          <cell r="E194" t="str">
            <v>33</v>
          </cell>
          <cell r="F194">
            <v>44441</v>
          </cell>
          <cell r="J194" t="str">
            <v>33</v>
          </cell>
          <cell r="K194">
            <v>44348</v>
          </cell>
        </row>
        <row r="195">
          <cell r="E195" t="str">
            <v>34</v>
          </cell>
          <cell r="F195">
            <v>44441</v>
          </cell>
          <cell r="J195" t="str">
            <v>34</v>
          </cell>
          <cell r="K195">
            <v>44348</v>
          </cell>
        </row>
        <row r="196">
          <cell r="E196" t="str">
            <v>35</v>
          </cell>
          <cell r="F196">
            <v>44442</v>
          </cell>
          <cell r="J196" t="str">
            <v>35</v>
          </cell>
          <cell r="K196">
            <v>44348</v>
          </cell>
        </row>
        <row r="197">
          <cell r="E197" t="str">
            <v>36</v>
          </cell>
          <cell r="F197">
            <v>44442</v>
          </cell>
          <cell r="J197" t="str">
            <v>36</v>
          </cell>
          <cell r="K197">
            <v>44348</v>
          </cell>
        </row>
        <row r="198">
          <cell r="E198" t="str">
            <v>37</v>
          </cell>
          <cell r="F198">
            <v>44445</v>
          </cell>
          <cell r="J198" t="str">
            <v>37</v>
          </cell>
          <cell r="K198">
            <v>44348</v>
          </cell>
        </row>
        <row r="199">
          <cell r="E199" t="str">
            <v>38</v>
          </cell>
          <cell r="F199">
            <v>44445</v>
          </cell>
          <cell r="J199" t="str">
            <v>38</v>
          </cell>
          <cell r="K199">
            <v>44349</v>
          </cell>
        </row>
        <row r="200">
          <cell r="E200" t="str">
            <v>39</v>
          </cell>
          <cell r="F200">
            <v>44446</v>
          </cell>
          <cell r="J200" t="str">
            <v>39</v>
          </cell>
          <cell r="K200">
            <v>44349</v>
          </cell>
        </row>
        <row r="201">
          <cell r="E201" t="str">
            <v>40</v>
          </cell>
          <cell r="F201">
            <v>44446</v>
          </cell>
          <cell r="J201" t="str">
            <v>40</v>
          </cell>
          <cell r="K201">
            <v>44349</v>
          </cell>
        </row>
        <row r="202">
          <cell r="E202" t="str">
            <v>41</v>
          </cell>
          <cell r="F202">
            <v>44447</v>
          </cell>
          <cell r="J202" t="str">
            <v>41</v>
          </cell>
          <cell r="K202">
            <v>44349</v>
          </cell>
        </row>
        <row r="203">
          <cell r="E203" t="str">
            <v>42</v>
          </cell>
          <cell r="F203">
            <v>44447</v>
          </cell>
          <cell r="J203" t="str">
            <v>42</v>
          </cell>
          <cell r="K203">
            <v>44349</v>
          </cell>
        </row>
        <row r="204">
          <cell r="E204" t="str">
            <v>43</v>
          </cell>
          <cell r="F204">
            <v>44448</v>
          </cell>
          <cell r="J204" t="str">
            <v>43</v>
          </cell>
          <cell r="K204">
            <v>44349</v>
          </cell>
        </row>
        <row r="205">
          <cell r="E205" t="str">
            <v>44</v>
          </cell>
          <cell r="F205">
            <v>44448</v>
          </cell>
          <cell r="J205" t="str">
            <v>44</v>
          </cell>
          <cell r="K205">
            <v>44349</v>
          </cell>
        </row>
        <row r="206">
          <cell r="E206" t="str">
            <v>45</v>
          </cell>
          <cell r="F206">
            <v>44449</v>
          </cell>
          <cell r="J206" t="str">
            <v>45</v>
          </cell>
          <cell r="K206">
            <v>44350</v>
          </cell>
        </row>
        <row r="207">
          <cell r="E207" t="str">
            <v>46</v>
          </cell>
          <cell r="F207">
            <v>44449</v>
          </cell>
          <cell r="J207" t="str">
            <v>46</v>
          </cell>
          <cell r="K207">
            <v>44350</v>
          </cell>
        </row>
        <row r="208">
          <cell r="E208" t="str">
            <v>47</v>
          </cell>
          <cell r="F208">
            <v>44452</v>
          </cell>
          <cell r="J208" t="str">
            <v>47</v>
          </cell>
          <cell r="K208">
            <v>44350</v>
          </cell>
        </row>
        <row r="209">
          <cell r="E209" t="str">
            <v>48</v>
          </cell>
          <cell r="F209">
            <v>44452</v>
          </cell>
          <cell r="J209" t="str">
            <v>48</v>
          </cell>
          <cell r="K209">
            <v>44350</v>
          </cell>
        </row>
        <row r="210">
          <cell r="E210" t="str">
            <v>49</v>
          </cell>
          <cell r="F210">
            <v>44453</v>
          </cell>
          <cell r="J210" t="str">
            <v>49</v>
          </cell>
          <cell r="K210">
            <v>44350</v>
          </cell>
        </row>
        <row r="211">
          <cell r="E211" t="str">
            <v>50</v>
          </cell>
          <cell r="F211">
            <v>44453</v>
          </cell>
          <cell r="J211" t="str">
            <v>50</v>
          </cell>
          <cell r="K211">
            <v>44350</v>
          </cell>
        </row>
        <row r="212">
          <cell r="E212" t="str">
            <v>51</v>
          </cell>
          <cell r="F212">
            <v>44454</v>
          </cell>
          <cell r="J212" t="str">
            <v>51</v>
          </cell>
          <cell r="K212">
            <v>44350</v>
          </cell>
        </row>
        <row r="213">
          <cell r="E213" t="str">
            <v>52</v>
          </cell>
          <cell r="F213">
            <v>44454</v>
          </cell>
          <cell r="J213" t="str">
            <v>52</v>
          </cell>
          <cell r="K213">
            <v>44351</v>
          </cell>
        </row>
        <row r="214">
          <cell r="E214" t="str">
            <v>53</v>
          </cell>
          <cell r="F214">
            <v>44455</v>
          </cell>
          <cell r="J214" t="str">
            <v>53</v>
          </cell>
          <cell r="K214">
            <v>44351</v>
          </cell>
        </row>
        <row r="215">
          <cell r="E215" t="str">
            <v>54</v>
          </cell>
          <cell r="F215">
            <v>44455</v>
          </cell>
          <cell r="J215" t="str">
            <v>54</v>
          </cell>
          <cell r="K215">
            <v>44351</v>
          </cell>
        </row>
        <row r="216">
          <cell r="E216" t="str">
            <v>55</v>
          </cell>
          <cell r="F216">
            <v>44456</v>
          </cell>
          <cell r="J216" t="str">
            <v>55</v>
          </cell>
          <cell r="K216">
            <v>44351</v>
          </cell>
        </row>
        <row r="217">
          <cell r="E217" t="str">
            <v>56</v>
          </cell>
          <cell r="F217">
            <v>44456</v>
          </cell>
          <cell r="J217" t="str">
            <v>56</v>
          </cell>
          <cell r="K217">
            <v>44351</v>
          </cell>
        </row>
        <row r="218">
          <cell r="E218" t="str">
            <v>57</v>
          </cell>
          <cell r="F218">
            <v>44459</v>
          </cell>
          <cell r="J218" t="str">
            <v>57</v>
          </cell>
          <cell r="K218">
            <v>44351</v>
          </cell>
        </row>
        <row r="219">
          <cell r="E219" t="str">
            <v>58</v>
          </cell>
          <cell r="F219">
            <v>44459</v>
          </cell>
          <cell r="J219" t="str">
            <v>58</v>
          </cell>
          <cell r="K219">
            <v>44351</v>
          </cell>
        </row>
        <row r="220">
          <cell r="E220" t="str">
            <v>59</v>
          </cell>
          <cell r="F220">
            <v>44460</v>
          </cell>
          <cell r="J220" t="str">
            <v>59</v>
          </cell>
          <cell r="K220">
            <v>44355</v>
          </cell>
        </row>
        <row r="221">
          <cell r="E221" t="str">
            <v>60</v>
          </cell>
          <cell r="F221">
            <v>44460</v>
          </cell>
          <cell r="J221" t="str">
            <v>60</v>
          </cell>
          <cell r="K221">
            <v>44355</v>
          </cell>
        </row>
        <row r="222">
          <cell r="E222" t="str">
            <v>61</v>
          </cell>
          <cell r="F222">
            <v>43730</v>
          </cell>
          <cell r="J222" t="str">
            <v>61</v>
          </cell>
          <cell r="K222">
            <v>44355</v>
          </cell>
        </row>
        <row r="223">
          <cell r="E223" t="str">
            <v>62</v>
          </cell>
          <cell r="F223">
            <v>44461</v>
          </cell>
          <cell r="J223" t="str">
            <v>62</v>
          </cell>
          <cell r="K223">
            <v>44355</v>
          </cell>
        </row>
        <row r="224">
          <cell r="E224" t="str">
            <v>63</v>
          </cell>
          <cell r="F224">
            <v>44462</v>
          </cell>
          <cell r="J224" t="str">
            <v>63</v>
          </cell>
          <cell r="K224">
            <v>44355</v>
          </cell>
        </row>
        <row r="225">
          <cell r="E225" t="str">
            <v>64</v>
          </cell>
          <cell r="F225">
            <v>44462</v>
          </cell>
          <cell r="J225" t="str">
            <v>64</v>
          </cell>
          <cell r="K225">
            <v>44355</v>
          </cell>
        </row>
        <row r="226">
          <cell r="E226" t="str">
            <v>65</v>
          </cell>
          <cell r="F226">
            <v>44463</v>
          </cell>
          <cell r="J226" t="str">
            <v>65</v>
          </cell>
          <cell r="K226">
            <v>44355</v>
          </cell>
        </row>
        <row r="227">
          <cell r="E227" t="str">
            <v>66</v>
          </cell>
          <cell r="F227">
            <v>44463</v>
          </cell>
          <cell r="J227" t="str">
            <v>66</v>
          </cell>
          <cell r="K227">
            <v>44356</v>
          </cell>
        </row>
        <row r="228">
          <cell r="E228" t="str">
            <v>67</v>
          </cell>
          <cell r="F228">
            <v>44466</v>
          </cell>
          <cell r="J228" t="str">
            <v>67</v>
          </cell>
          <cell r="K228">
            <v>44356</v>
          </cell>
        </row>
        <row r="229">
          <cell r="E229" t="str">
            <v>68</v>
          </cell>
          <cell r="F229">
            <v>44466</v>
          </cell>
          <cell r="J229" t="str">
            <v>68</v>
          </cell>
          <cell r="K229">
            <v>44356</v>
          </cell>
        </row>
        <row r="230">
          <cell r="E230" t="str">
            <v>69</v>
          </cell>
          <cell r="F230">
            <v>44467</v>
          </cell>
          <cell r="J230" t="str">
            <v>69</v>
          </cell>
          <cell r="K230">
            <v>44356</v>
          </cell>
        </row>
        <row r="231">
          <cell r="E231" t="str">
            <v>70</v>
          </cell>
          <cell r="F231">
            <v>44467</v>
          </cell>
          <cell r="J231" t="str">
            <v>70</v>
          </cell>
          <cell r="K231">
            <v>44356</v>
          </cell>
        </row>
        <row r="232">
          <cell r="E232" t="str">
            <v>71</v>
          </cell>
          <cell r="F232">
            <v>44468</v>
          </cell>
          <cell r="J232" t="str">
            <v>71</v>
          </cell>
          <cell r="K232">
            <v>44356</v>
          </cell>
        </row>
        <row r="233">
          <cell r="E233" t="str">
            <v>72</v>
          </cell>
          <cell r="F233">
            <v>44468</v>
          </cell>
          <cell r="J233" t="str">
            <v>72</v>
          </cell>
          <cell r="K233">
            <v>44356</v>
          </cell>
        </row>
        <row r="234">
          <cell r="E234" t="str">
            <v>73</v>
          </cell>
          <cell r="F234">
            <v>44469</v>
          </cell>
          <cell r="J234" t="str">
            <v>73</v>
          </cell>
          <cell r="K234">
            <v>44357</v>
          </cell>
        </row>
        <row r="235">
          <cell r="E235" t="str">
            <v>74</v>
          </cell>
          <cell r="F235">
            <v>44469</v>
          </cell>
          <cell r="J235" t="str">
            <v>74</v>
          </cell>
          <cell r="K235">
            <v>44357</v>
          </cell>
        </row>
        <row r="236">
          <cell r="E236" t="str">
            <v>75</v>
          </cell>
          <cell r="F236">
            <v>44470</v>
          </cell>
          <cell r="J236" t="str">
            <v>75</v>
          </cell>
          <cell r="K236">
            <v>44357</v>
          </cell>
        </row>
        <row r="237">
          <cell r="E237" t="str">
            <v>76</v>
          </cell>
          <cell r="F237">
            <v>44470</v>
          </cell>
          <cell r="J237" t="str">
            <v>76</v>
          </cell>
          <cell r="K237">
            <v>44357</v>
          </cell>
        </row>
        <row r="238">
          <cell r="E238" t="str">
            <v>77</v>
          </cell>
          <cell r="F238">
            <v>44473</v>
          </cell>
          <cell r="J238" t="str">
            <v>77</v>
          </cell>
          <cell r="K238">
            <v>44357</v>
          </cell>
        </row>
        <row r="239">
          <cell r="E239" t="str">
            <v>78</v>
          </cell>
          <cell r="F239">
            <v>44473</v>
          </cell>
          <cell r="J239" t="str">
            <v>78</v>
          </cell>
          <cell r="K239">
            <v>44357</v>
          </cell>
        </row>
        <row r="240">
          <cell r="E240" t="str">
            <v>79</v>
          </cell>
          <cell r="F240">
            <v>44474</v>
          </cell>
          <cell r="J240" t="str">
            <v>79</v>
          </cell>
          <cell r="K240">
            <v>44357</v>
          </cell>
        </row>
        <row r="241">
          <cell r="E241" t="str">
            <v>80</v>
          </cell>
          <cell r="F241">
            <v>44474</v>
          </cell>
          <cell r="J241" t="str">
            <v>80</v>
          </cell>
          <cell r="K241">
            <v>44358</v>
          </cell>
        </row>
        <row r="242">
          <cell r="E242" t="str">
            <v>81</v>
          </cell>
          <cell r="F242">
            <v>44475</v>
          </cell>
          <cell r="J242" t="str">
            <v>81</v>
          </cell>
          <cell r="K242">
            <v>44358</v>
          </cell>
        </row>
        <row r="243">
          <cell r="E243" t="str">
            <v>82</v>
          </cell>
          <cell r="F243">
            <v>44475</v>
          </cell>
          <cell r="J243" t="str">
            <v>82</v>
          </cell>
          <cell r="K243">
            <v>44358</v>
          </cell>
        </row>
        <row r="244">
          <cell r="E244" t="str">
            <v>83</v>
          </cell>
          <cell r="F244">
            <v>44476</v>
          </cell>
          <cell r="J244" t="str">
            <v>83</v>
          </cell>
          <cell r="K244">
            <v>44358</v>
          </cell>
        </row>
        <row r="245">
          <cell r="E245" t="str">
            <v>84</v>
          </cell>
          <cell r="F245">
            <v>44476</v>
          </cell>
          <cell r="J245" t="str">
            <v>84</v>
          </cell>
          <cell r="K245">
            <v>44358</v>
          </cell>
        </row>
        <row r="246">
          <cell r="E246" t="str">
            <v>85</v>
          </cell>
          <cell r="F246">
            <v>44477</v>
          </cell>
          <cell r="J246" t="str">
            <v>85</v>
          </cell>
          <cell r="K246">
            <v>44358</v>
          </cell>
        </row>
        <row r="247">
          <cell r="E247" t="str">
            <v>86</v>
          </cell>
          <cell r="F247">
            <v>44477</v>
          </cell>
          <cell r="J247" t="str">
            <v>86</v>
          </cell>
          <cell r="K247">
            <v>44358</v>
          </cell>
        </row>
        <row r="248">
          <cell r="E248" t="str">
            <v>87</v>
          </cell>
          <cell r="F248">
            <v>44480</v>
          </cell>
          <cell r="J248" t="str">
            <v>87</v>
          </cell>
          <cell r="K248">
            <v>44362</v>
          </cell>
        </row>
        <row r="249">
          <cell r="E249" t="str">
            <v>88</v>
          </cell>
          <cell r="F249">
            <v>44480</v>
          </cell>
          <cell r="J249" t="str">
            <v>88</v>
          </cell>
          <cell r="K249">
            <v>44362</v>
          </cell>
        </row>
        <row r="250">
          <cell r="E250" t="str">
            <v>89</v>
          </cell>
          <cell r="F250">
            <v>44481</v>
          </cell>
          <cell r="J250" t="str">
            <v>89</v>
          </cell>
          <cell r="K250">
            <v>44362</v>
          </cell>
        </row>
        <row r="251">
          <cell r="E251" t="str">
            <v>90</v>
          </cell>
          <cell r="F251">
            <v>44481</v>
          </cell>
          <cell r="J251" t="str">
            <v>90</v>
          </cell>
          <cell r="K251">
            <v>44362</v>
          </cell>
        </row>
        <row r="252">
          <cell r="E252" t="str">
            <v>91</v>
          </cell>
          <cell r="F252">
            <v>44482</v>
          </cell>
          <cell r="J252" t="str">
            <v>91</v>
          </cell>
          <cell r="K252">
            <v>44362</v>
          </cell>
        </row>
        <row r="253">
          <cell r="E253" t="str">
            <v>92</v>
          </cell>
          <cell r="F253">
            <v>44482</v>
          </cell>
          <cell r="J253" t="str">
            <v>92</v>
          </cell>
          <cell r="K253">
            <v>44362</v>
          </cell>
        </row>
        <row r="254">
          <cell r="E254" t="str">
            <v>93</v>
          </cell>
          <cell r="F254">
            <v>44483</v>
          </cell>
          <cell r="J254" t="str">
            <v>93</v>
          </cell>
          <cell r="K254">
            <v>44362</v>
          </cell>
        </row>
        <row r="255">
          <cell r="E255" t="str">
            <v>94</v>
          </cell>
          <cell r="F255">
            <v>44483</v>
          </cell>
          <cell r="J255" t="str">
            <v>94</v>
          </cell>
          <cell r="K255">
            <v>44363</v>
          </cell>
        </row>
        <row r="256">
          <cell r="E256" t="str">
            <v>95</v>
          </cell>
          <cell r="F256">
            <v>44484</v>
          </cell>
          <cell r="J256" t="str">
            <v>95</v>
          </cell>
          <cell r="K256">
            <v>44363</v>
          </cell>
        </row>
        <row r="257">
          <cell r="E257" t="str">
            <v>96</v>
          </cell>
          <cell r="F257">
            <v>44484</v>
          </cell>
          <cell r="J257" t="str">
            <v>96</v>
          </cell>
          <cell r="K257">
            <v>44363</v>
          </cell>
        </row>
        <row r="258">
          <cell r="E258" t="str">
            <v>97</v>
          </cell>
          <cell r="F258">
            <v>44488</v>
          </cell>
          <cell r="J258" t="str">
            <v>97</v>
          </cell>
          <cell r="K258">
            <v>44363</v>
          </cell>
        </row>
        <row r="259">
          <cell r="E259" t="str">
            <v>98</v>
          </cell>
          <cell r="F259">
            <v>44488</v>
          </cell>
          <cell r="J259" t="str">
            <v>98</v>
          </cell>
          <cell r="K259">
            <v>44363</v>
          </cell>
        </row>
        <row r="260">
          <cell r="E260" t="str">
            <v>99</v>
          </cell>
          <cell r="F260">
            <v>44489</v>
          </cell>
          <cell r="J260" t="str">
            <v>99</v>
          </cell>
          <cell r="K260">
            <v>44363</v>
          </cell>
        </row>
        <row r="261">
          <cell r="E261" t="str">
            <v>00</v>
          </cell>
          <cell r="F261">
            <v>44489</v>
          </cell>
          <cell r="J261" t="str">
            <v>00</v>
          </cell>
          <cell r="K261">
            <v>44363</v>
          </cell>
        </row>
        <row r="265">
          <cell r="E265" t="str">
            <v>01</v>
          </cell>
          <cell r="F265">
            <v>44298</v>
          </cell>
          <cell r="J265" t="str">
            <v>01</v>
          </cell>
          <cell r="K265">
            <v>44334</v>
          </cell>
        </row>
        <row r="266">
          <cell r="E266" t="str">
            <v>02</v>
          </cell>
          <cell r="F266">
            <v>44298</v>
          </cell>
          <cell r="J266" t="str">
            <v>02</v>
          </cell>
          <cell r="K266">
            <v>44334</v>
          </cell>
        </row>
        <row r="267">
          <cell r="E267" t="str">
            <v>03</v>
          </cell>
          <cell r="F267">
            <v>44298</v>
          </cell>
          <cell r="J267" t="str">
            <v>03</v>
          </cell>
          <cell r="K267">
            <v>44334</v>
          </cell>
        </row>
        <row r="268">
          <cell r="E268" t="str">
            <v>04</v>
          </cell>
          <cell r="F268">
            <v>44298</v>
          </cell>
          <cell r="J268" t="str">
            <v>04</v>
          </cell>
          <cell r="K268">
            <v>44334</v>
          </cell>
        </row>
        <row r="269">
          <cell r="E269" t="str">
            <v>05</v>
          </cell>
          <cell r="F269">
            <v>44298</v>
          </cell>
          <cell r="J269" t="str">
            <v>05</v>
          </cell>
          <cell r="K269">
            <v>44334</v>
          </cell>
        </row>
        <row r="270">
          <cell r="E270" t="str">
            <v>06</v>
          </cell>
          <cell r="F270">
            <v>44299</v>
          </cell>
          <cell r="J270" t="str">
            <v>06</v>
          </cell>
          <cell r="K270">
            <v>44334</v>
          </cell>
        </row>
        <row r="271">
          <cell r="E271" t="str">
            <v>07</v>
          </cell>
          <cell r="F271">
            <v>44299</v>
          </cell>
          <cell r="J271" t="str">
            <v>07</v>
          </cell>
          <cell r="K271">
            <v>44334</v>
          </cell>
        </row>
        <row r="272">
          <cell r="E272" t="str">
            <v>08</v>
          </cell>
          <cell r="F272">
            <v>44299</v>
          </cell>
          <cell r="J272" t="str">
            <v>08</v>
          </cell>
          <cell r="K272">
            <v>44334</v>
          </cell>
        </row>
        <row r="273">
          <cell r="E273" t="str">
            <v>09</v>
          </cell>
          <cell r="F273">
            <v>44299</v>
          </cell>
          <cell r="J273" t="str">
            <v>09</v>
          </cell>
          <cell r="K273">
            <v>44334</v>
          </cell>
        </row>
        <row r="274">
          <cell r="E274" t="str">
            <v>10</v>
          </cell>
          <cell r="F274">
            <v>44299</v>
          </cell>
          <cell r="J274" t="str">
            <v>10</v>
          </cell>
          <cell r="K274">
            <v>44334</v>
          </cell>
        </row>
        <row r="275">
          <cell r="E275" t="str">
            <v>11</v>
          </cell>
          <cell r="F275">
            <v>44300</v>
          </cell>
          <cell r="J275" t="str">
            <v>11</v>
          </cell>
          <cell r="K275">
            <v>44335</v>
          </cell>
        </row>
        <row r="276">
          <cell r="E276" t="str">
            <v>12</v>
          </cell>
          <cell r="F276">
            <v>44300</v>
          </cell>
          <cell r="J276" t="str">
            <v>12</v>
          </cell>
          <cell r="K276">
            <v>44335</v>
          </cell>
        </row>
        <row r="277">
          <cell r="E277" t="str">
            <v>13</v>
          </cell>
          <cell r="F277">
            <v>44300</v>
          </cell>
          <cell r="J277" t="str">
            <v>13</v>
          </cell>
          <cell r="K277">
            <v>44335</v>
          </cell>
        </row>
        <row r="278">
          <cell r="E278" t="str">
            <v>14</v>
          </cell>
          <cell r="F278">
            <v>44300</v>
          </cell>
          <cell r="J278" t="str">
            <v>14</v>
          </cell>
          <cell r="K278">
            <v>44335</v>
          </cell>
        </row>
        <row r="279">
          <cell r="E279" t="str">
            <v>15</v>
          </cell>
          <cell r="F279">
            <v>44300</v>
          </cell>
          <cell r="J279" t="str">
            <v>15</v>
          </cell>
          <cell r="K279">
            <v>44335</v>
          </cell>
        </row>
        <row r="280">
          <cell r="E280" t="str">
            <v>16</v>
          </cell>
          <cell r="F280">
            <v>44301</v>
          </cell>
          <cell r="J280" t="str">
            <v>16</v>
          </cell>
          <cell r="K280">
            <v>44335</v>
          </cell>
        </row>
        <row r="281">
          <cell r="E281" t="str">
            <v>17</v>
          </cell>
          <cell r="F281">
            <v>44301</v>
          </cell>
          <cell r="J281" t="str">
            <v>17</v>
          </cell>
          <cell r="K281">
            <v>44335</v>
          </cell>
        </row>
        <row r="282">
          <cell r="E282" t="str">
            <v>18</v>
          </cell>
          <cell r="F282">
            <v>44301</v>
          </cell>
          <cell r="J282" t="str">
            <v>18</v>
          </cell>
          <cell r="K282">
            <v>44335</v>
          </cell>
        </row>
        <row r="283">
          <cell r="E283" t="str">
            <v>19</v>
          </cell>
          <cell r="F283">
            <v>44301</v>
          </cell>
          <cell r="J283" t="str">
            <v>19</v>
          </cell>
          <cell r="K283">
            <v>44335</v>
          </cell>
        </row>
        <row r="284">
          <cell r="E284" t="str">
            <v>20</v>
          </cell>
          <cell r="F284">
            <v>44301</v>
          </cell>
          <cell r="J284" t="str">
            <v>20</v>
          </cell>
          <cell r="K284">
            <v>44335</v>
          </cell>
        </row>
        <row r="285">
          <cell r="E285" t="str">
            <v>21</v>
          </cell>
          <cell r="F285">
            <v>44302</v>
          </cell>
          <cell r="J285" t="str">
            <v>21</v>
          </cell>
          <cell r="K285">
            <v>44336</v>
          </cell>
        </row>
        <row r="286">
          <cell r="E286" t="str">
            <v>22</v>
          </cell>
          <cell r="F286">
            <v>44302</v>
          </cell>
          <cell r="J286" t="str">
            <v>22</v>
          </cell>
          <cell r="K286">
            <v>44336</v>
          </cell>
        </row>
        <row r="287">
          <cell r="E287" t="str">
            <v>23</v>
          </cell>
          <cell r="F287">
            <v>44302</v>
          </cell>
          <cell r="J287" t="str">
            <v>23</v>
          </cell>
          <cell r="K287">
            <v>44336</v>
          </cell>
        </row>
        <row r="288">
          <cell r="E288" t="str">
            <v>24</v>
          </cell>
          <cell r="F288">
            <v>44302</v>
          </cell>
          <cell r="J288" t="str">
            <v>24</v>
          </cell>
          <cell r="K288">
            <v>44336</v>
          </cell>
        </row>
        <row r="289">
          <cell r="E289" t="str">
            <v>25</v>
          </cell>
          <cell r="F289">
            <v>44302</v>
          </cell>
          <cell r="J289" t="str">
            <v>25</v>
          </cell>
          <cell r="K289">
            <v>44336</v>
          </cell>
        </row>
        <row r="290">
          <cell r="E290" t="str">
            <v>26</v>
          </cell>
          <cell r="F290">
            <v>44305</v>
          </cell>
          <cell r="J290" t="str">
            <v>26</v>
          </cell>
          <cell r="K290">
            <v>44336</v>
          </cell>
        </row>
        <row r="291">
          <cell r="E291" t="str">
            <v>27</v>
          </cell>
          <cell r="F291">
            <v>44305</v>
          </cell>
          <cell r="J291" t="str">
            <v>27</v>
          </cell>
          <cell r="K291">
            <v>44336</v>
          </cell>
        </row>
        <row r="292">
          <cell r="E292" t="str">
            <v>28</v>
          </cell>
          <cell r="F292">
            <v>44305</v>
          </cell>
          <cell r="J292" t="str">
            <v>28</v>
          </cell>
          <cell r="K292">
            <v>44336</v>
          </cell>
        </row>
        <row r="293">
          <cell r="E293" t="str">
            <v>29</v>
          </cell>
          <cell r="F293">
            <v>44305</v>
          </cell>
          <cell r="J293" t="str">
            <v>29</v>
          </cell>
          <cell r="K293">
            <v>44336</v>
          </cell>
        </row>
        <row r="294">
          <cell r="E294" t="str">
            <v>30</v>
          </cell>
          <cell r="F294">
            <v>44305</v>
          </cell>
          <cell r="J294" t="str">
            <v>30</v>
          </cell>
          <cell r="K294">
            <v>44336</v>
          </cell>
        </row>
        <row r="295">
          <cell r="E295" t="str">
            <v>31</v>
          </cell>
          <cell r="F295">
            <v>44306</v>
          </cell>
          <cell r="J295" t="str">
            <v>31</v>
          </cell>
          <cell r="K295">
            <v>44337</v>
          </cell>
        </row>
        <row r="296">
          <cell r="E296" t="str">
            <v>32</v>
          </cell>
          <cell r="F296">
            <v>44306</v>
          </cell>
          <cell r="J296" t="str">
            <v>32</v>
          </cell>
          <cell r="K296">
            <v>44337</v>
          </cell>
        </row>
        <row r="297">
          <cell r="E297" t="str">
            <v>33</v>
          </cell>
          <cell r="F297">
            <v>44306</v>
          </cell>
          <cell r="J297" t="str">
            <v>33</v>
          </cell>
          <cell r="K297">
            <v>44337</v>
          </cell>
        </row>
        <row r="298">
          <cell r="E298" t="str">
            <v>34</v>
          </cell>
          <cell r="F298">
            <v>44306</v>
          </cell>
          <cell r="J298" t="str">
            <v>34</v>
          </cell>
          <cell r="K298">
            <v>44337</v>
          </cell>
        </row>
        <row r="299">
          <cell r="E299" t="str">
            <v>35</v>
          </cell>
          <cell r="F299">
            <v>44306</v>
          </cell>
          <cell r="J299" t="str">
            <v>35</v>
          </cell>
          <cell r="K299">
            <v>44337</v>
          </cell>
        </row>
        <row r="300">
          <cell r="E300" t="str">
            <v>36</v>
          </cell>
          <cell r="F300">
            <v>44307</v>
          </cell>
          <cell r="J300" t="str">
            <v>36</v>
          </cell>
          <cell r="K300">
            <v>44337</v>
          </cell>
        </row>
        <row r="301">
          <cell r="E301" t="str">
            <v>37</v>
          </cell>
          <cell r="F301">
            <v>44307</v>
          </cell>
          <cell r="J301" t="str">
            <v>37</v>
          </cell>
          <cell r="K301">
            <v>44337</v>
          </cell>
        </row>
        <row r="302">
          <cell r="E302" t="str">
            <v>38</v>
          </cell>
          <cell r="F302">
            <v>44307</v>
          </cell>
          <cell r="J302" t="str">
            <v>38</v>
          </cell>
          <cell r="K302">
            <v>44337</v>
          </cell>
        </row>
        <row r="303">
          <cell r="E303" t="str">
            <v>39</v>
          </cell>
          <cell r="F303">
            <v>44307</v>
          </cell>
          <cell r="J303" t="str">
            <v>39</v>
          </cell>
          <cell r="K303">
            <v>44337</v>
          </cell>
        </row>
        <row r="304">
          <cell r="E304" t="str">
            <v>40</v>
          </cell>
          <cell r="F304">
            <v>44307</v>
          </cell>
          <cell r="J304" t="str">
            <v>40</v>
          </cell>
          <cell r="K304">
            <v>44337</v>
          </cell>
        </row>
        <row r="305">
          <cell r="E305" t="str">
            <v>41</v>
          </cell>
          <cell r="F305">
            <v>44308</v>
          </cell>
          <cell r="J305" t="str">
            <v>41</v>
          </cell>
          <cell r="K305">
            <v>44340</v>
          </cell>
        </row>
        <row r="306">
          <cell r="E306" t="str">
            <v>42</v>
          </cell>
          <cell r="F306">
            <v>44308</v>
          </cell>
          <cell r="J306" t="str">
            <v>42</v>
          </cell>
          <cell r="K306">
            <v>44340</v>
          </cell>
        </row>
        <row r="307">
          <cell r="E307" t="str">
            <v>43</v>
          </cell>
          <cell r="F307">
            <v>44308</v>
          </cell>
          <cell r="J307" t="str">
            <v>43</v>
          </cell>
          <cell r="K307">
            <v>44340</v>
          </cell>
        </row>
        <row r="308">
          <cell r="E308" t="str">
            <v>44</v>
          </cell>
          <cell r="F308">
            <v>44308</v>
          </cell>
          <cell r="J308" t="str">
            <v>44</v>
          </cell>
          <cell r="K308">
            <v>44340</v>
          </cell>
        </row>
        <row r="309">
          <cell r="E309" t="str">
            <v>45</v>
          </cell>
          <cell r="F309">
            <v>44308</v>
          </cell>
          <cell r="J309" t="str">
            <v>45</v>
          </cell>
          <cell r="K309">
            <v>44340</v>
          </cell>
        </row>
        <row r="310">
          <cell r="E310" t="str">
            <v>46</v>
          </cell>
          <cell r="F310">
            <v>44309</v>
          </cell>
          <cell r="J310" t="str">
            <v>46</v>
          </cell>
          <cell r="K310">
            <v>44340</v>
          </cell>
        </row>
        <row r="311">
          <cell r="E311" t="str">
            <v>47</v>
          </cell>
          <cell r="F311">
            <v>44309</v>
          </cell>
          <cell r="J311" t="str">
            <v>47</v>
          </cell>
          <cell r="K311">
            <v>44340</v>
          </cell>
        </row>
        <row r="312">
          <cell r="E312" t="str">
            <v>48</v>
          </cell>
          <cell r="F312">
            <v>44309</v>
          </cell>
          <cell r="J312" t="str">
            <v>48</v>
          </cell>
          <cell r="K312">
            <v>44340</v>
          </cell>
        </row>
        <row r="313">
          <cell r="E313" t="str">
            <v>49</v>
          </cell>
          <cell r="F313">
            <v>44309</v>
          </cell>
          <cell r="J313" t="str">
            <v>49</v>
          </cell>
          <cell r="K313">
            <v>44340</v>
          </cell>
        </row>
        <row r="314">
          <cell r="E314" t="str">
            <v>50</v>
          </cell>
          <cell r="F314">
            <v>44309</v>
          </cell>
          <cell r="J314" t="str">
            <v>50</v>
          </cell>
          <cell r="K314">
            <v>44340</v>
          </cell>
        </row>
        <row r="315">
          <cell r="E315" t="str">
            <v>51</v>
          </cell>
          <cell r="F315">
            <v>44312</v>
          </cell>
          <cell r="J315" t="str">
            <v>51</v>
          </cell>
          <cell r="K315">
            <v>44341</v>
          </cell>
        </row>
        <row r="316">
          <cell r="E316" t="str">
            <v>52</v>
          </cell>
          <cell r="F316">
            <v>44312</v>
          </cell>
          <cell r="J316" t="str">
            <v>52</v>
          </cell>
          <cell r="K316">
            <v>44341</v>
          </cell>
        </row>
        <row r="317">
          <cell r="E317" t="str">
            <v>53</v>
          </cell>
          <cell r="F317">
            <v>44312</v>
          </cell>
          <cell r="J317" t="str">
            <v>53</v>
          </cell>
          <cell r="K317">
            <v>44341</v>
          </cell>
        </row>
        <row r="318">
          <cell r="E318" t="str">
            <v>54</v>
          </cell>
          <cell r="F318">
            <v>44312</v>
          </cell>
          <cell r="J318" t="str">
            <v>54</v>
          </cell>
          <cell r="K318">
            <v>44341</v>
          </cell>
        </row>
        <row r="319">
          <cell r="E319" t="str">
            <v>55</v>
          </cell>
          <cell r="F319">
            <v>44312</v>
          </cell>
          <cell r="J319" t="str">
            <v>55</v>
          </cell>
          <cell r="K319">
            <v>44341</v>
          </cell>
        </row>
        <row r="320">
          <cell r="E320" t="str">
            <v>56</v>
          </cell>
          <cell r="F320">
            <v>44313</v>
          </cell>
          <cell r="J320" t="str">
            <v>56</v>
          </cell>
          <cell r="K320">
            <v>44341</v>
          </cell>
        </row>
        <row r="321">
          <cell r="E321" t="str">
            <v>57</v>
          </cell>
          <cell r="F321">
            <v>44313</v>
          </cell>
          <cell r="J321" t="str">
            <v>57</v>
          </cell>
          <cell r="K321">
            <v>44341</v>
          </cell>
        </row>
        <row r="322">
          <cell r="E322" t="str">
            <v>58</v>
          </cell>
          <cell r="F322">
            <v>44313</v>
          </cell>
          <cell r="J322" t="str">
            <v>58</v>
          </cell>
          <cell r="K322">
            <v>44341</v>
          </cell>
        </row>
        <row r="323">
          <cell r="E323" t="str">
            <v>59</v>
          </cell>
          <cell r="F323">
            <v>44313</v>
          </cell>
          <cell r="J323" t="str">
            <v>59</v>
          </cell>
          <cell r="K323">
            <v>44341</v>
          </cell>
        </row>
        <row r="324">
          <cell r="E324" t="str">
            <v>60</v>
          </cell>
          <cell r="F324">
            <v>44313</v>
          </cell>
          <cell r="J324" t="str">
            <v>60</v>
          </cell>
          <cell r="K324">
            <v>44341</v>
          </cell>
        </row>
        <row r="325">
          <cell r="E325" t="str">
            <v>61</v>
          </cell>
          <cell r="F325">
            <v>44314</v>
          </cell>
          <cell r="J325" t="str">
            <v>61</v>
          </cell>
          <cell r="K325">
            <v>44342</v>
          </cell>
        </row>
        <row r="326">
          <cell r="E326" t="str">
            <v>62</v>
          </cell>
          <cell r="F326">
            <v>44314</v>
          </cell>
          <cell r="J326" t="str">
            <v>62</v>
          </cell>
          <cell r="K326">
            <v>44342</v>
          </cell>
        </row>
        <row r="327">
          <cell r="E327" t="str">
            <v>63</v>
          </cell>
          <cell r="F327">
            <v>44314</v>
          </cell>
          <cell r="J327" t="str">
            <v>63</v>
          </cell>
          <cell r="K327">
            <v>44342</v>
          </cell>
        </row>
        <row r="328">
          <cell r="E328" t="str">
            <v>64</v>
          </cell>
          <cell r="F328">
            <v>44314</v>
          </cell>
          <cell r="J328" t="str">
            <v>64</v>
          </cell>
          <cell r="K328">
            <v>44342</v>
          </cell>
        </row>
        <row r="329">
          <cell r="E329" t="str">
            <v>65</v>
          </cell>
          <cell r="F329">
            <v>44314</v>
          </cell>
          <cell r="J329" t="str">
            <v>65</v>
          </cell>
          <cell r="K329">
            <v>44342</v>
          </cell>
        </row>
        <row r="330">
          <cell r="E330" t="str">
            <v>66</v>
          </cell>
          <cell r="F330">
            <v>44315</v>
          </cell>
          <cell r="J330" t="str">
            <v>66</v>
          </cell>
          <cell r="K330">
            <v>44342</v>
          </cell>
        </row>
        <row r="331">
          <cell r="E331" t="str">
            <v>67</v>
          </cell>
          <cell r="F331">
            <v>44315</v>
          </cell>
          <cell r="J331" t="str">
            <v>67</v>
          </cell>
          <cell r="K331">
            <v>44342</v>
          </cell>
        </row>
        <row r="332">
          <cell r="E332" t="str">
            <v>68</v>
          </cell>
          <cell r="F332">
            <v>44315</v>
          </cell>
          <cell r="J332" t="str">
            <v>68</v>
          </cell>
          <cell r="K332">
            <v>44342</v>
          </cell>
        </row>
        <row r="333">
          <cell r="E333" t="str">
            <v>69</v>
          </cell>
          <cell r="F333">
            <v>44315</v>
          </cell>
          <cell r="J333" t="str">
            <v>69</v>
          </cell>
          <cell r="K333">
            <v>44342</v>
          </cell>
        </row>
        <row r="334">
          <cell r="E334" t="str">
            <v>70</v>
          </cell>
          <cell r="F334">
            <v>44315</v>
          </cell>
          <cell r="J334" t="str">
            <v>70</v>
          </cell>
          <cell r="K334">
            <v>44342</v>
          </cell>
        </row>
        <row r="335">
          <cell r="E335" t="str">
            <v>71</v>
          </cell>
          <cell r="F335">
            <v>44316</v>
          </cell>
          <cell r="J335" t="str">
            <v>71</v>
          </cell>
          <cell r="K335">
            <v>44343</v>
          </cell>
        </row>
        <row r="336">
          <cell r="E336" t="str">
            <v>72</v>
          </cell>
          <cell r="F336">
            <v>44316</v>
          </cell>
          <cell r="J336" t="str">
            <v>72</v>
          </cell>
          <cell r="K336">
            <v>44343</v>
          </cell>
        </row>
        <row r="337">
          <cell r="E337" t="str">
            <v>73</v>
          </cell>
          <cell r="F337">
            <v>44316</v>
          </cell>
          <cell r="J337" t="str">
            <v>73</v>
          </cell>
          <cell r="K337">
            <v>44343</v>
          </cell>
        </row>
        <row r="338">
          <cell r="E338" t="str">
            <v>74</v>
          </cell>
          <cell r="F338">
            <v>44316</v>
          </cell>
          <cell r="J338" t="str">
            <v>74</v>
          </cell>
          <cell r="K338">
            <v>44343</v>
          </cell>
        </row>
        <row r="339">
          <cell r="E339" t="str">
            <v>75</v>
          </cell>
          <cell r="F339">
            <v>44316</v>
          </cell>
          <cell r="J339" t="str">
            <v>75</v>
          </cell>
          <cell r="K339">
            <v>44343</v>
          </cell>
        </row>
        <row r="340">
          <cell r="E340" t="str">
            <v>76</v>
          </cell>
          <cell r="F340">
            <v>44319</v>
          </cell>
          <cell r="J340" t="str">
            <v>76</v>
          </cell>
          <cell r="K340">
            <v>44343</v>
          </cell>
        </row>
        <row r="341">
          <cell r="E341" t="str">
            <v>77</v>
          </cell>
          <cell r="F341">
            <v>44319</v>
          </cell>
          <cell r="J341" t="str">
            <v>77</v>
          </cell>
          <cell r="K341">
            <v>44343</v>
          </cell>
        </row>
        <row r="342">
          <cell r="E342" t="str">
            <v>78</v>
          </cell>
          <cell r="F342">
            <v>44319</v>
          </cell>
          <cell r="J342" t="str">
            <v>78</v>
          </cell>
          <cell r="K342">
            <v>44343</v>
          </cell>
        </row>
        <row r="343">
          <cell r="E343" t="str">
            <v>79</v>
          </cell>
          <cell r="F343">
            <v>44319</v>
          </cell>
          <cell r="J343" t="str">
            <v>79</v>
          </cell>
          <cell r="K343">
            <v>44343</v>
          </cell>
        </row>
        <row r="344">
          <cell r="E344" t="str">
            <v>80</v>
          </cell>
          <cell r="F344">
            <v>44319</v>
          </cell>
          <cell r="J344" t="str">
            <v>80</v>
          </cell>
          <cell r="K344">
            <v>44343</v>
          </cell>
        </row>
        <row r="345">
          <cell r="E345" t="str">
            <v>81</v>
          </cell>
          <cell r="F345">
            <v>44320</v>
          </cell>
          <cell r="J345" t="str">
            <v>81</v>
          </cell>
          <cell r="K345">
            <v>44344</v>
          </cell>
        </row>
        <row r="346">
          <cell r="E346" t="str">
            <v>82</v>
          </cell>
          <cell r="F346">
            <v>44320</v>
          </cell>
          <cell r="J346" t="str">
            <v>82</v>
          </cell>
          <cell r="K346">
            <v>44344</v>
          </cell>
        </row>
        <row r="347">
          <cell r="E347" t="str">
            <v>83</v>
          </cell>
          <cell r="F347">
            <v>44320</v>
          </cell>
          <cell r="J347" t="str">
            <v>83</v>
          </cell>
          <cell r="K347">
            <v>44344</v>
          </cell>
        </row>
        <row r="348">
          <cell r="E348" t="str">
            <v>84</v>
          </cell>
          <cell r="F348">
            <v>44320</v>
          </cell>
          <cell r="J348" t="str">
            <v>84</v>
          </cell>
          <cell r="K348">
            <v>44344</v>
          </cell>
        </row>
        <row r="349">
          <cell r="E349" t="str">
            <v>85</v>
          </cell>
          <cell r="F349">
            <v>44320</v>
          </cell>
          <cell r="J349" t="str">
            <v>85</v>
          </cell>
          <cell r="K349">
            <v>44344</v>
          </cell>
        </row>
        <row r="350">
          <cell r="E350" t="str">
            <v>86</v>
          </cell>
          <cell r="F350">
            <v>44321</v>
          </cell>
          <cell r="J350" t="str">
            <v>86</v>
          </cell>
          <cell r="K350">
            <v>44344</v>
          </cell>
        </row>
        <row r="351">
          <cell r="E351" t="str">
            <v>87</v>
          </cell>
          <cell r="F351">
            <v>44321</v>
          </cell>
          <cell r="J351" t="str">
            <v>87</v>
          </cell>
          <cell r="K351">
            <v>44344</v>
          </cell>
        </row>
        <row r="352">
          <cell r="E352" t="str">
            <v>88</v>
          </cell>
          <cell r="F352">
            <v>44321</v>
          </cell>
          <cell r="J352" t="str">
            <v>88</v>
          </cell>
          <cell r="K352">
            <v>44344</v>
          </cell>
        </row>
        <row r="353">
          <cell r="E353" t="str">
            <v>89</v>
          </cell>
          <cell r="F353">
            <v>44321</v>
          </cell>
          <cell r="J353" t="str">
            <v>89</v>
          </cell>
          <cell r="K353">
            <v>44344</v>
          </cell>
        </row>
        <row r="354">
          <cell r="E354" t="str">
            <v>90</v>
          </cell>
          <cell r="F354">
            <v>44321</v>
          </cell>
          <cell r="J354" t="str">
            <v>90</v>
          </cell>
          <cell r="K354">
            <v>44344</v>
          </cell>
        </row>
        <row r="355">
          <cell r="E355" t="str">
            <v>91</v>
          </cell>
          <cell r="F355">
            <v>44322</v>
          </cell>
          <cell r="J355" t="str">
            <v>91</v>
          </cell>
          <cell r="K355">
            <v>44347</v>
          </cell>
        </row>
        <row r="356">
          <cell r="E356" t="str">
            <v>92</v>
          </cell>
          <cell r="F356">
            <v>44322</v>
          </cell>
          <cell r="J356" t="str">
            <v>92</v>
          </cell>
          <cell r="K356">
            <v>44347</v>
          </cell>
        </row>
        <row r="357">
          <cell r="E357" t="str">
            <v>93</v>
          </cell>
          <cell r="F357">
            <v>44322</v>
          </cell>
          <cell r="J357" t="str">
            <v>93</v>
          </cell>
          <cell r="K357">
            <v>44347</v>
          </cell>
        </row>
        <row r="358">
          <cell r="E358" t="str">
            <v>94</v>
          </cell>
          <cell r="F358">
            <v>44322</v>
          </cell>
          <cell r="J358" t="str">
            <v>94</v>
          </cell>
          <cell r="K358">
            <v>44347</v>
          </cell>
        </row>
        <row r="359">
          <cell r="E359" t="str">
            <v>95</v>
          </cell>
          <cell r="F359">
            <v>44322</v>
          </cell>
          <cell r="J359" t="str">
            <v>95</v>
          </cell>
          <cell r="K359">
            <v>44347</v>
          </cell>
        </row>
        <row r="360">
          <cell r="E360" t="str">
            <v>96</v>
          </cell>
          <cell r="F360">
            <v>44323</v>
          </cell>
          <cell r="J360" t="str">
            <v>96</v>
          </cell>
          <cell r="K360">
            <v>44347</v>
          </cell>
        </row>
        <row r="361">
          <cell r="E361" t="str">
            <v>97</v>
          </cell>
          <cell r="F361">
            <v>44323</v>
          </cell>
          <cell r="J361" t="str">
            <v>97</v>
          </cell>
          <cell r="K361">
            <v>44347</v>
          </cell>
        </row>
        <row r="362">
          <cell r="E362" t="str">
            <v>98</v>
          </cell>
          <cell r="F362">
            <v>44323</v>
          </cell>
          <cell r="J362" t="str">
            <v>98</v>
          </cell>
          <cell r="K362">
            <v>44347</v>
          </cell>
        </row>
        <row r="363">
          <cell r="E363" t="str">
            <v>99</v>
          </cell>
          <cell r="F363">
            <v>44323</v>
          </cell>
          <cell r="J363" t="str">
            <v>99</v>
          </cell>
          <cell r="K363">
            <v>44347</v>
          </cell>
        </row>
        <row r="364">
          <cell r="E364" t="str">
            <v>00</v>
          </cell>
          <cell r="F364">
            <v>44323</v>
          </cell>
          <cell r="J364" t="str">
            <v>00</v>
          </cell>
          <cell r="K364">
            <v>44347</v>
          </cell>
        </row>
        <row r="368">
          <cell r="E368" t="str">
            <v>01</v>
          </cell>
          <cell r="F368">
            <v>44351</v>
          </cell>
          <cell r="J368" t="str">
            <v>01</v>
          </cell>
          <cell r="K368">
            <v>44368</v>
          </cell>
        </row>
        <row r="369">
          <cell r="E369" t="str">
            <v>02</v>
          </cell>
          <cell r="F369">
            <v>44351</v>
          </cell>
          <cell r="J369" t="str">
            <v>02</v>
          </cell>
          <cell r="K369">
            <v>44368</v>
          </cell>
        </row>
        <row r="370">
          <cell r="E370" t="str">
            <v>03</v>
          </cell>
          <cell r="F370">
            <v>44351</v>
          </cell>
          <cell r="J370" t="str">
            <v>03</v>
          </cell>
          <cell r="K370">
            <v>44368</v>
          </cell>
        </row>
        <row r="371">
          <cell r="E371" t="str">
            <v>04</v>
          </cell>
          <cell r="F371">
            <v>44351</v>
          </cell>
          <cell r="J371" t="str">
            <v>04</v>
          </cell>
          <cell r="K371">
            <v>44368</v>
          </cell>
        </row>
        <row r="372">
          <cell r="E372" t="str">
            <v>05</v>
          </cell>
          <cell r="F372">
            <v>44351</v>
          </cell>
          <cell r="J372" t="str">
            <v>05</v>
          </cell>
          <cell r="K372">
            <v>44368</v>
          </cell>
        </row>
        <row r="373">
          <cell r="E373" t="str">
            <v>06</v>
          </cell>
          <cell r="F373">
            <v>44351</v>
          </cell>
          <cell r="J373" t="str">
            <v>06</v>
          </cell>
          <cell r="K373">
            <v>44368</v>
          </cell>
        </row>
        <row r="374">
          <cell r="E374" t="str">
            <v>07</v>
          </cell>
          <cell r="F374">
            <v>44351</v>
          </cell>
          <cell r="J374" t="str">
            <v>07</v>
          </cell>
          <cell r="K374">
            <v>44368</v>
          </cell>
        </row>
        <row r="375">
          <cell r="E375" t="str">
            <v>08</v>
          </cell>
          <cell r="F375">
            <v>44351</v>
          </cell>
          <cell r="J375" t="str">
            <v>08</v>
          </cell>
          <cell r="K375">
            <v>44368</v>
          </cell>
        </row>
        <row r="376">
          <cell r="E376" t="str">
            <v>09</v>
          </cell>
          <cell r="F376">
            <v>44351</v>
          </cell>
          <cell r="J376" t="str">
            <v>09</v>
          </cell>
          <cell r="K376">
            <v>44368</v>
          </cell>
        </row>
        <row r="377">
          <cell r="E377" t="str">
            <v>10</v>
          </cell>
          <cell r="F377">
            <v>44351</v>
          </cell>
          <cell r="J377" t="str">
            <v>10</v>
          </cell>
          <cell r="K377">
            <v>44368</v>
          </cell>
        </row>
        <row r="378">
          <cell r="E378" t="str">
            <v>11</v>
          </cell>
          <cell r="F378">
            <v>44351</v>
          </cell>
          <cell r="J378" t="str">
            <v>11</v>
          </cell>
          <cell r="K378">
            <v>44368</v>
          </cell>
        </row>
        <row r="379">
          <cell r="E379" t="str">
            <v>12</v>
          </cell>
          <cell r="F379">
            <v>44351</v>
          </cell>
          <cell r="J379" t="str">
            <v>12</v>
          </cell>
          <cell r="K379">
            <v>44368</v>
          </cell>
        </row>
        <row r="380">
          <cell r="E380" t="str">
            <v>13</v>
          </cell>
          <cell r="F380">
            <v>44351</v>
          </cell>
          <cell r="J380" t="str">
            <v>13</v>
          </cell>
          <cell r="K380">
            <v>44368</v>
          </cell>
        </row>
        <row r="381">
          <cell r="E381" t="str">
            <v>14</v>
          </cell>
          <cell r="F381">
            <v>44351</v>
          </cell>
          <cell r="J381" t="str">
            <v>14</v>
          </cell>
          <cell r="K381">
            <v>44368</v>
          </cell>
        </row>
        <row r="382">
          <cell r="E382" t="str">
            <v>15</v>
          </cell>
          <cell r="F382">
            <v>44351</v>
          </cell>
          <cell r="J382" t="str">
            <v>15</v>
          </cell>
          <cell r="K382">
            <v>44368</v>
          </cell>
        </row>
        <row r="383">
          <cell r="E383" t="str">
            <v>16</v>
          </cell>
          <cell r="F383">
            <v>44351</v>
          </cell>
          <cell r="J383" t="str">
            <v>16</v>
          </cell>
          <cell r="K383">
            <v>44368</v>
          </cell>
        </row>
        <row r="384">
          <cell r="E384" t="str">
            <v>17</v>
          </cell>
          <cell r="F384">
            <v>44351</v>
          </cell>
          <cell r="J384" t="str">
            <v>17</v>
          </cell>
          <cell r="K384">
            <v>44368</v>
          </cell>
        </row>
        <row r="385">
          <cell r="E385" t="str">
            <v>18</v>
          </cell>
          <cell r="F385">
            <v>44351</v>
          </cell>
          <cell r="J385" t="str">
            <v>18</v>
          </cell>
          <cell r="K385">
            <v>44368</v>
          </cell>
        </row>
        <row r="386">
          <cell r="E386" t="str">
            <v>19</v>
          </cell>
          <cell r="F386">
            <v>44351</v>
          </cell>
          <cell r="J386" t="str">
            <v>19</v>
          </cell>
          <cell r="K386">
            <v>44368</v>
          </cell>
        </row>
        <row r="387">
          <cell r="E387" t="str">
            <v>20</v>
          </cell>
          <cell r="F387">
            <v>44351</v>
          </cell>
          <cell r="J387" t="str">
            <v>20</v>
          </cell>
          <cell r="K387">
            <v>44368</v>
          </cell>
        </row>
        <row r="388">
          <cell r="E388" t="str">
            <v>21</v>
          </cell>
          <cell r="F388">
            <v>44355</v>
          </cell>
          <cell r="J388" t="str">
            <v>21</v>
          </cell>
          <cell r="K388">
            <v>44369</v>
          </cell>
        </row>
        <row r="389">
          <cell r="E389" t="str">
            <v>22</v>
          </cell>
          <cell r="F389">
            <v>44355</v>
          </cell>
          <cell r="J389" t="str">
            <v>22</v>
          </cell>
          <cell r="K389">
            <v>44369</v>
          </cell>
        </row>
        <row r="390">
          <cell r="E390" t="str">
            <v>23</v>
          </cell>
          <cell r="F390">
            <v>44355</v>
          </cell>
          <cell r="J390" t="str">
            <v>23</v>
          </cell>
          <cell r="K390">
            <v>44369</v>
          </cell>
        </row>
        <row r="391">
          <cell r="E391" t="str">
            <v>24</v>
          </cell>
          <cell r="F391">
            <v>44355</v>
          </cell>
          <cell r="J391" t="str">
            <v>24</v>
          </cell>
          <cell r="K391">
            <v>44369</v>
          </cell>
        </row>
        <row r="392">
          <cell r="E392" t="str">
            <v>25</v>
          </cell>
          <cell r="F392">
            <v>44355</v>
          </cell>
          <cell r="J392" t="str">
            <v>25</v>
          </cell>
          <cell r="K392">
            <v>44369</v>
          </cell>
        </row>
        <row r="393">
          <cell r="E393" t="str">
            <v>26</v>
          </cell>
          <cell r="F393">
            <v>44355</v>
          </cell>
          <cell r="J393" t="str">
            <v>26</v>
          </cell>
          <cell r="K393">
            <v>44369</v>
          </cell>
        </row>
        <row r="394">
          <cell r="E394" t="str">
            <v>27</v>
          </cell>
          <cell r="F394">
            <v>44355</v>
          </cell>
          <cell r="J394" t="str">
            <v>27</v>
          </cell>
          <cell r="K394">
            <v>44369</v>
          </cell>
        </row>
        <row r="395">
          <cell r="E395" t="str">
            <v>28</v>
          </cell>
          <cell r="F395">
            <v>44355</v>
          </cell>
          <cell r="J395" t="str">
            <v>28</v>
          </cell>
          <cell r="K395">
            <v>44369</v>
          </cell>
        </row>
        <row r="396">
          <cell r="E396" t="str">
            <v>29</v>
          </cell>
          <cell r="F396">
            <v>44355</v>
          </cell>
          <cell r="J396" t="str">
            <v>29</v>
          </cell>
          <cell r="K396">
            <v>44369</v>
          </cell>
        </row>
        <row r="397">
          <cell r="E397" t="str">
            <v>30</v>
          </cell>
          <cell r="F397">
            <v>44355</v>
          </cell>
          <cell r="J397" t="str">
            <v>30</v>
          </cell>
          <cell r="K397">
            <v>44369</v>
          </cell>
        </row>
        <row r="398">
          <cell r="E398" t="str">
            <v>31</v>
          </cell>
          <cell r="F398">
            <v>44355</v>
          </cell>
          <cell r="J398" t="str">
            <v>31</v>
          </cell>
          <cell r="K398">
            <v>44369</v>
          </cell>
        </row>
        <row r="399">
          <cell r="E399" t="str">
            <v>32</v>
          </cell>
          <cell r="F399">
            <v>44355</v>
          </cell>
          <cell r="J399" t="str">
            <v>32</v>
          </cell>
          <cell r="K399">
            <v>44369</v>
          </cell>
        </row>
        <row r="400">
          <cell r="E400" t="str">
            <v>33</v>
          </cell>
          <cell r="F400">
            <v>44355</v>
          </cell>
          <cell r="J400" t="str">
            <v>33</v>
          </cell>
          <cell r="K400">
            <v>44369</v>
          </cell>
        </row>
        <row r="401">
          <cell r="E401" t="str">
            <v>34</v>
          </cell>
          <cell r="F401">
            <v>44355</v>
          </cell>
          <cell r="J401" t="str">
            <v>34</v>
          </cell>
          <cell r="K401">
            <v>44369</v>
          </cell>
        </row>
        <row r="402">
          <cell r="E402" t="str">
            <v>35</v>
          </cell>
          <cell r="F402">
            <v>44355</v>
          </cell>
          <cell r="J402" t="str">
            <v>35</v>
          </cell>
          <cell r="K402">
            <v>44369</v>
          </cell>
        </row>
        <row r="403">
          <cell r="E403" t="str">
            <v>36</v>
          </cell>
          <cell r="F403">
            <v>44355</v>
          </cell>
          <cell r="J403" t="str">
            <v>36</v>
          </cell>
          <cell r="K403">
            <v>44369</v>
          </cell>
        </row>
        <row r="404">
          <cell r="E404" t="str">
            <v>37</v>
          </cell>
          <cell r="F404">
            <v>44355</v>
          </cell>
          <cell r="J404" t="str">
            <v>37</v>
          </cell>
          <cell r="K404">
            <v>44369</v>
          </cell>
        </row>
        <row r="405">
          <cell r="E405" t="str">
            <v>38</v>
          </cell>
          <cell r="F405">
            <v>44355</v>
          </cell>
          <cell r="J405" t="str">
            <v>38</v>
          </cell>
          <cell r="K405">
            <v>44369</v>
          </cell>
        </row>
        <row r="406">
          <cell r="E406" t="str">
            <v>39</v>
          </cell>
          <cell r="F406">
            <v>44355</v>
          </cell>
          <cell r="J406" t="str">
            <v>39</v>
          </cell>
          <cell r="K406">
            <v>44369</v>
          </cell>
        </row>
        <row r="407">
          <cell r="E407" t="str">
            <v>40</v>
          </cell>
          <cell r="F407">
            <v>44355</v>
          </cell>
          <cell r="J407" t="str">
            <v>40</v>
          </cell>
          <cell r="K407">
            <v>44369</v>
          </cell>
        </row>
        <row r="408">
          <cell r="E408" t="str">
            <v>41</v>
          </cell>
          <cell r="F408">
            <v>44356</v>
          </cell>
          <cell r="J408" t="str">
            <v>41</v>
          </cell>
          <cell r="K408">
            <v>44370</v>
          </cell>
        </row>
        <row r="409">
          <cell r="E409" t="str">
            <v>42</v>
          </cell>
          <cell r="F409">
            <v>44356</v>
          </cell>
          <cell r="J409" t="str">
            <v>42</v>
          </cell>
          <cell r="K409">
            <v>44370</v>
          </cell>
        </row>
        <row r="410">
          <cell r="E410" t="str">
            <v>43</v>
          </cell>
          <cell r="F410">
            <v>44356</v>
          </cell>
          <cell r="J410" t="str">
            <v>43</v>
          </cell>
          <cell r="K410">
            <v>44370</v>
          </cell>
        </row>
        <row r="411">
          <cell r="E411" t="str">
            <v>44</v>
          </cell>
          <cell r="F411">
            <v>44356</v>
          </cell>
          <cell r="J411" t="str">
            <v>44</v>
          </cell>
          <cell r="K411">
            <v>44370</v>
          </cell>
        </row>
        <row r="412">
          <cell r="E412" t="str">
            <v>45</v>
          </cell>
          <cell r="F412">
            <v>44356</v>
          </cell>
          <cell r="J412" t="str">
            <v>45</v>
          </cell>
          <cell r="K412">
            <v>44370</v>
          </cell>
        </row>
        <row r="413">
          <cell r="E413" t="str">
            <v>46</v>
          </cell>
          <cell r="F413">
            <v>44356</v>
          </cell>
          <cell r="J413" t="str">
            <v>46</v>
          </cell>
          <cell r="K413">
            <v>44370</v>
          </cell>
        </row>
        <row r="414">
          <cell r="E414" t="str">
            <v>47</v>
          </cell>
          <cell r="F414">
            <v>44356</v>
          </cell>
          <cell r="J414" t="str">
            <v>47</v>
          </cell>
          <cell r="K414">
            <v>44370</v>
          </cell>
        </row>
        <row r="415">
          <cell r="E415" t="str">
            <v>48</v>
          </cell>
          <cell r="F415">
            <v>44356</v>
          </cell>
          <cell r="J415" t="str">
            <v>48</v>
          </cell>
          <cell r="K415">
            <v>44370</v>
          </cell>
        </row>
        <row r="416">
          <cell r="E416" t="str">
            <v>49</v>
          </cell>
          <cell r="F416">
            <v>44356</v>
          </cell>
          <cell r="J416" t="str">
            <v>49</v>
          </cell>
          <cell r="K416">
            <v>44370</v>
          </cell>
        </row>
        <row r="417">
          <cell r="E417" t="str">
            <v>50</v>
          </cell>
          <cell r="F417">
            <v>44356</v>
          </cell>
          <cell r="J417" t="str">
            <v>50</v>
          </cell>
          <cell r="K417">
            <v>44370</v>
          </cell>
        </row>
        <row r="418">
          <cell r="E418" t="str">
            <v>51</v>
          </cell>
          <cell r="F418">
            <v>44356</v>
          </cell>
          <cell r="J418" t="str">
            <v>51</v>
          </cell>
          <cell r="K418">
            <v>44370</v>
          </cell>
        </row>
        <row r="419">
          <cell r="E419" t="str">
            <v>52</v>
          </cell>
          <cell r="F419">
            <v>44356</v>
          </cell>
          <cell r="J419" t="str">
            <v>52</v>
          </cell>
          <cell r="K419">
            <v>44370</v>
          </cell>
        </row>
        <row r="420">
          <cell r="E420" t="str">
            <v>53</v>
          </cell>
          <cell r="F420">
            <v>44356</v>
          </cell>
          <cell r="J420" t="str">
            <v>53</v>
          </cell>
          <cell r="K420">
            <v>44370</v>
          </cell>
        </row>
        <row r="421">
          <cell r="E421" t="str">
            <v>54</v>
          </cell>
          <cell r="F421">
            <v>44356</v>
          </cell>
          <cell r="J421" t="str">
            <v>54</v>
          </cell>
          <cell r="K421">
            <v>44370</v>
          </cell>
        </row>
        <row r="422">
          <cell r="E422" t="str">
            <v>55</v>
          </cell>
          <cell r="F422">
            <v>44356</v>
          </cell>
          <cell r="J422" t="str">
            <v>55</v>
          </cell>
          <cell r="K422">
            <v>44370</v>
          </cell>
        </row>
        <row r="423">
          <cell r="E423" t="str">
            <v>56</v>
          </cell>
          <cell r="F423">
            <v>44356</v>
          </cell>
          <cell r="J423" t="str">
            <v>56</v>
          </cell>
          <cell r="K423">
            <v>44370</v>
          </cell>
        </row>
        <row r="424">
          <cell r="E424" t="str">
            <v>57</v>
          </cell>
          <cell r="F424">
            <v>44356</v>
          </cell>
          <cell r="J424" t="str">
            <v>57</v>
          </cell>
          <cell r="K424">
            <v>44370</v>
          </cell>
        </row>
        <row r="425">
          <cell r="E425" t="str">
            <v>58</v>
          </cell>
          <cell r="F425">
            <v>44356</v>
          </cell>
          <cell r="J425" t="str">
            <v>58</v>
          </cell>
          <cell r="K425">
            <v>44370</v>
          </cell>
        </row>
        <row r="426">
          <cell r="E426" t="str">
            <v>59</v>
          </cell>
          <cell r="F426">
            <v>44356</v>
          </cell>
          <cell r="J426" t="str">
            <v>59</v>
          </cell>
          <cell r="K426">
            <v>44370</v>
          </cell>
        </row>
        <row r="427">
          <cell r="E427" t="str">
            <v>60</v>
          </cell>
          <cell r="F427">
            <v>44356</v>
          </cell>
          <cell r="J427" t="str">
            <v>60</v>
          </cell>
          <cell r="K427">
            <v>44370</v>
          </cell>
        </row>
        <row r="428">
          <cell r="E428" t="str">
            <v>61</v>
          </cell>
          <cell r="F428">
            <v>44357</v>
          </cell>
          <cell r="J428" t="str">
            <v>61</v>
          </cell>
          <cell r="K428">
            <v>44371</v>
          </cell>
        </row>
        <row r="429">
          <cell r="E429" t="str">
            <v>62</v>
          </cell>
          <cell r="F429">
            <v>44357</v>
          </cell>
          <cell r="J429" t="str">
            <v>62</v>
          </cell>
          <cell r="K429">
            <v>44371</v>
          </cell>
        </row>
        <row r="430">
          <cell r="E430" t="str">
            <v>63</v>
          </cell>
          <cell r="F430">
            <v>44357</v>
          </cell>
          <cell r="J430" t="str">
            <v>63</v>
          </cell>
          <cell r="K430">
            <v>44371</v>
          </cell>
        </row>
        <row r="431">
          <cell r="E431" t="str">
            <v>64</v>
          </cell>
          <cell r="F431">
            <v>44357</v>
          </cell>
          <cell r="J431" t="str">
            <v>64</v>
          </cell>
          <cell r="K431">
            <v>44371</v>
          </cell>
        </row>
        <row r="432">
          <cell r="E432" t="str">
            <v>65</v>
          </cell>
          <cell r="F432">
            <v>44357</v>
          </cell>
          <cell r="J432" t="str">
            <v>65</v>
          </cell>
          <cell r="K432">
            <v>44371</v>
          </cell>
        </row>
        <row r="433">
          <cell r="E433" t="str">
            <v>66</v>
          </cell>
          <cell r="F433">
            <v>44357</v>
          </cell>
          <cell r="J433" t="str">
            <v>66</v>
          </cell>
          <cell r="K433">
            <v>44371</v>
          </cell>
        </row>
        <row r="434">
          <cell r="E434" t="str">
            <v>67</v>
          </cell>
          <cell r="F434">
            <v>44357</v>
          </cell>
          <cell r="J434" t="str">
            <v>67</v>
          </cell>
          <cell r="K434">
            <v>44371</v>
          </cell>
        </row>
        <row r="435">
          <cell r="E435" t="str">
            <v>68</v>
          </cell>
          <cell r="F435">
            <v>44357</v>
          </cell>
          <cell r="J435" t="str">
            <v>68</v>
          </cell>
          <cell r="K435">
            <v>44371</v>
          </cell>
        </row>
        <row r="436">
          <cell r="E436" t="str">
            <v>69</v>
          </cell>
          <cell r="F436">
            <v>44357</v>
          </cell>
          <cell r="J436" t="str">
            <v>69</v>
          </cell>
          <cell r="K436">
            <v>44371</v>
          </cell>
        </row>
        <row r="437">
          <cell r="E437" t="str">
            <v>70</v>
          </cell>
          <cell r="F437">
            <v>44357</v>
          </cell>
          <cell r="J437" t="str">
            <v>70</v>
          </cell>
          <cell r="K437">
            <v>44371</v>
          </cell>
        </row>
        <row r="438">
          <cell r="E438" t="str">
            <v>71</v>
          </cell>
          <cell r="F438">
            <v>44357</v>
          </cell>
          <cell r="J438" t="str">
            <v>71</v>
          </cell>
          <cell r="K438">
            <v>44371</v>
          </cell>
        </row>
        <row r="439">
          <cell r="E439" t="str">
            <v>72</v>
          </cell>
          <cell r="F439">
            <v>44357</v>
          </cell>
          <cell r="J439" t="str">
            <v>72</v>
          </cell>
          <cell r="K439">
            <v>44371</v>
          </cell>
        </row>
        <row r="440">
          <cell r="E440" t="str">
            <v>73</v>
          </cell>
          <cell r="F440">
            <v>44357</v>
          </cell>
          <cell r="J440" t="str">
            <v>73</v>
          </cell>
          <cell r="K440">
            <v>44371</v>
          </cell>
        </row>
        <row r="441">
          <cell r="E441" t="str">
            <v>74</v>
          </cell>
          <cell r="F441">
            <v>44357</v>
          </cell>
          <cell r="J441" t="str">
            <v>74</v>
          </cell>
          <cell r="K441">
            <v>44371</v>
          </cell>
        </row>
        <row r="442">
          <cell r="E442" t="str">
            <v>75</v>
          </cell>
          <cell r="F442">
            <v>44357</v>
          </cell>
          <cell r="J442" t="str">
            <v>75</v>
          </cell>
          <cell r="K442">
            <v>44371</v>
          </cell>
        </row>
        <row r="443">
          <cell r="E443" t="str">
            <v>76</v>
          </cell>
          <cell r="F443">
            <v>44357</v>
          </cell>
          <cell r="J443" t="str">
            <v>76</v>
          </cell>
          <cell r="K443">
            <v>44371</v>
          </cell>
        </row>
        <row r="444">
          <cell r="E444" t="str">
            <v>77</v>
          </cell>
          <cell r="F444">
            <v>44357</v>
          </cell>
          <cell r="J444" t="str">
            <v>77</v>
          </cell>
          <cell r="K444">
            <v>44371</v>
          </cell>
        </row>
        <row r="445">
          <cell r="E445" t="str">
            <v>78</v>
          </cell>
          <cell r="F445">
            <v>44357</v>
          </cell>
          <cell r="J445" t="str">
            <v>78</v>
          </cell>
          <cell r="K445">
            <v>44371</v>
          </cell>
        </row>
        <row r="446">
          <cell r="E446" t="str">
            <v>79</v>
          </cell>
          <cell r="F446">
            <v>44357</v>
          </cell>
          <cell r="J446" t="str">
            <v>79</v>
          </cell>
          <cell r="K446">
            <v>44371</v>
          </cell>
        </row>
        <row r="447">
          <cell r="E447" t="str">
            <v>80</v>
          </cell>
          <cell r="F447">
            <v>44357</v>
          </cell>
          <cell r="J447" t="str">
            <v>80</v>
          </cell>
          <cell r="K447">
            <v>44371</v>
          </cell>
        </row>
        <row r="448">
          <cell r="E448" t="str">
            <v>81</v>
          </cell>
          <cell r="F448">
            <v>44358</v>
          </cell>
          <cell r="J448" t="str">
            <v>81</v>
          </cell>
          <cell r="K448">
            <v>44372</v>
          </cell>
        </row>
        <row r="449">
          <cell r="E449" t="str">
            <v>82</v>
          </cell>
          <cell r="F449">
            <v>44358</v>
          </cell>
          <cell r="J449" t="str">
            <v>82</v>
          </cell>
          <cell r="K449">
            <v>44372</v>
          </cell>
        </row>
        <row r="450">
          <cell r="E450" t="str">
            <v>83</v>
          </cell>
          <cell r="F450">
            <v>44358</v>
          </cell>
          <cell r="J450" t="str">
            <v>83</v>
          </cell>
          <cell r="K450">
            <v>44372</v>
          </cell>
        </row>
        <row r="451">
          <cell r="E451" t="str">
            <v>84</v>
          </cell>
          <cell r="F451">
            <v>44358</v>
          </cell>
          <cell r="J451" t="str">
            <v>84</v>
          </cell>
          <cell r="K451">
            <v>44372</v>
          </cell>
        </row>
        <row r="452">
          <cell r="E452" t="str">
            <v>85</v>
          </cell>
          <cell r="F452">
            <v>44358</v>
          </cell>
          <cell r="J452" t="str">
            <v>85</v>
          </cell>
          <cell r="K452">
            <v>44372</v>
          </cell>
        </row>
        <row r="453">
          <cell r="E453" t="str">
            <v>86</v>
          </cell>
          <cell r="F453">
            <v>44358</v>
          </cell>
          <cell r="J453" t="str">
            <v>86</v>
          </cell>
          <cell r="K453">
            <v>44372</v>
          </cell>
        </row>
        <row r="454">
          <cell r="E454" t="str">
            <v>87</v>
          </cell>
          <cell r="F454">
            <v>44358</v>
          </cell>
          <cell r="J454" t="str">
            <v>87</v>
          </cell>
          <cell r="K454">
            <v>44372</v>
          </cell>
        </row>
        <row r="455">
          <cell r="E455" t="str">
            <v>88</v>
          </cell>
          <cell r="F455">
            <v>44358</v>
          </cell>
          <cell r="J455" t="str">
            <v>88</v>
          </cell>
          <cell r="K455">
            <v>44372</v>
          </cell>
        </row>
        <row r="456">
          <cell r="E456" t="str">
            <v>89</v>
          </cell>
          <cell r="F456">
            <v>44358</v>
          </cell>
          <cell r="J456" t="str">
            <v>89</v>
          </cell>
          <cell r="K456">
            <v>44372</v>
          </cell>
        </row>
        <row r="457">
          <cell r="E457" t="str">
            <v>90</v>
          </cell>
          <cell r="F457">
            <v>44358</v>
          </cell>
          <cell r="J457" t="str">
            <v>90</v>
          </cell>
          <cell r="K457">
            <v>44372</v>
          </cell>
        </row>
        <row r="458">
          <cell r="E458" t="str">
            <v>91</v>
          </cell>
          <cell r="F458">
            <v>44358</v>
          </cell>
          <cell r="J458" t="str">
            <v>91</v>
          </cell>
          <cell r="K458">
            <v>44372</v>
          </cell>
        </row>
        <row r="459">
          <cell r="E459" t="str">
            <v>92</v>
          </cell>
          <cell r="F459">
            <v>44358</v>
          </cell>
          <cell r="J459" t="str">
            <v>92</v>
          </cell>
          <cell r="K459">
            <v>44372</v>
          </cell>
        </row>
        <row r="460">
          <cell r="E460" t="str">
            <v>93</v>
          </cell>
          <cell r="F460">
            <v>44358</v>
          </cell>
          <cell r="J460" t="str">
            <v>93</v>
          </cell>
          <cell r="K460">
            <v>44372</v>
          </cell>
        </row>
        <row r="461">
          <cell r="E461" t="str">
            <v>94</v>
          </cell>
          <cell r="F461">
            <v>44358</v>
          </cell>
          <cell r="J461" t="str">
            <v>94</v>
          </cell>
          <cell r="K461">
            <v>44372</v>
          </cell>
        </row>
        <row r="462">
          <cell r="E462" t="str">
            <v>95</v>
          </cell>
          <cell r="F462">
            <v>44358</v>
          </cell>
          <cell r="J462" t="str">
            <v>95</v>
          </cell>
          <cell r="K462">
            <v>44372</v>
          </cell>
        </row>
        <row r="463">
          <cell r="E463" t="str">
            <v>96</v>
          </cell>
          <cell r="F463">
            <v>44358</v>
          </cell>
          <cell r="J463" t="str">
            <v>96</v>
          </cell>
          <cell r="K463">
            <v>44372</v>
          </cell>
        </row>
        <row r="464">
          <cell r="E464" t="str">
            <v>97</v>
          </cell>
          <cell r="F464">
            <v>44358</v>
          </cell>
          <cell r="J464" t="str">
            <v>97</v>
          </cell>
          <cell r="K464">
            <v>44372</v>
          </cell>
        </row>
        <row r="465">
          <cell r="E465" t="str">
            <v>98</v>
          </cell>
          <cell r="F465">
            <v>44358</v>
          </cell>
          <cell r="J465" t="str">
            <v>98</v>
          </cell>
          <cell r="K465">
            <v>44372</v>
          </cell>
        </row>
        <row r="466">
          <cell r="E466" t="str">
            <v>99</v>
          </cell>
          <cell r="F466">
            <v>44358</v>
          </cell>
          <cell r="J466" t="str">
            <v>99</v>
          </cell>
          <cell r="K466">
            <v>44372</v>
          </cell>
        </row>
        <row r="467">
          <cell r="E467" t="str">
            <v>00</v>
          </cell>
          <cell r="F467">
            <v>44358</v>
          </cell>
          <cell r="J467" t="str">
            <v>00</v>
          </cell>
          <cell r="K467">
            <v>44372</v>
          </cell>
        </row>
      </sheetData>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Inicio"/>
      <sheetName val="Indicadores"/>
      <sheetName val="PUC_Comerciantes_Gral."/>
      <sheetName val="BP_Año_2"/>
      <sheetName val="BP_Año_1"/>
      <sheetName val="BCE_GRAL"/>
      <sheetName val="PYG"/>
      <sheetName val="Variaciones"/>
      <sheetName val="Capital_Trabajo"/>
      <sheetName val="Flujo_Efectivo"/>
      <sheetName val="Cambios_Patrimonio"/>
      <sheetName val="Conciliacion_Patrimonio"/>
      <sheetName val="Notas_Estados_Financieros"/>
      <sheetName val="Certificacion"/>
      <sheetName val="Inf_ContableFinanciero"/>
      <sheetName val="PUC_NIIF"/>
      <sheetName val="BP_Diciembre"/>
      <sheetName val="Notas"/>
      <sheetName val="Presupuesto_Base"/>
      <sheetName val="PPTO_Proyect"/>
      <sheetName val="Parámetros"/>
      <sheetName val="Hoja_Indicadores"/>
      <sheetName val="KPI"/>
      <sheetName val="CMI"/>
      <sheetName val="Tendencias"/>
      <sheetName val="Ind_Gestion"/>
      <sheetName val="Indices Financieros"/>
      <sheetName val="IndicesDinámicos"/>
      <sheetName val="Indices de Liquidez"/>
      <sheetName val="Capital de Trabajo"/>
      <sheetName val="Razón Corriente"/>
      <sheetName val="Prueba Acida"/>
      <sheetName val="Rotación de Cuentas x Cobrar"/>
      <sheetName val="Rotación de Activo Total"/>
      <sheetName val="Rotación de Activos Fijos"/>
      <sheetName val="Rotación de Inventarios"/>
      <sheetName val="Edad de la Cartera"/>
      <sheetName val="Edad de los Inventarios"/>
      <sheetName val="Rotación Cuentas por Pagar"/>
      <sheetName val="Edad Cuentas por Pagar"/>
      <sheetName val="Indices de Endeudamiento"/>
      <sheetName val="Endeudamiento"/>
      <sheetName val="Propiedad de los Socios"/>
      <sheetName val="Relación Deuda a Patrimonio"/>
      <sheetName val="Rel. Deuda Largo Pzo a Patrimon"/>
      <sheetName val="Indices de Rentabilidad"/>
      <sheetName val="Indice Natural de Utilidad"/>
      <sheetName val="Indice Utilidad de Operación"/>
      <sheetName val="Indice Utilidad por Accion"/>
      <sheetName val="Rendimiento del Activo Total"/>
      <sheetName val="Rendimiento del Activo Fijo"/>
      <sheetName val="Rentabilidad del Patrimonio"/>
      <sheetName val="Rentabilidad Capital de Trabajo"/>
      <sheetName val="Fórmula de Dupont"/>
      <sheetName val="Dividendos por Acción"/>
      <sheetName val="Indices de Cobertura"/>
      <sheetName val="Cobertura de Intereses"/>
      <sheetName val="Cubrimiento Financiero"/>
      <sheetName val="Posición Defensiva"/>
      <sheetName val="Ana. Cuentas"/>
      <sheetName val="Analisis Gerencial"/>
      <sheetName val="Resumen General"/>
      <sheetName val="Resumen General Mes"/>
      <sheetName val="Plan de Cuentas (Colombia)"/>
      <sheetName val="Balance General AH"/>
      <sheetName val="Balance General AV"/>
      <sheetName val="Pérdidas y Ganancias AH"/>
      <sheetName val="Pérdidas y Ganancias AV"/>
      <sheetName val="PyG Mes Acumulado AH"/>
      <sheetName val="PyG Mes Acumulado AV"/>
      <sheetName val="Balance General Anual"/>
      <sheetName val="PyG Anual"/>
      <sheetName val="Estado de Cambio SF"/>
      <sheetName val="Flujo de Efectivos"/>
      <sheetName val="Estado de Cambio PT"/>
    </sheetNames>
    <sheetDataSet>
      <sheetData sheetId="0">
        <row r="12">
          <cell r="D12" t="str">
            <v xml:space="preserve">L_ Indices_ de_ Liquidez </v>
          </cell>
        </row>
        <row r="13">
          <cell r="D13" t="str">
            <v>E_Indices_de_Endeudamiento</v>
          </cell>
        </row>
        <row r="14">
          <cell r="D14" t="str">
            <v>R_Indices_de_Rentabilidad</v>
          </cell>
        </row>
        <row r="15">
          <cell r="D15" t="str">
            <v>C_Indices_de_Cobertura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DataSheet"/>
      <sheetName val="Datos"/>
      <sheetName val="DASHBOARD"/>
      <sheetName val="Calc"/>
      <sheetName val="Estado de Resultados"/>
    </sheetNames>
    <sheetDataSet>
      <sheetData sheetId="0"/>
      <sheetData sheetId="1">
        <row r="36">
          <cell r="C36" t="str">
            <v>ENERO</v>
          </cell>
        </row>
        <row r="37">
          <cell r="C37" t="str">
            <v>FEBRERO</v>
          </cell>
        </row>
        <row r="38">
          <cell r="C38" t="str">
            <v>MARZO</v>
          </cell>
        </row>
        <row r="39">
          <cell r="C39" t="str">
            <v>ABRIL</v>
          </cell>
        </row>
        <row r="40">
          <cell r="C40" t="str">
            <v>MAYO</v>
          </cell>
        </row>
        <row r="41">
          <cell r="C41" t="str">
            <v>JUNIO</v>
          </cell>
        </row>
        <row r="42">
          <cell r="C42" t="str">
            <v>JULIO</v>
          </cell>
        </row>
        <row r="43">
          <cell r="C43" t="str">
            <v>AGOSTO</v>
          </cell>
        </row>
        <row r="44">
          <cell r="C44" t="str">
            <v>SEPTIEMBRE</v>
          </cell>
        </row>
        <row r="45">
          <cell r="C45" t="str">
            <v>OCTUBRE</v>
          </cell>
        </row>
        <row r="46">
          <cell r="C46" t="str">
            <v>NOVIEMBRE</v>
          </cell>
        </row>
        <row r="47">
          <cell r="C47" t="str">
            <v>DICIEMBRE</v>
          </cell>
        </row>
      </sheetData>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ctualicese.com/caso-practico-de-presupuestos-y-proyecciones-financieras-para-una-pym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actualicese.com/lista-de-chequeo-para-la-evaluacion-de-las-4-fases-de-la-planeacion-tributaria-del-impuesto-de-renta/" TargetMode="External"/><Relationship Id="rId13" Type="http://schemas.openxmlformats.org/officeDocument/2006/relationships/hyperlink" Target="https://actualicese.com/liquidador-de-indicadores-financieros/" TargetMode="External"/><Relationship Id="rId3" Type="http://schemas.openxmlformats.org/officeDocument/2006/relationships/hyperlink" Target="https://aulavirtual2.actualicese.com/course/view.php?id=323&amp;token=YVc1MmFYUmhaRzlBWVdOMGRXRnNhV05sYzJVdVkyOXRYelEyV0dGcFdETXliV0k9" TargetMode="External"/><Relationship Id="rId7" Type="http://schemas.openxmlformats.org/officeDocument/2006/relationships/hyperlink" Target="https://actualicese.com/producto/guia-actualicese-de-planeacion-financiera-del-diagnostico-a-la-estrategia-en-5-pasos/" TargetMode="External"/><Relationship Id="rId12" Type="http://schemas.openxmlformats.org/officeDocument/2006/relationships/hyperlink" Target="https://actualicese.com/pack-de-formatos-15-herramientas-clave-en-excel-para-la-planeacion-estrategica-presupuestal-financiera-y-fiscal/" TargetMode="External"/><Relationship Id="rId17" Type="http://schemas.openxmlformats.org/officeDocument/2006/relationships/drawing" Target="../drawings/drawing3.xml"/><Relationship Id="rId2" Type="http://schemas.openxmlformats.org/officeDocument/2006/relationships/hyperlink" Target="https://actualicese.com/formulario-210-declaracion-de-renta-de-personas-naturales-residentes-que-no-llevan-contabilidad-ag-2021/" TargetMode="External"/><Relationship Id="rId16" Type="http://schemas.openxmlformats.org/officeDocument/2006/relationships/hyperlink" Target="https://actualicese.com/aprende-a-realizar-un-buen-presupuesto-usando-las-herramientas-de-la-inteligencia-artificial/" TargetMode="External"/><Relationship Id="rId1" Type="http://schemas.openxmlformats.org/officeDocument/2006/relationships/hyperlink" Target="https://actualicese.com/actualicese210xls-liquidador/" TargetMode="External"/><Relationship Id="rId6" Type="http://schemas.openxmlformats.org/officeDocument/2006/relationships/hyperlink" Target="https://actualicese.com/definicion-y-clasificacion-de-los-presupuestos/" TargetMode="External"/><Relationship Id="rId11" Type="http://schemas.openxmlformats.org/officeDocument/2006/relationships/hyperlink" Target="https://actualicese.com/plantilla-del-estado-de-costos-de-produccion-y-ventas/" TargetMode="External"/><Relationship Id="rId5" Type="http://schemas.openxmlformats.org/officeDocument/2006/relationships/hyperlink" Target="https://actualicese.com/formatos-y-condiciones-para-retencion-en-la-fuente-bajo-procedimientos-1-y-2-en-el-ano-gravable-2024/" TargetMode="External"/><Relationship Id="rId15" Type="http://schemas.openxmlformats.org/officeDocument/2006/relationships/hyperlink" Target="https://actualicese.com/lista-de-chequeo-de-las-etapas-requeridas-en-el-proceso-presupuestal/" TargetMode="External"/><Relationship Id="rId10" Type="http://schemas.openxmlformats.org/officeDocument/2006/relationships/hyperlink" Target="https://youtu.be/X6BI0BRpMLE" TargetMode="External"/><Relationship Id="rId4" Type="http://schemas.openxmlformats.org/officeDocument/2006/relationships/hyperlink" Target="https://actualicese.com/liquidador-tributacion-sobre-dividendos-y-calculo-de-su-retencion-luego-de-la-ley-2277-de-2022/" TargetMode="External"/><Relationship Id="rId9" Type="http://schemas.openxmlformats.org/officeDocument/2006/relationships/hyperlink" Target="https://actualicese.com/qsm_quiz/evaluacion-sobre-planeacion-tributaria-para-el-impuesto-de-renta/" TargetMode="External"/><Relationship Id="rId14" Type="http://schemas.openxmlformats.org/officeDocument/2006/relationships/hyperlink" Target="https://actualicese.com/formato-de-flujo-de-caja-real-y-presupuestado/"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actualicese.com/salario-minimo/" TargetMode="External"/><Relationship Id="rId2" Type="http://schemas.openxmlformats.org/officeDocument/2006/relationships/hyperlink" Target="https://www.banrep.gov.co/es/publicaciones-investigaciones/informe-politica-monetaria/octubre-2024" TargetMode="External"/><Relationship Id="rId1" Type="http://schemas.openxmlformats.org/officeDocument/2006/relationships/hyperlink" Target="https://www.bancolombia.com/wcm/connect/www.bancolombia.com-26918/8270acc4-d59b-44e4-9031-b0c7941b5968/Gu%E2%94%9C%C2%A1a-Bancolombia-2025.pdf?MOD=AJPERES&amp;CVID=p8w.8zj" TargetMode="External"/><Relationship Id="rId5" Type="http://schemas.openxmlformats.org/officeDocument/2006/relationships/drawing" Target="../drawings/drawing4.xml"/><Relationship Id="rId4" Type="http://schemas.openxmlformats.org/officeDocument/2006/relationships/hyperlink" Target="http://www.secretariasenado.gov.co/senado/basedoc/estatuto_tributario_pr004.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www.secretariasenado.gov.co/senado/basedoc/estatuto_tributario_pr004.html"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hyperlink" Target="http://www.secretariasenado.gov.co/senado/basedoc/estatuto_tributario_pr004.html" TargetMode="Externa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522" Type="http://schemas.openxmlformats.org/officeDocument/2006/relationships/hyperlink" Target="https://actualicese.com/modelo-para-certificacion-de-experiencia-tecnico-contable-en-tramite-de-solicitud-tarjeta-profesional/?referer=L-excel-formato&amp;utm_medium=act_formato_excel&amp;utm_source=act_formato_excel&amp;utm_campaign=act_formato_excel&amp;utm_content=act_formato_excel_link" TargetMode="External"/><Relationship Id="rId1827" Type="http://schemas.openxmlformats.org/officeDocument/2006/relationships/hyperlink" Target="https://actualicese.com/tabla-para-liquidar-indemnizaciones-por-perdida-de-capacidad-laboral/?referer=L-excel-formato&amp;utm_medium=act_formato_excel&amp;utm_source=act_formato_excel&amp;utm_campaign=act_formato_excel&amp;utm_content=act_formato_excel_link" TargetMode="External"/><Relationship Id="rId21" Type="http://schemas.openxmlformats.org/officeDocument/2006/relationships/hyperlink" Target="https://actualicese.com/caso-practico-en-excel-contabilizacion-de-sobrantes-y-faltantes-de-caja/?referer=L-excel-formato&amp;utm_medium=act_formato_excel&amp;utm_source=act_formato_excel&amp;utm_campaign=act_formato_excel&amp;utm_content=act_formato_excel_link" TargetMode="External"/><Relationship Id="rId2089" Type="http://schemas.openxmlformats.org/officeDocument/2006/relationships/hyperlink" Target="https://actualicese.com/pack-de-formatos-para-elaborar-la-declaracion-de-renta-de-personas-naturales-ag-2022/?referer=L-excel-formato&amp;utm_medium=act_formato_excel&amp;utm_source=act_formato_excel&amp;utm_campaign=act_formato_excel&amp;utm_content=act_formato_excel_link" TargetMode="External"/><Relationship Id="rId170" Type="http://schemas.openxmlformats.org/officeDocument/2006/relationships/hyperlink" Target="https://actualicese.com/casos-practicos-de-contabilizacion-de-ingresos-en-pymes-bajo-estandares-internacionales/?referer=L-excel-formato&amp;utm_medium=act_formato_excel&amp;utm_source=act_formato_excel&amp;utm_campaign=act_formato_excel&amp;utm_content=act_formato_excel_link" TargetMode="External"/><Relationship Id="rId2296" Type="http://schemas.openxmlformats.org/officeDocument/2006/relationships/hyperlink" Target="https://actualicese.com/caso-practico-sobre-liquidacion-de-sucesion-iliquida-e-impuesto-de-ganancia-ocasional/?referer=L-excel-formato&amp;utm_medium=act_formato_excel&amp;utm_source=act_formato_excel&amp;utm_campaign=act_formato_excel&amp;utm_content=act_formato_excel_link" TargetMode="External"/><Relationship Id="rId268" Type="http://schemas.openxmlformats.org/officeDocument/2006/relationships/hyperlink" Target="https://actualicese.com/determinacion-de-ganancia-ocasional-gravable-de-una-persona-natural-residente-caso-practico-en-excel/?referer=L-excel-formato&amp;utm_medium=act_formato_excel&amp;utm_source=act_formato_excel&amp;utm_campaign=act_formato_excel&amp;utm_content=act_formato_excel_link" TargetMode="External"/><Relationship Id="rId475" Type="http://schemas.openxmlformats.org/officeDocument/2006/relationships/hyperlink" Target="https://actualicese.com/apoyo-a-empresas-afectadas-por-el-paro-nacional-matriz-en-excel-y-casos-practicos/?referer=L-excel-formato&amp;utm_medium=act_formato_excel&amp;utm_source=act_formato_excel&amp;utm_campaign=act_formato_excel&amp;utm_content=act_formato_excel_link" TargetMode="External"/><Relationship Id="rId682" Type="http://schemas.openxmlformats.org/officeDocument/2006/relationships/hyperlink" Target="https://actualicese.com/impuesto-diferido-por-diferencias-en-la-tasa-de-depreciacion-de-propiedades-planta-y-equipo/?referer=L-excel-formato&amp;utm_medium=act_formato_excel&amp;utm_source=act_formato_excel&amp;utm_campaign=act_formato_excel&amp;utm_content=act_formato_excel_link" TargetMode="External"/><Relationship Id="rId2156" Type="http://schemas.openxmlformats.org/officeDocument/2006/relationships/hyperlink" Target="https://actualicese.com/comparativo-de-pagos-a-trabajador-contrato-de-trabajo-vs-contrato-de-prestacion-de-servicios/?referer=L-excel-formato&amp;utm_medium=act_formato_excel&amp;utm_source=act_formato_excel&amp;utm_campaign=act_formato_excel&amp;utm_content=act_formato_excel_link" TargetMode="External"/><Relationship Id="rId2363" Type="http://schemas.openxmlformats.org/officeDocument/2006/relationships/hyperlink" Target="https://actualicese.com/modelo-para-el-incremento-anual-del-arrendamiento-comercial/?referer=L-excel-formato&amp;utm_medium=act_formato_excel&amp;utm_source=act_formato_excel&amp;utm_campaign=act_formato_excel&amp;utm_content=act_formato_excel_link" TargetMode="External"/><Relationship Id="rId128" Type="http://schemas.openxmlformats.org/officeDocument/2006/relationships/hyperlink" Target="https://actualicese.com/numero-de-cuotas-o-pagos-de-un-proyecto-de-financiacion-o-inversion/?referer=L-excel-formato&amp;utm_medium=act_formato_excel&amp;utm_source=act_formato_excel&amp;utm_campaign=act_formato_excel&amp;utm_content=act_formato_excel_link" TargetMode="External"/><Relationship Id="rId335" Type="http://schemas.openxmlformats.org/officeDocument/2006/relationships/hyperlink" Target="https://actualicese.com/ingresos-por-venta-de-criptoactivos-en-la-declaracion-de-renta-caso-practico-en-excel/?referer=L-excel-formato&amp;utm_medium=act_formato_excel&amp;utm_source=act_formato_excel&amp;utm_campaign=act_formato_excel&amp;utm_content=act_formato_excel_link" TargetMode="External"/><Relationship Id="rId542" Type="http://schemas.openxmlformats.org/officeDocument/2006/relationships/hyperlink" Target="https://actualicese.com/tratamientos-contable-y-fiscal-de-la-depreciacion-de-activos-en-desuso-casos-practicos-en-excel/?referer=L-excel-formato&amp;utm_medium=act_formato_excel&amp;utm_source=act_formato_excel&amp;utm_campaign=act_formato_excel&amp;utm_content=act_formato_excel_link" TargetMode="External"/><Relationship Id="rId987" Type="http://schemas.openxmlformats.org/officeDocument/2006/relationships/hyperlink" Target="https://actualicese.com/formato-exogena-1003-por-el-ano-gravable-2017-retenciones-que-le-practicaron-al-informante/?referer=L-excel-formato&amp;utm_medium=act_formato_excel&amp;utm_source=act_formato_excel&amp;utm_campaign=act_formato_excel&amp;utm_content=act_formato_excel_link" TargetMode="External"/><Relationship Id="rId1172" Type="http://schemas.openxmlformats.org/officeDocument/2006/relationships/hyperlink" Target="https://actualicese.com/sobretasa-del-impuesto-de-renta-y-complementario-de-personas-juridicas/?referer=L-excel-formato&amp;utm_medium=act_formato_excel&amp;utm_source=act_formato_excel&amp;utm_campaign=act_formato_excel&amp;utm_content=act_formato_excel_link" TargetMode="External"/><Relationship Id="rId2016" Type="http://schemas.openxmlformats.org/officeDocument/2006/relationships/hyperlink" Target="https://actualicese.com/formato-en-excel-para-la-toma-de-inventario-fisico-con-macros/?referer=L-excel-formato&amp;utm_medium=act_formato_excel&amp;utm_source=act_formato_excel&amp;utm_campaign=act_formato_excel&amp;utm_content=act_formato_excel_link" TargetMode="External"/><Relationship Id="rId2223" Type="http://schemas.openxmlformats.org/officeDocument/2006/relationships/hyperlink" Target="https://actualicese.com/liquidador-de-indemnizacion-por-despido-sin-justa-causa-para-contrato-fijo-u-obra-labor/?referer=L-excel-formato&amp;utm_medium=act_formato_excel&amp;utm_source=act_formato_excel&amp;utm_campaign=act_formato_excel&amp;utm_content=act_formato_excel_link" TargetMode="External"/><Relationship Id="rId2430" Type="http://schemas.openxmlformats.org/officeDocument/2006/relationships/hyperlink" Target="https://actualicese.com/guia-de-informacion-laboral-2025/?referer=L-excel-formato&amp;utm_medium=act_formato_excel&amp;utm_source=act_formato_excel&amp;utm_campaign=act_formato_excel&amp;utm_content=act_formato_excel_link" TargetMode="External"/><Relationship Id="rId402" Type="http://schemas.openxmlformats.org/officeDocument/2006/relationships/hyperlink" Target="https://actualicese.com/liquidador-de-auxilio-de-incapacidad-valores-asumidos-por-el-empleador-la-eps-o-la-arl/?referer=L-excel-formato&amp;utm_medium=act_formato_excel&amp;utm_source=act_formato_excel&amp;utm_campaign=act_formato_excel&amp;utm_content=act_formato_excel_link" TargetMode="External"/><Relationship Id="rId847" Type="http://schemas.openxmlformats.org/officeDocument/2006/relationships/hyperlink" Target="https://actualicese.com/formato-exogena-1011-1012-y-2275-por-el-ano-gravable-2018-reporte-de-otros-datos-en-renta-e-iva/?referer=L-excel-formato&amp;utm_medium=act_formato_excel&amp;utm_source=act_formato_excel&amp;utm_campaign=act_formato_excel&amp;utm_content=act_formato_excel_link" TargetMode="External"/><Relationship Id="rId1032" Type="http://schemas.openxmlformats.org/officeDocument/2006/relationships/hyperlink" Target="https://actualicese.com/tabla-de-retenciones-en-la-fuente-por-renta-para-ano-fiscal-2018/?referer=L-excel-formato&amp;utm_medium=act_formato_excel&amp;utm_source=act_formato_excel&amp;utm_campaign=act_formato_excel&amp;utm_content=act_formato_excel_link" TargetMode="External"/><Relationship Id="rId1477" Type="http://schemas.openxmlformats.org/officeDocument/2006/relationships/hyperlink" Target="https://actualicese.com/plantilla-para-elaborar-estado-de-situacion-financiera-de-apertura-para-reportar-a-supersociedades/?referer=L-excel-formato&amp;utm_medium=act_formato_excel&amp;utm_source=act_formato_excel&amp;utm_campaign=act_formato_excel&amp;utm_content=act_formato_excel_link" TargetMode="External"/><Relationship Id="rId1684" Type="http://schemas.openxmlformats.org/officeDocument/2006/relationships/hyperlink" Target="https://actualicese.com/cuenta-de-cobro-para-una-persona-que-presta-servicios-y-no-es-responsable-de-iva/?referer=L-excel-formato&amp;utm_medium=act_formato_excel&amp;utm_source=act_formato_excel&amp;utm_campaign=act_formato_excel&amp;utm_content=act_formato_excel_link" TargetMode="External"/><Relationship Id="rId1891" Type="http://schemas.openxmlformats.org/officeDocument/2006/relationships/hyperlink" Target="https://actualicese.com/plantilla-para-elaborar-el-formulario-300-para-las-declaraciones-del-iva-en-2023/?referer=L-excel-formato&amp;utm_medium=act_formato_excel&amp;utm_source=act_formato_excel&amp;utm_campaign=act_formato_excel&amp;utm_content=act_formato_excel_link" TargetMode="External"/><Relationship Id="rId707" Type="http://schemas.openxmlformats.org/officeDocument/2006/relationships/hyperlink" Target="https://actualicese.com/liquidacion-de-contrato-de-trabajo/?referer=L-excel-formato&amp;utm_medium=act_formato_excel&amp;utm_source=act_formato_excel&amp;utm_campaign=act_formato_excel&amp;utm_content=act_formato_excel_link" TargetMode="External"/><Relationship Id="rId914" Type="http://schemas.openxmlformats.org/officeDocument/2006/relationships/hyperlink" Target="https://actualicese.com/liquidador-historico-de-porcentajes-de-reajuste-fiscal/?referer=L-excel-formato&amp;utm_medium=act_formato_excel&amp;utm_source=act_formato_excel&amp;utm_campaign=act_formato_excel&amp;utm_content=act_formato_excel_link" TargetMode="External"/><Relationship Id="rId1337" Type="http://schemas.openxmlformats.org/officeDocument/2006/relationships/hyperlink" Target="https://actualicese.com/calendario-tributario-de-bogota-d-c/?referer=L-excel-formato&amp;utm_medium=act_formato_excel&amp;utm_source=act_formato_excel&amp;utm_campaign=act_formato_excel&amp;utm_content=act_formato_excel_link" TargetMode="External"/><Relationship Id="rId1544" Type="http://schemas.openxmlformats.org/officeDocument/2006/relationships/hyperlink" Target="https://actualicese.com/plantilla-basica-formulario-110-y-140-declaracion-renta-y-cree-de-personas-juridicas-ano-gravable-2013/?referer=L-excel-formato&amp;utm_medium=act_formato_excel&amp;utm_source=act_formato_excel&amp;utm_campaign=act_formato_excel&amp;utm_content=act_formato_excel_link" TargetMode="External"/><Relationship Id="rId1751" Type="http://schemas.openxmlformats.org/officeDocument/2006/relationships/hyperlink" Target="https://actualicese.com/poder-de-representacion-en-asamblea-de-accionistas-o-junta-de-socios/?referer=L-excel-formato&amp;utm_medium=act_formato_excel&amp;utm_source=act_formato_excel&amp;utm_campaign=act_formato_excel&amp;utm_content=act_formato_excel_link" TargetMode="External"/><Relationship Id="rId1989" Type="http://schemas.openxmlformats.org/officeDocument/2006/relationships/hyperlink" Target="https://actualicese.com/liquidador-casos-practicos-en-excel-con-las-diferencias-mas-comunes-en-el-proceso-de-conciliacion-fiscal-de-personas-juridicas/?referer=L-excel-formato&amp;utm_medium=act_formato_excel&amp;utm_source=act_formato_excel&amp;utm_campaign=act_formato_excel&amp;utm_content=act_formato_excel_link" TargetMode="External"/><Relationship Id="rId43" Type="http://schemas.openxmlformats.org/officeDocument/2006/relationships/hyperlink" Target="https://actualicese.com/efecto-del-calculo-del-valor-residual-en-el-estado-de-resultados/?referer=L-excel-formato&amp;utm_medium=act_formato_excel&amp;utm_source=act_formato_excel&amp;utm_campaign=act_formato_excel&amp;utm_content=act_formato_excel_link" TargetMode="External"/><Relationship Id="rId1404" Type="http://schemas.openxmlformats.org/officeDocument/2006/relationships/hyperlink" Target="https://actualicese.com/promesa-de-compraventa-de-inmueble/?referer=L-excel-formato&amp;utm_medium=act_formato_excel&amp;utm_source=act_formato_excel&amp;utm_campaign=act_formato_excel&amp;utm_content=act_formato_excel_link" TargetMode="External"/><Relationship Id="rId1611" Type="http://schemas.openxmlformats.org/officeDocument/2006/relationships/hyperlink" Target="https://actualicese.com/word-contrato-de-suministro-de-alimentos-outsourcing-de-casino/?referer=L-excel-formato&amp;utm_medium=act_formato_excel&amp;utm_source=act_formato_excel&amp;utm_campaign=act_formato_excel&amp;utm_content=act_formato_excel_link" TargetMode="External"/><Relationship Id="rId1849" Type="http://schemas.openxmlformats.org/officeDocument/2006/relationships/hyperlink" Target="https://actualicese.com/pack-de-formatos-modelos-y-guias-para-asambleas-de-accionistas-socios-y-copropietarios/?referer=L-excel-formato&amp;utm_medium=act_formato_excel&amp;utm_source=act_formato_excel&amp;utm_campaign=act_formato_excel&amp;utm_content=act_formato_excel_link" TargetMode="External"/><Relationship Id="rId192" Type="http://schemas.openxmlformats.org/officeDocument/2006/relationships/hyperlink" Target="https://actualicese.com/liquidador-de-nomina-de-empleados-de-servicio-domestico-que-laboran-por-dias/?referer=L-excel-formato&amp;utm_medium=act_formato_excel&amp;utm_source=act_formato_excel&amp;utm_campaign=act_formato_excel&amp;utm_content=act_formato_excel_link" TargetMode="External"/><Relationship Id="rId1709" Type="http://schemas.openxmlformats.org/officeDocument/2006/relationships/hyperlink" Target="https://actualicese.com/tabla-de-tarifas-de-honorarios-profesionales-para-contadores-publicos/?referer=L-excel-formato&amp;utm_medium=act_formato_excel&amp;utm_source=act_formato_excel&amp;utm_campaign=act_formato_excel&amp;utm_content=act_formato_excel_link" TargetMode="External"/><Relationship Id="rId1916" Type="http://schemas.openxmlformats.org/officeDocument/2006/relationships/hyperlink" Target="https://actualicese.com/poder-para-nombrar-delegado-o-apoderado-en-asamblea-de-propietarios-en-p-h/?referer=L-excel-formato&amp;utm_medium=act_formato_excel&amp;utm_source=act_formato_excel&amp;utm_campaign=act_formato_excel&amp;utm_content=act_formato_excel_link" TargetMode="External"/><Relationship Id="rId497" Type="http://schemas.openxmlformats.org/officeDocument/2006/relationships/hyperlink" Target="https://actualicese.com/lista-de-chequeo-de-revelaciones-seccion-11-instrumentos-financieros-basicos/?referer=L-excel-formato&amp;utm_medium=act_formato_excel&amp;utm_source=act_formato_excel&amp;utm_campaign=act_formato_excel&amp;utm_content=act_formato_excel_link" TargetMode="External"/><Relationship Id="rId2080" Type="http://schemas.openxmlformats.org/officeDocument/2006/relationships/hyperlink" Target="https://actualicese.com/casos-practicos-de-liquidacion-y-contabilizacion-de-sanciones-por-no-inscribirse-o-actualizar-el-rut/?referer=L-excel-formato&amp;utm_medium=act_formato_excel&amp;utm_source=act_formato_excel&amp;utm_campaign=act_formato_excel&amp;utm_content=act_formato_excel_link" TargetMode="External"/><Relationship Id="rId2178" Type="http://schemas.openxmlformats.org/officeDocument/2006/relationships/hyperlink" Target="https://actualicese.com/lista-de-chequeo-estandares-minimos-de-seguridad-para-empresas-medianas/?referer=L-excel-formato&amp;utm_medium=act_formato_excel&amp;utm_source=act_formato_excel&amp;utm_campaign=act_formato_excel&amp;utm_content=act_formato_excel_link" TargetMode="External"/><Relationship Id="rId2385" Type="http://schemas.openxmlformats.org/officeDocument/2006/relationships/hyperlink" Target="https://actualicese.com/liquidador-de-indicadores-de-detrimento-patrimonial-e-insolvencia-financiera/?referer=L-excel-formato&amp;utm_medium=act_formato_excel&amp;utm_source=act_formato_excel&amp;utm_campaign=act_formato_excel&amp;utm_content=act_formato_excel_link" TargetMode="External"/><Relationship Id="rId357" Type="http://schemas.openxmlformats.org/officeDocument/2006/relationships/hyperlink" Target="https://actualicese.com/reparto-de-utilidades-pago-de-dividendos/?referer=L-excel-formato&amp;utm_medium=act_formato_excel&amp;utm_source=act_formato_excel&amp;utm_campaign=act_formato_excel&amp;utm_content=act_formato_excel_link" TargetMode="External"/><Relationship Id="rId1194" Type="http://schemas.openxmlformats.org/officeDocument/2006/relationships/hyperlink" Target="https://actualicese.com/matriz-para-definir-si-puede-acogerse-al-monotributo-por-el-ano-2017-segun-proyecto-reforma-tributaria/?referer=L-excel-formato&amp;utm_medium=act_formato_excel&amp;utm_source=act_formato_excel&amp;utm_campaign=act_formato_excel&amp;utm_content=act_formato_excel_link" TargetMode="External"/><Relationship Id="rId2038" Type="http://schemas.openxmlformats.org/officeDocument/2006/relationships/hyperlink" Target="https://actualicese.com/impuesto-diferido-por-diferencia-en-cambio-caso-practico-en-excel/?referer=L-excel-formato&amp;utm_medium=act_formato_excel&amp;utm_source=act_formato_excel&amp;utm_campaign=act_formato_excel&amp;utm_content=act_formato_excel_link" TargetMode="External"/><Relationship Id="rId217" Type="http://schemas.openxmlformats.org/officeDocument/2006/relationships/hyperlink" Target="https://actualicese.com/formatos-para-elaborar-contratos-de-trabajo/?referer=L-excel-formato&amp;utm_medium=act_formato_excel&amp;utm_source=act_formato_excel&amp;utm_campaign=act_formato_excel&amp;utm_content=act_formato_excel_link" TargetMode="External"/><Relationship Id="rId564" Type="http://schemas.openxmlformats.org/officeDocument/2006/relationships/hyperlink" Target="https://actualicese.com/costo-fiscal-de-propiedad-planta-y-equipo-y-propiedades-de-inversion-como-determinarlo/?referer=L-excel-formato&amp;utm_medium=act_formato_excel&amp;utm_source=act_formato_excel&amp;utm_campaign=act_formato_excel&amp;utm_content=act_formato_excel_link" TargetMode="External"/><Relationship Id="rId771" Type="http://schemas.openxmlformats.org/officeDocument/2006/relationships/hyperlink" Target="https://actualicese.com/formatos-exogena-1011-1012-y-2275-por-el-ano-gravable-2019-reporte-de-otros-datos-en-renta-e-iva/?referer=L-excel-formato&amp;utm_medium=act_formato_excel&amp;utm_source=act_formato_excel&amp;utm_campaign=act_formato_excel&amp;utm_content=act_formato_excel_link" TargetMode="External"/><Relationship Id="rId869" Type="http://schemas.openxmlformats.org/officeDocument/2006/relationships/hyperlink" Target="https://actualicese.com/indicadores-basicos-para-declaracion-de-renta-de-personas-juridicas-ano-gravable-2018/?referer=L-excel-formato&amp;utm_medium=act_formato_excel&amp;utm_source=act_formato_excel&amp;utm_campaign=act_formato_excel&amp;utm_content=act_formato_excel_link" TargetMode="External"/><Relationship Id="rId1499" Type="http://schemas.openxmlformats.org/officeDocument/2006/relationships/hyperlink" Target="https://actualicese.com/retencion-en-la-fuente-con-procedimiento-1-a-asalariados-y-demas-empleados-durante-el-2015/?referer=L-excel-formato&amp;utm_medium=act_formato_excel&amp;utm_source=act_formato_excel&amp;utm_campaign=act_formato_excel&amp;utm_content=act_formato_excel_link" TargetMode="External"/><Relationship Id="rId2245" Type="http://schemas.openxmlformats.org/officeDocument/2006/relationships/hyperlink" Target="https://actualicese.com/notificacion-a-empleado-de-la-reduccion-de-la-jornada-laboral/?referer=L-excel-formato&amp;utm_medium=act_formato_excel&amp;utm_source=act_formato_excel&amp;utm_campaign=act_formato_excel&amp;utm_content=act_formato_excel_link" TargetMode="External"/><Relationship Id="rId2452" Type="http://schemas.openxmlformats.org/officeDocument/2006/relationships/hyperlink" Target="https://actualicese.com/liquidador-de-aportes-a-seguridad-social-de-independientes-por-cuenta-propia-y-rentistas-de-capital/?referer=L-excel-formato&amp;utm_medium=act_formato_excel&amp;utm_source=act_formato_excel&amp;utm_campaign=act_formato_excel&amp;utm_content=act_formato_excel_link" TargetMode="External"/><Relationship Id="rId424" Type="http://schemas.openxmlformats.org/officeDocument/2006/relationships/hyperlink" Target="https://actualicese.com/costo-de-la-contratacion-de-un-trabajador-que-devenga-un-salario-minimo-caso-practico/?referer=L-excel-formato&amp;utm_medium=act_formato_excel&amp;utm_source=act_formato_excel&amp;utm_campaign=act_formato_excel&amp;utm_content=act_formato_excel_link" TargetMode="External"/><Relationship Id="rId631" Type="http://schemas.openxmlformats.org/officeDocument/2006/relationships/hyperlink" Target="https://actualicese.com/contrato-modelo-contrato-de-mandato/?referer=L-excel-formato&amp;utm_medium=act_formato_excel&amp;utm_source=act_formato_excel&amp;utm_campaign=act_formato_excel&amp;utm_content=act_formato_excel_link" TargetMode="External"/><Relationship Id="rId729" Type="http://schemas.openxmlformats.org/officeDocument/2006/relationships/hyperlink" Target="https://actualicese.com/poder-para-adelantar-tramite-de-solicitud-de-calificacion-de-perdida-de-capacidad-laboral/?referer=L-excel-formato&amp;utm_medium=act_formato_excel&amp;utm_source=act_formato_excel&amp;utm_campaign=act_formato_excel&amp;utm_content=act_formato_excel_link" TargetMode="External"/><Relationship Id="rId1054" Type="http://schemas.openxmlformats.org/officeDocument/2006/relationships/hyperlink" Target="https://actualicese.com/lista-de-chequeo-evidencia-relativa-a-los-controles-en-una-organizacion-de-servicios/?referer=L-excel-formato&amp;utm_medium=act_formato_excel&amp;utm_source=act_formato_excel&amp;utm_campaign=act_formato_excel&amp;utm_content=act_formato_excel_link" TargetMode="External"/><Relationship Id="rId1261" Type="http://schemas.openxmlformats.org/officeDocument/2006/relationships/hyperlink" Target="https://actualicese.com/formularios-110-y-240-con-anexos-para-declaracion-de-renta-ano-gravable-2015/?referer=L-excel-formato&amp;utm_medium=act_formato_excel&amp;utm_source=act_formato_excel&amp;utm_campaign=act_formato_excel&amp;utm_content=act_formato_excel_link" TargetMode="External"/><Relationship Id="rId1359" Type="http://schemas.openxmlformats.org/officeDocument/2006/relationships/hyperlink" Target="https://actualicese.com/documento-de-orientacion-tecnica-015-copropiedades-de-uso-residencial-o-mixto-grupo-1-2-y-3/?referer=L-excel-formato&amp;utm_medium=act_formato_excel&amp;utm_source=act_formato_excel&amp;utm_campaign=act_formato_excel&amp;utm_content=act_formato_excel_link" TargetMode="External"/><Relationship Id="rId2105" Type="http://schemas.openxmlformats.org/officeDocument/2006/relationships/hyperlink" Target="https://actualicese.com/liquidador-en-excel-del-porcentaje-fijo-de-retencion-en-la-fuente-sobre-salarios-en-junio-de-2023-procedimiento-2/?referer=L-excel-formato&amp;utm_medium=act_formato_excel&amp;utm_source=act_formato_excel&amp;utm_campaign=act_formato_excel&amp;utm_content=act_formato_excel_link" TargetMode="External"/><Relationship Id="rId2312" Type="http://schemas.openxmlformats.org/officeDocument/2006/relationships/hyperlink" Target="https://actualicese.com/casos-practicos-sobre-aiu-calculo-del-iva-y-retencion-en-la-fuente-en-esta-figura/?referer=L-excel-formato&amp;utm_medium=act_formato_excel&amp;utm_source=act_formato_excel&amp;utm_campaign=act_formato_excel&amp;utm_content=act_formato_excel_link" TargetMode="External"/><Relationship Id="rId936" Type="http://schemas.openxmlformats.org/officeDocument/2006/relationships/hyperlink" Target="https://actualicese.com/politica-contable-de-arrendamientos-para-entidades-de-grupo-1/?referer=L-excel-formato&amp;utm_medium=act_formato_excel&amp;utm_source=act_formato_excel&amp;utm_campaign=act_formato_excel&amp;utm_content=act_formato_excel_link" TargetMode="External"/><Relationship Id="rId1121" Type="http://schemas.openxmlformats.org/officeDocument/2006/relationships/hyperlink" Target="https://actualicese.com/formato-1009-por-2016-reportes-de-cuentas-por-pagar/?referer=L-excel-formato&amp;utm_medium=act_formato_excel&amp;utm_source=act_formato_excel&amp;utm_campaign=act_formato_excel&amp;utm_content=act_formato_excel_link" TargetMode="External"/><Relationship Id="rId1219" Type="http://schemas.openxmlformats.org/officeDocument/2006/relationships/hyperlink" Target="https://actualicese.com/cuadro-sinoptico-de-la-generacion-del-iva-en-operaciones-con-empresas-en-zonas-francas/?referer=L-excel-formato&amp;utm_medium=act_formato_excel&amp;utm_source=act_formato_excel&amp;utm_campaign=act_formato_excel&amp;utm_content=act_formato_excel_link" TargetMode="External"/><Relationship Id="rId1566" Type="http://schemas.openxmlformats.org/officeDocument/2006/relationships/hyperlink" Target="https://actualicese.com/circularizacion-bancaria-de-informacion-financiera/?referer=L-excel-formato&amp;utm_medium=act_formato_excel&amp;utm_source=act_formato_excel&amp;utm_campaign=act_formato_excel&amp;utm_content=act_formato_excel_link" TargetMode="External"/><Relationship Id="rId1773" Type="http://schemas.openxmlformats.org/officeDocument/2006/relationships/hyperlink" Target="https://actualicese.com/tabla-de-retencion-en-la-fuente-2023/?referer=L-excel-formato&amp;utm_medium=act_formato_excel&amp;utm_source=act_formato_excel&amp;utm_campaign=act_formato_excel&amp;utm_content=act_formato_excel_link" TargetMode="External"/><Relationship Id="rId1980" Type="http://schemas.openxmlformats.org/officeDocument/2006/relationships/hyperlink" Target="https://actualicese.com/modelo-de-certificado-laboral/?referer=L-excel-formato&amp;utm_medium=act_formato_excel&amp;utm_source=act_formato_excel&amp;utm_campaign=act_formato_excel&amp;utm_content=act_formato_excel_link" TargetMode="External"/><Relationship Id="rId65" Type="http://schemas.openxmlformats.org/officeDocument/2006/relationships/hyperlink" Target="https://actualicese.com/determinacion-de-diferencias-temporarias-e-impuesto-diferido/?referer=L-excel-formato&amp;utm_medium=act_formato_excel&amp;utm_source=act_formato_excel&amp;utm_campaign=act_formato_excel&amp;utm_content=act_formato_excel_link" TargetMode="External"/><Relationship Id="rId1426" Type="http://schemas.openxmlformats.org/officeDocument/2006/relationships/hyperlink" Target="https://actualicese.com/guia-para-determinar-si-una-persona-natural-es-residente-para-efectos-fiscales/?referer=L-excel-formato&amp;utm_medium=act_formato_excel&amp;utm_source=act_formato_excel&amp;utm_campaign=act_formato_excel&amp;utm_content=act_formato_excel_link" TargetMode="External"/><Relationship Id="rId1633" Type="http://schemas.openxmlformats.org/officeDocument/2006/relationships/hyperlink" Target="https://actualicese.com/pack-de-formatos-casos-practicos-en-excel-sobre-impuesto-diferido-en-2022/?referer=L-excel-formato&amp;utm_medium=act_formato_excel&amp;utm_source=act_formato_excel&amp;utm_campaign=act_formato_excel&amp;utm_content=act_formato_excel_link" TargetMode="External"/><Relationship Id="rId1840" Type="http://schemas.openxmlformats.org/officeDocument/2006/relationships/hyperlink" Target="https://actualicese.com/liquidador-y-desprendible-de-nomina-basico-en-excel/?referer=L-excel-formato&amp;utm_medium=act_formato_excel&amp;utm_source=act_formato_excel&amp;utm_campaign=act_formato_excel&amp;utm_content=act_formato_excel_link" TargetMode="External"/><Relationship Id="rId1700" Type="http://schemas.openxmlformats.org/officeDocument/2006/relationships/hyperlink" Target="https://actualicese.com/simulador-de-sancion-por-no-pagar-la-liquidacion-del-contrato-laboral/?referer=L-excel-formato&amp;utm_medium=act_formato_excel&amp;utm_source=act_formato_excel&amp;utm_campaign=act_formato_excel&amp;utm_content=act_formato_excel_link" TargetMode="External"/><Relationship Id="rId1938" Type="http://schemas.openxmlformats.org/officeDocument/2006/relationships/hyperlink" Target="https://actualicese.com/caso-practico-en-excel-sobre-adquisicion-de-activos-inventarios-con-interes-implicito/?referer=L-excel-formato&amp;utm_medium=act_formato_excel&amp;utm_source=act_formato_excel&amp;utm_campaign=act_formato_excel&amp;utm_content=act_formato_excel_link" TargetMode="External"/><Relationship Id="rId281" Type="http://schemas.openxmlformats.org/officeDocument/2006/relationships/hyperlink" Target="https://actualicese.com/plantilla-del-formato-2276-y-del-2280-para-el-reporte-de-informacion-exogena-de-2021/?referer=L-excel-formato&amp;utm_medium=act_formato_excel&amp;utm_source=act_formato_excel&amp;utm_campaign=act_formato_excel&amp;utm_content=act_formato_excel_link" TargetMode="External"/><Relationship Id="rId141" Type="http://schemas.openxmlformats.org/officeDocument/2006/relationships/hyperlink" Target="https://actualicese.com/modelo-de-carta-para-notificar-vacaciones-a-empleados/?referer=L-excel-formato&amp;utm_medium=act_formato_excel&amp;utm_source=act_formato_excel&amp;utm_campaign=act_formato_excel&amp;utm_content=act_formato_excel_link" TargetMode="External"/><Relationship Id="rId379" Type="http://schemas.openxmlformats.org/officeDocument/2006/relationships/hyperlink" Target="https://actualicese.com/simulador-de-casos-de-deducciones-y-costos-estimados-para-la-declaracion-de-renta-2021/?referer=L-excel-formato&amp;utm_medium=act_formato_excel&amp;utm_source=act_formato_excel&amp;utm_campaign=act_formato_excel&amp;utm_content=act_formato_excel_link" TargetMode="External"/><Relationship Id="rId586" Type="http://schemas.openxmlformats.org/officeDocument/2006/relationships/hyperlink" Target="https://actualicese.com/formulario-420-declaracion-de-impuesto-al-patrimonio-2021/?referer=L-excel-formato&amp;utm_medium=act_formato_excel&amp;utm_source=act_formato_excel&amp;utm_campaign=act_formato_excel&amp;utm_content=act_formato_excel_link" TargetMode="External"/><Relationship Id="rId793" Type="http://schemas.openxmlformats.org/officeDocument/2006/relationships/hyperlink" Target="https://actualicese.com/guia-tabla-de-retencion-en-la-fuente-para-el-ano-fiscal-2020/?referer=L-excel-formato&amp;utm_medium=act_formato_excel&amp;utm_source=act_formato_excel&amp;utm_campaign=act_formato_excel&amp;utm_content=act_formato_excel_link" TargetMode="External"/><Relationship Id="rId2267" Type="http://schemas.openxmlformats.org/officeDocument/2006/relationships/hyperlink" Target="https://actualicese.com/simulador-en-excel-para-realizar-la-liquidacion-de-contratos-de-trabajo/?referer=L-excel-formato&amp;utm_medium=act_formato_excel&amp;utm_source=act_formato_excel&amp;utm_campaign=act_formato_excel&amp;utm_content=act_formato_excel_link" TargetMode="External"/><Relationship Id="rId7" Type="http://schemas.openxmlformats.org/officeDocument/2006/relationships/hyperlink" Target="https://actualicese.com/impuesto-diferido-ante-deterioro-de-cartera-en-2022-caso-practico-en-excel/?referer=L-excel-formato&amp;utm_medium=act_formato_excel&amp;utm_source=act_formato_excel&amp;utm_campaign=act_formato_excel&amp;utm_content=act_formato_excel_link" TargetMode="External"/><Relationship Id="rId239" Type="http://schemas.openxmlformats.org/officeDocument/2006/relationships/hyperlink" Target="https://actualicese.com/contrato-de-trabajo-a-termino-indefinido-de-auxiliar-contable/?referer=L-excel-formato&amp;utm_medium=act_formato_excel&amp;utm_source=act_formato_excel&amp;utm_campaign=act_formato_excel&amp;utm_content=act_formato_excel_link" TargetMode="External"/><Relationship Id="rId446" Type="http://schemas.openxmlformats.org/officeDocument/2006/relationships/hyperlink" Target="https://actualicese.com/modelo-calculo-de-intereses-sobre-las-cesantias/?referer=L-excel-formato&amp;utm_medium=act_formato_excel&amp;utm_source=act_formato_excel&amp;utm_campaign=act_formato_excel&amp;utm_content=act_formato_excel_link" TargetMode="External"/><Relationship Id="rId653" Type="http://schemas.openxmlformats.org/officeDocument/2006/relationships/hyperlink" Target="https://actualicese.com/normatividad-relacionada-con-la-liquidacion-de-nomina/?referer=L-excel-formato&amp;utm_medium=act_formato_excel&amp;utm_source=act_formato_excel&amp;utm_campaign=act_formato_excel&amp;utm_content=act_formato_excel_link" TargetMode="External"/><Relationship Id="rId1076" Type="http://schemas.openxmlformats.org/officeDocument/2006/relationships/hyperlink" Target="https://actualicese.com/personas-naturales-obligadas-y-no-obligadas-a-llevar-contabilidad/?referer=L-excel-formato&amp;utm_medium=act_formato_excel&amp;utm_source=act_formato_excel&amp;utm_campaign=act_formato_excel&amp;utm_content=act_formato_excel_link" TargetMode="External"/><Relationship Id="rId1283" Type="http://schemas.openxmlformats.org/officeDocument/2006/relationships/hyperlink" Target="https://actualicese.com/autorizacion-de-salida-de-bienes-por-finalizacion-del-contrato-de-arrendamiento-propiedad-horizontal/?referer=L-excel-formato&amp;utm_medium=act_formato_excel&amp;utm_source=act_formato_excel&amp;utm_campaign=act_formato_excel&amp;utm_content=act_formato_excel_link" TargetMode="External"/><Relationship Id="rId1490" Type="http://schemas.openxmlformats.org/officeDocument/2006/relationships/hyperlink" Target="https://actualicese.com/documento-constitucion-comite-niif/?referer=L-excel-formato&amp;utm_medium=act_formato_excel&amp;utm_source=act_formato_excel&amp;utm_campaign=act_formato_excel&amp;utm_content=act_formato_excel_link" TargetMode="External"/><Relationship Id="rId2127" Type="http://schemas.openxmlformats.org/officeDocument/2006/relationships/hyperlink" Target="https://actualicese.com/caso-practico-de-liquidacion-de-un-trabajador-domestico-que-devenga-el-salario-minimo/?referer=L-excel-formato&amp;utm_medium=act_formato_excel&amp;utm_source=act_formato_excel&amp;utm_campaign=act_formato_excel&amp;utm_content=act_formato_excel_link" TargetMode="External"/><Relationship Id="rId2334" Type="http://schemas.openxmlformats.org/officeDocument/2006/relationships/hyperlink" Target="https://actualicese.com/modelo-en-excel-calculo-de-intereses-presuntivos-en-2024-sobre-prestamos-entre-socios-y-sociedades/?referer=L-excel-formato&amp;utm_medium=act_formato_excel&amp;utm_source=act_formato_excel&amp;utm_campaign=act_formato_excel&amp;utm_content=act_formato_excel_link" TargetMode="External"/><Relationship Id="rId306" Type="http://schemas.openxmlformats.org/officeDocument/2006/relationships/hyperlink" Target="https://actualicese.com/guia-para-auditar-el-formato-2516-ag-2021-conciliacion-fiscal-de-las-personas-juridicas/?referer=L-excel-formato&amp;utm_medium=act_formato_excel&amp;utm_source=act_formato_excel&amp;utm_campaign=act_formato_excel&amp;utm_content=act_formato_excel_link" TargetMode="External"/><Relationship Id="rId860" Type="http://schemas.openxmlformats.org/officeDocument/2006/relationships/hyperlink" Target="https://actualicese.com/formatos-exogena-1005-y-1006-del-ano-gravable-2018-reportes-de-iva-generados-y-descontables/?referer=L-excel-formato&amp;utm_medium=act_formato_excel&amp;utm_source=act_formato_excel&amp;utm_campaign=act_formato_excel&amp;utm_content=act_formato_excel_link" TargetMode="External"/><Relationship Id="rId958" Type="http://schemas.openxmlformats.org/officeDocument/2006/relationships/hyperlink" Target="https://actualicese.com/cobro-coactivo-conozca-si-la-dian-deberia-levantar-medida-cautelar-sobre-un-bien-del-contribuyente/?referer=L-excel-formato&amp;utm_medium=act_formato_excel&amp;utm_source=act_formato_excel&amp;utm_campaign=act_formato_excel&amp;utm_content=act_formato_excel_link" TargetMode="External"/><Relationship Id="rId1143" Type="http://schemas.openxmlformats.org/officeDocument/2006/relationships/hyperlink" Target="https://actualicese.com/politica-contable-sobre-moneda-funcional-y-transacciones-en-moneda-extranjera-para-pymes/?referer=L-excel-formato&amp;utm_medium=act_formato_excel&amp;utm_source=act_formato_excel&amp;utm_campaign=act_formato_excel&amp;utm_content=act_formato_excel_link" TargetMode="External"/><Relationship Id="rId1588" Type="http://schemas.openxmlformats.org/officeDocument/2006/relationships/hyperlink" Target="https://actualicese.com/modelo-para-definir-limite-de-pagos-no-salariales-y-su-aporte-a-seguridad-social/?referer=L-excel-formato&amp;utm_medium=act_formato_excel&amp;utm_source=act_formato_excel&amp;utm_campaign=act_formato_excel&amp;utm_content=act_formato_excel_link" TargetMode="External"/><Relationship Id="rId1795" Type="http://schemas.openxmlformats.org/officeDocument/2006/relationships/hyperlink" Target="https://actualicese.com/lista-de-chequeo-de-documentos-presentados-en-asamblea-de-accionistas-o-junta-de-socios/?referer=L-excel-formato&amp;utm_medium=act_formato_excel&amp;utm_source=act_formato_excel&amp;utm_campaign=act_formato_excel&amp;utm_content=act_formato_excel_link" TargetMode="External"/><Relationship Id="rId87" Type="http://schemas.openxmlformats.org/officeDocument/2006/relationships/hyperlink" Target="https://actualicese.com/caso-practico-de-contabilizacion-de-cheques-devueltos/?referer=L-excel-formato&amp;utm_medium=act_formato_excel&amp;utm_source=act_formato_excel&amp;utm_campaign=act_formato_excel&amp;utm_content=act_formato_excel_link" TargetMode="External"/><Relationship Id="rId513" Type="http://schemas.openxmlformats.org/officeDocument/2006/relationships/hyperlink" Target="https://actualicese.com/simulador-de-estado-de-situacion-financiera-analisis-comparativo/?referer=L-excel-formato&amp;utm_medium=act_formato_excel&amp;utm_source=act_formato_excel&amp;utm_campaign=act_formato_excel&amp;utm_content=act_formato_excel_link" TargetMode="External"/><Relationship Id="rId720" Type="http://schemas.openxmlformats.org/officeDocument/2006/relationships/hyperlink" Target="https://actualicese.com/calculo-de-la-contribucion-2020-a-supersociedades/?referer=L-excel-formato&amp;utm_medium=act_formato_excel&amp;utm_source=act_formato_excel&amp;utm_campaign=act_formato_excel&amp;utm_content=act_formato_excel_link" TargetMode="External"/><Relationship Id="rId818" Type="http://schemas.openxmlformats.org/officeDocument/2006/relationships/hyperlink" Target="https://actualicese.com/evaluacion-de-las-competencias-y-recursos-de-la-firma/?referer=L-excel-formato&amp;utm_medium=act_formato_excel&amp;utm_source=act_formato_excel&amp;utm_campaign=act_formato_excel&amp;utm_content=act_formato_excel_link" TargetMode="External"/><Relationship Id="rId1350" Type="http://schemas.openxmlformats.org/officeDocument/2006/relationships/hyperlink" Target="https://actualicese.com/liquidador-ejercicio-de-conciliacion-entre-el-resultado-contable-y-los-resultados-fiscales/?referer=L-excel-formato&amp;utm_medium=act_formato_excel&amp;utm_source=act_formato_excel&amp;utm_campaign=act_formato_excel&amp;utm_content=act_formato_excel_link" TargetMode="External"/><Relationship Id="rId1448" Type="http://schemas.openxmlformats.org/officeDocument/2006/relationships/hyperlink" Target="https://actualicese.com/clasificacion-tributaria-por-el-ano-gravable-2014-de-las-personas-naturales-y-sucesiones-iliquidas-frente-al-impuesto-de-renta-y-ganancia-ocasional/?referer=L-excel-formato&amp;utm_medium=act_formato_excel&amp;utm_source=act_formato_excel&amp;utm_campaign=act_formato_excel&amp;utm_content=act_formato_excel_link" TargetMode="External"/><Relationship Id="rId1655" Type="http://schemas.openxmlformats.org/officeDocument/2006/relationships/hyperlink" Target="https://actualicese.com/informe-de-entrega-del-cargo-de-contador-externo-al-finalizar-un-contrato/?referer=L-excel-formato&amp;utm_medium=act_formato_excel&amp;utm_source=act_formato_excel&amp;utm_campaign=act_formato_excel&amp;utm_content=act_formato_excel_link" TargetMode="External"/><Relationship Id="rId2401" Type="http://schemas.openxmlformats.org/officeDocument/2006/relationships/hyperlink" Target="https://actualicese.com/planeador-en-excel-para-contadores-publicos/?referer=L-excel-formato&amp;utm_medium=act_formato_excel&amp;utm_source=act_formato_excel&amp;utm_campaign=act_formato_excel&amp;utm_content=act_formato_excel_link" TargetMode="External"/><Relationship Id="rId1003" Type="http://schemas.openxmlformats.org/officeDocument/2006/relationships/hyperlink" Target="https://actualicese.com/aplicativo-simulador-y-comparativo-de-creditos-cuota-fija/?referer=L-excel-formato&amp;utm_medium=act_formato_excel&amp;utm_source=act_formato_excel&amp;utm_campaign=act_formato_excel&amp;utm_content=act_formato_excel_link" TargetMode="External"/><Relationship Id="rId1210" Type="http://schemas.openxmlformats.org/officeDocument/2006/relationships/hyperlink" Target="https://actualicese.com/matriz-para-definir-la-periodicidad-para-declarar-y-pagar-la-autorretencion-del-cree/?referer=L-excel-formato&amp;utm_medium=act_formato_excel&amp;utm_source=act_formato_excel&amp;utm_campaign=act_formato_excel&amp;utm_content=act_formato_excel_link" TargetMode="External"/><Relationship Id="rId1308" Type="http://schemas.openxmlformats.org/officeDocument/2006/relationships/hyperlink" Target="https://actualicese.com/formularios-110-y-140-con-anexos-y-formato-1732-ano-gravable-2015/?referer=L-excel-formato&amp;utm_medium=act_formato_excel&amp;utm_source=act_formato_excel&amp;utm_campaign=act_formato_excel&amp;utm_content=act_formato_excel_link" TargetMode="External"/><Relationship Id="rId1862" Type="http://schemas.openxmlformats.org/officeDocument/2006/relationships/hyperlink" Target="https://actualicese.com/plantilla-del-formato-1007-para-el-reporte-de-exogena-2022-informacion-de-ingresos-propios/?referer=L-excel-formato&amp;utm_medium=act_formato_excel&amp;utm_source=act_formato_excel&amp;utm_campaign=act_formato_excel&amp;utm_content=act_formato_excel_link" TargetMode="External"/><Relationship Id="rId1515" Type="http://schemas.openxmlformats.org/officeDocument/2006/relationships/hyperlink" Target="https://actualicese.com/modelo-para-definir-porcentaje-fijo-retencion-sobre-salarios-en-diciembre-de-2014-procedimiento-2/?referer=L-excel-formato&amp;utm_medium=act_formato_excel&amp;utm_source=act_formato_excel&amp;utm_campaign=act_formato_excel&amp;utm_content=act_formato_excel_link" TargetMode="External"/><Relationship Id="rId1722" Type="http://schemas.openxmlformats.org/officeDocument/2006/relationships/hyperlink" Target="https://actualicese.com/comprobante-de-pago-intereses-a-las-cesantias/?referer=L-excel-formato&amp;utm_medium=act_formato_excel&amp;utm_source=act_formato_excel&amp;utm_campaign=act_formato_excel&amp;utm_content=act_formato_excel_link" TargetMode="External"/><Relationship Id="rId14" Type="http://schemas.openxmlformats.org/officeDocument/2006/relationships/hyperlink" Target="https://actualicese.com/modelo-de-informe-de-gestion/?referer=L-excel-formato&amp;utm_medium=act_formato_excel&amp;utm_source=act_formato_excel&amp;utm_campaign=act_formato_excel&amp;utm_content=act_formato_excel_link" TargetMode="External"/><Relationship Id="rId2191" Type="http://schemas.openxmlformats.org/officeDocument/2006/relationships/hyperlink" Target="https://actualicese.com/solicitud-compensacion-en-dinero-de-las-vacaciones/?referer=L-excel-formato&amp;utm_medium=act_formato_excel&amp;utm_source=act_formato_excel&amp;utm_campaign=act_formato_excel&amp;utm_content=act_formato_excel_link" TargetMode="External"/><Relationship Id="rId163" Type="http://schemas.openxmlformats.org/officeDocument/2006/relationships/hyperlink" Target="https://actualicese.com/acta-de-diligencia-de-descargos/?referer=L-excel-formato&amp;utm_medium=act_formato_excel&amp;utm_source=act_formato_excel&amp;utm_campaign=act_formato_excel&amp;utm_content=act_formato_excel_link" TargetMode="External"/><Relationship Id="rId370" Type="http://schemas.openxmlformats.org/officeDocument/2006/relationships/hyperlink" Target="https://actualicese.com/acta-cambio-de-representante-legal/?referer=L-excel-formato&amp;utm_medium=act_formato_excel&amp;utm_source=act_formato_excel&amp;utm_campaign=act_formato_excel&amp;utm_content=act_formato_excel_link" TargetMode="External"/><Relationship Id="rId2051" Type="http://schemas.openxmlformats.org/officeDocument/2006/relationships/hyperlink" Target="https://actualicese.com/casos-practicos-de-contabilizacion-de-compras-e-impuestos-asumidos/?referer=L-excel-formato&amp;utm_medium=act_formato_excel&amp;utm_source=act_formato_excel&amp;utm_campaign=act_formato_excel&amp;utm_content=act_formato_excel_link" TargetMode="External"/><Relationship Id="rId2289" Type="http://schemas.openxmlformats.org/officeDocument/2006/relationships/hyperlink" Target="https://actualicese.com/liquidador-del-componente-inflacionario-de-los-rendimientos-o-costos-financieros/?referer=L-excel-formato&amp;utm_medium=act_formato_excel&amp;utm_source=act_formato_excel&amp;utm_campaign=act_formato_excel&amp;utm_content=act_formato_excel_link" TargetMode="External"/><Relationship Id="rId230" Type="http://schemas.openxmlformats.org/officeDocument/2006/relationships/hyperlink" Target="https://actualicese.com/liquidador-del-componente-inflacionario-de-los-rendimientos-o-costos-financieros/?referer=L-excel-formato&amp;utm_medium=act_formato_excel&amp;utm_source=act_formato_excel&amp;utm_campaign=act_formato_excel&amp;utm_content=act_formato_excel_link" TargetMode="External"/><Relationship Id="rId468" Type="http://schemas.openxmlformats.org/officeDocument/2006/relationships/hyperlink" Target="https://actualicese.com/indicadores-financieros-de-liquidez/?referer=L-excel-formato&amp;utm_medium=act_formato_excel&amp;utm_source=act_formato_excel&amp;utm_campaign=act_formato_excel&amp;utm_content=act_formato_excel_link" TargetMode="External"/><Relationship Id="rId675" Type="http://schemas.openxmlformats.org/officeDocument/2006/relationships/hyperlink" Target="https://actualicese.com/plantilla-para-definir-el-perfil-del-cargo-de-un-empleado-y-sus-funciones/?referer=L-excel-formato&amp;utm_medium=act_formato_excel&amp;utm_source=act_formato_excel&amp;utm_campaign=act_formato_excel&amp;utm_content=act_formato_excel_link" TargetMode="External"/><Relationship Id="rId882" Type="http://schemas.openxmlformats.org/officeDocument/2006/relationships/hyperlink" Target="https://actualicese.com/comparativo-entre-la-depuracion-de-la-renta-en-el-regimen-ordinario-y-en-el-regimen-simple/?referer=L-excel-formato&amp;utm_medium=act_formato_excel&amp;utm_source=act_formato_excel&amp;utm_campaign=act_formato_excel&amp;utm_content=act_formato_excel_link" TargetMode="External"/><Relationship Id="rId1098" Type="http://schemas.openxmlformats.org/officeDocument/2006/relationships/hyperlink" Target="https://actualicese.com/intereses-moratorios-sobre-deudas-tributarias-luego-de-la-ley-1819-de-2016/?referer=L-excel-formato&amp;utm_medium=act_formato_excel&amp;utm_source=act_formato_excel&amp;utm_campaign=act_formato_excel&amp;utm_content=act_formato_excel_link" TargetMode="External"/><Relationship Id="rId2149" Type="http://schemas.openxmlformats.org/officeDocument/2006/relationships/hyperlink" Target="https://actualicese.com/sancion-por-no-consignar-las-cesantias-y-no-pagar-los-intereses/?referer=L-excel-formato&amp;utm_medium=act_formato_excel&amp;utm_source=act_formato_excel&amp;utm_campaign=act_formato_excel&amp;utm_content=act_formato_excel_link" TargetMode="External"/><Relationship Id="rId2356" Type="http://schemas.openxmlformats.org/officeDocument/2006/relationships/hyperlink" Target="https://actualicese.com/estado-de-flujos-de-efectivo-por-el-metodo-indirecto-ejercicio-practico-y-plantilla-en-excel/?referer=L-excel-formato&amp;utm_medium=act_formato_excel&amp;utm_source=act_formato_excel&amp;utm_campaign=act_formato_excel&amp;utm_content=act_formato_excel_link" TargetMode="External"/><Relationship Id="rId328" Type="http://schemas.openxmlformats.org/officeDocument/2006/relationships/hyperlink" Target="https://actualicese.com/informe-del-revisor-fiscal-sobre-irregularidades-y-deficiencias-en-el-control-interno/?referer=L-excel-formato&amp;utm_medium=act_formato_excel&amp;utm_source=act_formato_excel&amp;utm_campaign=act_formato_excel&amp;utm_content=act_formato_excel_link" TargetMode="External"/><Relationship Id="rId535" Type="http://schemas.openxmlformats.org/officeDocument/2006/relationships/hyperlink" Target="https://actualicese.com/impuesto-diferido-por-deterioro-de-inventario-en-2021-caso-practico-en-excel/?referer=L-excel-formato&amp;utm_medium=act_formato_excel&amp;utm_source=act_formato_excel&amp;utm_campaign=act_formato_excel&amp;utm_content=act_formato_excel_link" TargetMode="External"/><Relationship Id="rId742" Type="http://schemas.openxmlformats.org/officeDocument/2006/relationships/hyperlink" Target="https://actualicese.com/formulario-110-y-formato-2516-declaracion-de-renta-o-ingresos-y-patrimonio-personas-juridicas-ag-2019/?referer=L-excel-formato&amp;utm_medium=act_formato_excel&amp;utm_source=act_formato_excel&amp;utm_campaign=act_formato_excel&amp;utm_content=act_formato_excel_link" TargetMode="External"/><Relationship Id="rId1165" Type="http://schemas.openxmlformats.org/officeDocument/2006/relationships/hyperlink" Target="https://actualicese.com/matriz-para-clasificar-empresas-que-inicien-actividades-en-zomac-y-tarifa-en-renta-a-aplicar-por-2017/?referer=L-excel-formato&amp;utm_medium=act_formato_excel&amp;utm_source=act_formato_excel&amp;utm_campaign=act_formato_excel&amp;utm_content=act_formato_excel_link" TargetMode="External"/><Relationship Id="rId1372" Type="http://schemas.openxmlformats.org/officeDocument/2006/relationships/hyperlink" Target="https://actualicese.com/lista-de-chequeo-de-revelaciones-nic-16-propiedades-planta-y-equipo/?referer=L-excel-formato&amp;utm_medium=act_formato_excel&amp;utm_source=act_formato_excel&amp;utm_campaign=act_formato_excel&amp;utm_content=act_formato_excel_link" TargetMode="External"/><Relationship Id="rId2009" Type="http://schemas.openxmlformats.org/officeDocument/2006/relationships/hyperlink" Target="https://actualicese.com/modelo-de-politica-base-para-la-preparacion-de-estados-financieros-bajo-estandar-internacional-para-pymes/?referer=L-excel-formato&amp;utm_medium=act_formato_excel&amp;utm_source=act_formato_excel&amp;utm_campaign=act_formato_excel&amp;utm_content=act_formato_excel_link" TargetMode="External"/><Relationship Id="rId2216" Type="http://schemas.openxmlformats.org/officeDocument/2006/relationships/hyperlink" Target="https://actualicese.com/modelo-en-word-de-un-contrato-de-transaccion-laboral-para-la-terminacion-del-contrato-de-trabajo/?referer=L-excel-formato&amp;utm_medium=act_formato_excel&amp;utm_source=act_formato_excel&amp;utm_campaign=act_formato_excel&amp;utm_content=act_formato_excel_link" TargetMode="External"/><Relationship Id="rId2423" Type="http://schemas.openxmlformats.org/officeDocument/2006/relationships/hyperlink" Target="https://actualicese.com/nota-1-a-los-estados-financieros-bajo-el-estandar-internacional-para-pymes/?referer=L-excel-formato&amp;utm_medium=act_formato_excel&amp;utm_source=act_formato_excel&amp;utm_campaign=act_formato_excel&amp;utm_content=act_formato_excel_link" TargetMode="External"/><Relationship Id="rId602" Type="http://schemas.openxmlformats.org/officeDocument/2006/relationships/hyperlink" Target="https://actualicese.com/contrato-de-union-temporal/?referer=L-excel-formato&amp;utm_medium=act_formato_excel&amp;utm_source=act_formato_excel&amp;utm_campaign=act_formato_excel&amp;utm_content=act_formato_excel_link" TargetMode="External"/><Relationship Id="rId1025" Type="http://schemas.openxmlformats.org/officeDocument/2006/relationships/hyperlink" Target="https://actualicese.com/tipos-de-terminos-de-firmeza-de-las-declaraciones-tributarias/?referer=L-excel-formato&amp;utm_medium=act_formato_excel&amp;utm_source=act_formato_excel&amp;utm_campaign=act_formato_excel&amp;utm_content=act_formato_excel_link" TargetMode="External"/><Relationship Id="rId1232" Type="http://schemas.openxmlformats.org/officeDocument/2006/relationships/hyperlink" Target="https://actualicese.com/poder-de-representacion-en-asambleajunta-general-de-asociados/?referer=L-excel-formato&amp;utm_medium=act_formato_excel&amp;utm_source=act_formato_excel&amp;utm_campaign=act_formato_excel&amp;utm_content=act_formato_excel_link" TargetMode="External"/><Relationship Id="rId1677" Type="http://schemas.openxmlformats.org/officeDocument/2006/relationships/hyperlink" Target="https://actualicese.com/nia-700-vs-nia-700-revisada-comparativo-de-estructura-del-informe-de-revisor-fiscal/?referer=L-excel-formato&amp;utm_medium=act_formato_excel&amp;utm_source=act_formato_excel&amp;utm_campaign=act_formato_excel&amp;utm_content=act_formato_excel_link" TargetMode="External"/><Relationship Id="rId1884" Type="http://schemas.openxmlformats.org/officeDocument/2006/relationships/hyperlink" Target="https://actualicese.com/cuestionario-de-excel-para-definir-si-una-persona-natural-es-residente-fiscal-en-colombia/?referer=L-excel-formato&amp;utm_medium=act_formato_excel&amp;utm_source=act_formato_excel&amp;utm_campaign=act_formato_excel&amp;utm_content=act_formato_excel_link" TargetMode="External"/><Relationship Id="rId907" Type="http://schemas.openxmlformats.org/officeDocument/2006/relationships/hyperlink" Target="https://actualicese.com/solicitud-de-aplicacion-de-tarifa-superior-de-retencion-en-la-fuente/?referer=L-excel-formato&amp;utm_medium=act_formato_excel&amp;utm_source=act_formato_excel&amp;utm_campaign=act_formato_excel&amp;utm_content=act_formato_excel_link" TargetMode="External"/><Relationship Id="rId1537" Type="http://schemas.openxmlformats.org/officeDocument/2006/relationships/hyperlink" Target="https://actualicese.com/clasificacion-de-las-personas-naturales-frente-al-impuesto-de-renta-luego-de-la-ley-1607/?referer=L-excel-formato&amp;utm_medium=act_formato_excel&amp;utm_source=act_formato_excel&amp;utm_campaign=act_formato_excel&amp;utm_content=act_formato_excel_link" TargetMode="External"/><Relationship Id="rId1744" Type="http://schemas.openxmlformats.org/officeDocument/2006/relationships/hyperlink" Target="https://actualicese.com/informe-de-revisor-fiscal-bajo-nia-701-comunicacion-de-las-cuestiones-clave-de-auditoria/?referer=L-excel-formato&amp;utm_medium=act_formato_excel&amp;utm_source=act_formato_excel&amp;utm_campaign=act_formato_excel&amp;utm_content=act_formato_excel_link" TargetMode="External"/><Relationship Id="rId1951" Type="http://schemas.openxmlformats.org/officeDocument/2006/relationships/hyperlink" Target="https://actualicese.com/formato-de-flujo-de-caja-real-y-presupuestado/?referer=L-excel-formato&amp;utm_medium=act_formato_excel&amp;utm_source=act_formato_excel&amp;utm_campaign=act_formato_excel&amp;utm_content=act_formato_excel_link" TargetMode="External"/><Relationship Id="rId36" Type="http://schemas.openxmlformats.org/officeDocument/2006/relationships/hyperlink" Target="https://actualicese.com/word-aviso-a-empleados-para-la-escogencia-de-fondo-de-cesantias/?referer=L-excel-formato&amp;utm_medium=act_formato_excel&amp;utm_source=act_formato_excel&amp;utm_campaign=act_formato_excel&amp;utm_content=act_formato_excel_link" TargetMode="External"/><Relationship Id="rId1604" Type="http://schemas.openxmlformats.org/officeDocument/2006/relationships/hyperlink" Target="https://actualicese.com/word-modelo-accion-de-tutela-para-reclamar-incapacidad-o-licencia-negada-segun-el-decreto-1804-de-1999/?referer=L-excel-formato&amp;utm_medium=act_formato_excel&amp;utm_source=act_formato_excel&amp;utm_campaign=act_formato_excel&amp;utm_content=act_formato_excel_link" TargetMode="External"/><Relationship Id="rId185" Type="http://schemas.openxmlformats.org/officeDocument/2006/relationships/hyperlink" Target="https://actualicese.com/liquidador-de-aportes-a-seguridad-social-durante-la-licencia-de-maternidad/?referer=L-excel-formato&amp;utm_medium=act_formato_excel&amp;utm_source=act_formato_excel&amp;utm_campaign=act_formato_excel&amp;utm_content=act_formato_excel_link" TargetMode="External"/><Relationship Id="rId1811" Type="http://schemas.openxmlformats.org/officeDocument/2006/relationships/hyperlink" Target="https://actualicese.com/simulador-de-los-efectos-del-rechazo-de-costos-y-gastos-en-efectivo-a-partir-de-2018/?referer=L-excel-formato&amp;utm_medium=act_formato_excel&amp;utm_source=act_formato_excel&amp;utm_campaign=act_formato_excel&amp;utm_content=act_formato_excel_link" TargetMode="External"/><Relationship Id="rId1909" Type="http://schemas.openxmlformats.org/officeDocument/2006/relationships/hyperlink" Target="https://actualicese.com/nia-700-vs-nia-700-revisada-comparativo-de-estructura-del-informe-de-revisor-fiscal/?referer=L-excel-formato&amp;utm_medium=act_formato_excel&amp;utm_source=act_formato_excel&amp;utm_campaign=act_formato_excel&amp;utm_content=act_formato_excel_link" TargetMode="External"/><Relationship Id="rId392" Type="http://schemas.openxmlformats.org/officeDocument/2006/relationships/hyperlink" Target="https://actualicese.com/12-liquidadores-para-calcular-la-prima-de-servicios-semestral/?referer=L-excel-formato&amp;utm_medium=act_formato_excel&amp;utm_source=act_formato_excel&amp;utm_campaign=act_formato_excel&amp;utm_content=act_formato_excel_link" TargetMode="External"/><Relationship Id="rId697" Type="http://schemas.openxmlformats.org/officeDocument/2006/relationships/hyperlink" Target="https://actualicese.com/contrato-de-edicion/?referer=L-excel-formato&amp;utm_medium=act_formato_excel&amp;utm_source=act_formato_excel&amp;utm_campaign=act_formato_excel&amp;utm_content=act_formato_excel_link" TargetMode="External"/><Relationship Id="rId2073" Type="http://schemas.openxmlformats.org/officeDocument/2006/relationships/hyperlink" Target="https://actualicese.com/ejercicio-practico-en-excel-impuesto-diferido-cuando-hay-compensacion-de-perdidas-fiscales/?referer=L-excel-formato&amp;utm_medium=act_formato_excel&amp;utm_source=act_formato_excel&amp;utm_campaign=act_formato_excel&amp;utm_content=act_formato_excel_link" TargetMode="External"/><Relationship Id="rId2280" Type="http://schemas.openxmlformats.org/officeDocument/2006/relationships/hyperlink" Target="https://actualicese.com/guia-caracteristicas-basicas-de-la-cedulacion-de-personas-naturales-residentes-ag-2023/?referer=L-excel-formato&amp;utm_medium=act_formato_excel&amp;utm_source=act_formato_excel&amp;utm_campaign=act_formato_excel&amp;utm_content=act_formato_excel_link" TargetMode="External"/><Relationship Id="rId2378" Type="http://schemas.openxmlformats.org/officeDocument/2006/relationships/hyperlink" Target="https://actualicese.com/formato-de-solicitud-de-licencia-de-calamidad-domestica/?referer=L-excel-formato&amp;utm_medium=act_formato_excel&amp;utm_source=act_formato_excel&amp;utm_campaign=act_formato_excel&amp;utm_content=act_formato_excel_link" TargetMode="External"/><Relationship Id="rId252" Type="http://schemas.openxmlformats.org/officeDocument/2006/relationships/hyperlink" Target="https://actualicese.com/citacion-a-descargos-en-la-propiedad-horizontal/?referer=L-excel-formato&amp;utm_medium=act_formato_excel&amp;utm_source=act_formato_excel&amp;utm_campaign=act_formato_excel&amp;utm_content=act_formato_excel_link" TargetMode="External"/><Relationship Id="rId1187" Type="http://schemas.openxmlformats.org/officeDocument/2006/relationships/hyperlink" Target="https://actualicese.com/matriz-para-definir-obligados-a-declarar-renta-segun-reforma-tributaria-aprobada-en-primer-debate/?referer=L-excel-formato&amp;utm_medium=act_formato_excel&amp;utm_source=act_formato_excel&amp;utm_campaign=act_formato_excel&amp;utm_content=act_formato_excel_link" TargetMode="External"/><Relationship Id="rId2140" Type="http://schemas.openxmlformats.org/officeDocument/2006/relationships/hyperlink" Target="https://actualicese.com/horas-diurnas-nocturnas-extras-dominicales-y-festivas/?referer=L-excel-formato&amp;utm_medium=act_formato_excel&amp;utm_source=act_formato_excel&amp;utm_campaign=act_formato_excel&amp;utm_content=act_formato_excel_link" TargetMode="External"/><Relationship Id="rId112" Type="http://schemas.openxmlformats.org/officeDocument/2006/relationships/hyperlink" Target="https://actualicese.com/comparativo-de-normas-del-dut-1625-de-2016-sobre-el-beneficio-de-obras-por-impuestos-afectadas-con-el-decreto-1208-de-2022/?referer=L-excel-formato&amp;utm_medium=act_formato_excel&amp;utm_source=act_formato_excel&amp;utm_campaign=act_formato_excel&amp;utm_content=act_formato_excel_link" TargetMode="External"/><Relationship Id="rId557" Type="http://schemas.openxmlformats.org/officeDocument/2006/relationships/hyperlink" Target="https://actualicese.com/plantilla-para-la-revision-de-la-declaracion-sugerida-del-impuesto-sobre-las-ventas-iva/?referer=L-excel-formato&amp;utm_medium=act_formato_excel&amp;utm_source=act_formato_excel&amp;utm_campaign=act_formato_excel&amp;utm_content=act_formato_excel_link" TargetMode="External"/><Relationship Id="rId764" Type="http://schemas.openxmlformats.org/officeDocument/2006/relationships/hyperlink" Target="https://actualicese.com/formato-exogena-5253-por-el-ano-gravable-2019-informacion-de-los-beneficiarios-efectivos/?referer=L-excel-formato&amp;utm_medium=act_formato_excel&amp;utm_source=act_formato_excel&amp;utm_campaign=act_formato_excel&amp;utm_content=act_formato_excel_link" TargetMode="External"/><Relationship Id="rId971" Type="http://schemas.openxmlformats.org/officeDocument/2006/relationships/hyperlink" Target="https://actualicese.com/normalizacion-de-acreencias-incumplidas-en-proceso-de-reorganizacion/?referer=L-excel-formato&amp;utm_medium=act_formato_excel&amp;utm_source=act_formato_excel&amp;utm_campaign=act_formato_excel&amp;utm_content=act_formato_excel_link" TargetMode="External"/><Relationship Id="rId1394" Type="http://schemas.openxmlformats.org/officeDocument/2006/relationships/hyperlink" Target="https://actualicese.com/modelo-de-circularizacion-proveedores/?referer=L-excel-formato&amp;utm_medium=act_formato_excel&amp;utm_source=act_formato_excel&amp;utm_campaign=act_formato_excel&amp;utm_content=act_formato_excel_link" TargetMode="External"/><Relationship Id="rId1699" Type="http://schemas.openxmlformats.org/officeDocument/2006/relationships/hyperlink" Target="https://actualicese.com/sancion-por-no-consignar-las-cesantias-y-no-pagar-los-intereses/?referer=L-excel-formato&amp;utm_medium=act_formato_excel&amp;utm_source=act_formato_excel&amp;utm_campaign=act_formato_excel&amp;utm_content=act_formato_excel_link" TargetMode="External"/><Relationship Id="rId2000" Type="http://schemas.openxmlformats.org/officeDocument/2006/relationships/hyperlink" Target="https://actualicese.com/nota-1-a-los-estados-financieros-bajo-el-estandar-internacional-para-pymes/?referer=L-excel-formato&amp;utm_medium=act_formato_excel&amp;utm_source=act_formato_excel&amp;utm_campaign=act_formato_excel&amp;utm_content=act_formato_excel_link" TargetMode="External"/><Relationship Id="rId2238" Type="http://schemas.openxmlformats.org/officeDocument/2006/relationships/hyperlink" Target="https://actualicese.com/pack-de-formatos-15-plantillas-y-guias-para-el-reporte-de-informacion-exogena-2023/?referer=L-excel-formato&amp;utm_medium=act_formato_excel&amp;utm_source=act_formato_excel&amp;utm_campaign=act_formato_excel&amp;utm_content=act_formato_excel_link" TargetMode="External"/><Relationship Id="rId2445" Type="http://schemas.openxmlformats.org/officeDocument/2006/relationships/hyperlink" Target="https://actualicese.com/modelo-del-certificado-anual-a-socios-o-accionistas/?referer=L-excel-formato&amp;utm_medium=act_formato_excel&amp;utm_source=act_formato_excel&amp;utm_campaign=act_formato_excel&amp;utm_content=act_formato_excel_link" TargetMode="External"/><Relationship Id="rId417" Type="http://schemas.openxmlformats.org/officeDocument/2006/relationships/hyperlink" Target="https://actualicese.com/liquidador-historico-de-porcentajes-de-reajuste-fiscal/?referer=L-excel-formato&amp;utm_medium=act_formato_excel&amp;utm_source=act_formato_excel&amp;utm_campaign=act_formato_excel&amp;utm_content=act_formato_excel_link" TargetMode="External"/><Relationship Id="rId624" Type="http://schemas.openxmlformats.org/officeDocument/2006/relationships/hyperlink" Target="https://actualicese.com/notificacion-de-sancion-disciplinaria-para-el-empleado-de-una-firma-de-auditoria/?referer=L-excel-formato&amp;utm_medium=act_formato_excel&amp;utm_source=act_formato_excel&amp;utm_campaign=act_formato_excel&amp;utm_content=act_formato_excel_link" TargetMode="External"/><Relationship Id="rId831" Type="http://schemas.openxmlformats.org/officeDocument/2006/relationships/hyperlink" Target="https://actualicese.com/depuracion-del-impuesto-de-renta-para-personas-naturales-por-el-ano-gravable-2018/?referer=L-excel-formato&amp;utm_medium=act_formato_excel&amp;utm_source=act_formato_excel&amp;utm_campaign=act_formato_excel&amp;utm_content=act_formato_excel_link" TargetMode="External"/><Relationship Id="rId1047" Type="http://schemas.openxmlformats.org/officeDocument/2006/relationships/hyperlink" Target="https://actualicese.com/demanda-de-proceso-ejecutivo-singular-letra-de-cambio/?referer=L-excel-formato&amp;utm_medium=act_formato_excel&amp;utm_source=act_formato_excel&amp;utm_campaign=act_formato_excel&amp;utm_content=act_formato_excel_link" TargetMode="External"/><Relationship Id="rId1254" Type="http://schemas.openxmlformats.org/officeDocument/2006/relationships/hyperlink" Target="https://actualicese.com/reclamacion-directa-contra-proveedor-o-productor/?referer=L-excel-formato&amp;utm_medium=act_formato_excel&amp;utm_source=act_formato_excel&amp;utm_campaign=act_formato_excel&amp;utm_content=act_formato_excel_link" TargetMode="External"/><Relationship Id="rId1461" Type="http://schemas.openxmlformats.org/officeDocument/2006/relationships/hyperlink" Target="https://actualicese.com/control-interno-en-la-entrada-de-inventarios/?referer=L-excel-formato&amp;utm_medium=act_formato_excel&amp;utm_source=act_formato_excel&amp;utm_campaign=act_formato_excel&amp;utm_content=act_formato_excel_link" TargetMode="External"/><Relationship Id="rId2305" Type="http://schemas.openxmlformats.org/officeDocument/2006/relationships/hyperlink" Target="https://actualicese.com/simulador-de-los-efectos-del-rechazo-de-costos-y-gastos-en-efectivo-a-partir-de-2018/?referer=L-excel-formato&amp;utm_medium=act_formato_excel&amp;utm_source=act_formato_excel&amp;utm_campaign=act_formato_excel&amp;utm_content=act_formato_excel_link" TargetMode="External"/><Relationship Id="rId929" Type="http://schemas.openxmlformats.org/officeDocument/2006/relationships/hyperlink" Target="https://actualicese.com/solicitud-pago-de-acreencias-laborales/?referer=L-excel-formato&amp;utm_medium=act_formato_excel&amp;utm_source=act_formato_excel&amp;utm_campaign=act_formato_excel&amp;utm_content=act_formato_excel_link" TargetMode="External"/><Relationship Id="rId1114" Type="http://schemas.openxmlformats.org/officeDocument/2006/relationships/hyperlink" Target="https://actualicese.com/formulario-300-para-declaraciones-de-iva-bimestrales-yo-cuatrimestrales-durante-2017/?referer=L-excel-formato&amp;utm_medium=act_formato_excel&amp;utm_source=act_formato_excel&amp;utm_campaign=act_formato_excel&amp;utm_content=act_formato_excel_link" TargetMode="External"/><Relationship Id="rId1321" Type="http://schemas.openxmlformats.org/officeDocument/2006/relationships/hyperlink" Target="https://actualicese.com/cierre-contable-proceso-de-verificacion-de-la-informacion-del-2015/?referer=L-excel-formato&amp;utm_medium=act_formato_excel&amp;utm_source=act_formato_excel&amp;utm_campaign=act_formato_excel&amp;utm_content=act_formato_excel_link" TargetMode="External"/><Relationship Id="rId1559" Type="http://schemas.openxmlformats.org/officeDocument/2006/relationships/hyperlink" Target="https://actualicese.com/calendario-tributario-2014/?referer=L-excel-formato&amp;utm_medium=act_formato_excel&amp;utm_source=act_formato_excel&amp;utm_campaign=act_formato_excel&amp;utm_content=act_formato_excel_link" TargetMode="External"/><Relationship Id="rId1766" Type="http://schemas.openxmlformats.org/officeDocument/2006/relationships/hyperlink" Target="https://actualicese.com/guia-informacion-laboral-2023/?referer=L-excel-formato&amp;utm_medium=act_formato_excel&amp;utm_source=act_formato_excel&amp;utm_campaign=act_formato_excel&amp;utm_content=act_formato_excel_link" TargetMode="External"/><Relationship Id="rId1973" Type="http://schemas.openxmlformats.org/officeDocument/2006/relationships/hyperlink" Target="https://actualicese.com/modelo-de-certificacion-de-estados-financieros-consolidados/?referer=L-excel-formato&amp;utm_medium=act_formato_excel&amp;utm_source=act_formato_excel&amp;utm_campaign=act_formato_excel&amp;utm_content=act_formato_excel_link" TargetMode="External"/><Relationship Id="rId58" Type="http://schemas.openxmlformats.org/officeDocument/2006/relationships/hyperlink" Target="https://actualicese.com/respuesta-a-solicitud-de-un-servicio/?referer=L-excel-formato&amp;utm_medium=act_formato_excel&amp;utm_source=act_formato_excel&amp;utm_campaign=act_formato_excel&amp;utm_content=act_formato_excel_link" TargetMode="External"/><Relationship Id="rId1419" Type="http://schemas.openxmlformats.org/officeDocument/2006/relationships/hyperlink" Target="https://actualicese.com/formularios-110-y-140-declaracion-renta-y-cree-personas-juridicas-fraccion-ano-gravable-2015-version-basica/?referer=L-excel-formato&amp;utm_medium=act_formato_excel&amp;utm_source=act_formato_excel&amp;utm_campaign=act_formato_excel&amp;utm_content=act_formato_excel_link" TargetMode="External"/><Relationship Id="rId1626" Type="http://schemas.openxmlformats.org/officeDocument/2006/relationships/hyperlink" Target="https://actualicese.com/word-modelo-de-dictamen-sin-salvedades-que-la-revisoria-fiscal-expediria-para-el-cierre-del-periodo-2007/?referer=L-excel-formato&amp;utm_medium=act_formato_excel&amp;utm_source=act_formato_excel&amp;utm_campaign=act_formato_excel&amp;utm_content=act_formato_excel_link" TargetMode="External"/><Relationship Id="rId1833" Type="http://schemas.openxmlformats.org/officeDocument/2006/relationships/hyperlink" Target="https://actualicese.com/liquidador-de-aportes-a-arl-para-trabajadores-independientes/?referer=L-excel-formato&amp;utm_medium=act_formato_excel&amp;utm_source=act_formato_excel&amp;utm_campaign=act_formato_excel&amp;utm_content=act_formato_excel_link" TargetMode="External"/><Relationship Id="rId1900" Type="http://schemas.openxmlformats.org/officeDocument/2006/relationships/hyperlink" Target="https://actualicese.com/carta-de-aceptacion-de-un-encargo-de-auditoria-concreto/?referer=L-excel-formato&amp;utm_medium=act_formato_excel&amp;utm_source=act_formato_excel&amp;utm_campaign=act_formato_excel&amp;utm_content=act_formato_excel_link" TargetMode="External"/><Relationship Id="rId2095" Type="http://schemas.openxmlformats.org/officeDocument/2006/relationships/hyperlink" Target="https://actualicese.com/caso-practico-sobre-liquidacion-de-sucesion-iliquida-e-impuesto-de-ganancia-ocasional/?referer=L-excel-formato&amp;utm_medium=act_formato_excel&amp;utm_source=act_formato_excel&amp;utm_campaign=act_formato_excel&amp;utm_content=act_formato_excel_link" TargetMode="External"/><Relationship Id="rId274" Type="http://schemas.openxmlformats.org/officeDocument/2006/relationships/hyperlink" Target="https://actualicese.com/tratamiento-del-ica-como-descuento-o-deduccion-para-personas-naturales-caso-practico-en-excel/?referer=L-excel-formato&amp;utm_medium=act_formato_excel&amp;utm_source=act_formato_excel&amp;utm_campaign=act_formato_excel&amp;utm_content=act_formato_excel_link" TargetMode="External"/><Relationship Id="rId481" Type="http://schemas.openxmlformats.org/officeDocument/2006/relationships/hyperlink" Target="https://actualicese.com/lista-de-chequeo-de-revelaciones-seccion-18-activos-intangibles-distintos-de-la-plusvalia/?referer=L-excel-formato&amp;utm_medium=act_formato_excel&amp;utm_source=act_formato_excel&amp;utm_campaign=act_formato_excel&amp;utm_content=act_formato_excel_link" TargetMode="External"/><Relationship Id="rId2162" Type="http://schemas.openxmlformats.org/officeDocument/2006/relationships/hyperlink" Target="https://actualicese.com/simulador-del-impuesto-para-dividendos-y-participaciones-gravados-de-2017-y-siguientes-luego-de-la-ley-2277-de-2022/?referer=L-excel-formato&amp;utm_medium=act_formato_excel&amp;utm_source=act_formato_excel&amp;utm_campaign=act_formato_excel&amp;utm_content=act_formato_excel_link" TargetMode="External"/><Relationship Id="rId134" Type="http://schemas.openxmlformats.org/officeDocument/2006/relationships/hyperlink" Target="https://actualicese.com/formato-de-flujo-de-caja-real-y-presupuestado/?referer=L-excel-formato&amp;utm_medium=act_formato_excel&amp;utm_source=act_formato_excel&amp;utm_campaign=act_formato_excel&amp;utm_content=act_formato_excel_link" TargetMode="External"/><Relationship Id="rId579" Type="http://schemas.openxmlformats.org/officeDocument/2006/relationships/hyperlink" Target="https://actualicese.com/liquidador-de-porcentaje-fijo-de-retencion-en-la-fuente-sobre-salarios-en-junio-de-2021-procedimiento-2/?referer=L-excel-formato&amp;utm_medium=act_formato_excel&amp;utm_source=act_formato_excel&amp;utm_campaign=act_formato_excel&amp;utm_content=act_formato_excel_link" TargetMode="External"/><Relationship Id="rId786" Type="http://schemas.openxmlformats.org/officeDocument/2006/relationships/hyperlink" Target="https://actualicese.com/simulador-de-tributacion-en-el-regimen-simple-vs-regimen-ordinario-ano-gravable-2020/?referer=L-excel-formato&amp;utm_medium=act_formato_excel&amp;utm_source=act_formato_excel&amp;utm_campaign=act_formato_excel&amp;utm_content=act_formato_excel_link" TargetMode="External"/><Relationship Id="rId993" Type="http://schemas.openxmlformats.org/officeDocument/2006/relationships/hyperlink" Target="https://actualicese.com/formato-exogena-1001-por-el-ano-gravable-2017-reporte-de-pagos-o-abonos-en-cuenta/?referer=L-excel-formato&amp;utm_medium=act_formato_excel&amp;utm_source=act_formato_excel&amp;utm_campaign=act_formato_excel&amp;utm_content=act_formato_excel_link" TargetMode="External"/><Relationship Id="rId341" Type="http://schemas.openxmlformats.org/officeDocument/2006/relationships/hyperlink" Target="https://actualicese.com/carta-de-aceptacion-de-un-encargo-de-auditoria-concreto/?referer=L-excel-formato&amp;utm_medium=act_formato_excel&amp;utm_source=act_formato_excel&amp;utm_campaign=act_formato_excel&amp;utm_content=act_formato_excel_link" TargetMode="External"/><Relationship Id="rId439" Type="http://schemas.openxmlformats.org/officeDocument/2006/relationships/hyperlink" Target="https://actualicese.com/formato-de-solicitud-de-licencia-de-calamidad-domestica/?referer=L-excel-formato&amp;utm_medium=act_formato_excel&amp;utm_source=act_formato_excel&amp;utm_campaign=act_formato_excel&amp;utm_content=act_formato_excel_link" TargetMode="External"/><Relationship Id="rId646" Type="http://schemas.openxmlformats.org/officeDocument/2006/relationships/hyperlink" Target="https://actualicese.com/cuenta-de-cobro-para-una-persona-que-presta-servicios-y-no-es-responsable-de-iva/?referer=L-excel-formato&amp;utm_medium=act_formato_excel&amp;utm_source=act_formato_excel&amp;utm_campaign=act_formato_excel&amp;utm_content=act_formato_excel_link" TargetMode="External"/><Relationship Id="rId1069" Type="http://schemas.openxmlformats.org/officeDocument/2006/relationships/hyperlink" Target="https://actualicese.com/lista-de-chequeo-de-requisitos-para-obtener-la-tarjeta-profesional-de-contador-publico/?referer=L-excel-formato&amp;utm_medium=act_formato_excel&amp;utm_source=act_formato_excel&amp;utm_campaign=act_formato_excel&amp;utm_content=act_formato_excel_link" TargetMode="External"/><Relationship Id="rId1276" Type="http://schemas.openxmlformats.org/officeDocument/2006/relationships/hyperlink" Target="https://actualicese.com/acta-de-nombramiento-del-vigia-en-seguridad-y-salud-en-el-trabajo/?referer=L-excel-formato&amp;utm_medium=act_formato_excel&amp;utm_source=act_formato_excel&amp;utm_campaign=act_formato_excel&amp;utm_content=act_formato_excel_link" TargetMode="External"/><Relationship Id="rId1483" Type="http://schemas.openxmlformats.org/officeDocument/2006/relationships/hyperlink" Target="https://actualicese.com/modelo-de-certificacion-para-acreditar-el-pago-de-aportes-a-la-seguridad-social-y-aportes-parafiscales-de-proponentes/?referer=L-excel-formato&amp;utm_medium=act_formato_excel&amp;utm_source=act_formato_excel&amp;utm_campaign=act_formato_excel&amp;utm_content=act_formato_excel_link" TargetMode="External"/><Relationship Id="rId2022" Type="http://schemas.openxmlformats.org/officeDocument/2006/relationships/hyperlink" Target="https://actualicese.com/casos-practicos-de-contabilizacion-de-ingresos-en-pymes-bajo-estandares-internacionales/?referer=L-excel-formato&amp;utm_medium=act_formato_excel&amp;utm_source=act_formato_excel&amp;utm_campaign=act_formato_excel&amp;utm_content=act_formato_excel_link" TargetMode="External"/><Relationship Id="rId2327" Type="http://schemas.openxmlformats.org/officeDocument/2006/relationships/hyperlink" Target="https://actualicese.com/pack-de-formatos-top-15-de-los-mejores-liquidadores-para-elaborar-tus-declaraciones-de-renta-de-personas-naturales-ag-2023/?referer=L-excel-formato&amp;utm_medium=act_formato_excel&amp;utm_source=act_formato_excel&amp;utm_campaign=act_formato_excel&amp;utm_content=act_formato_excel_link" TargetMode="External"/><Relationship Id="rId201" Type="http://schemas.openxmlformats.org/officeDocument/2006/relationships/hyperlink" Target="https://actualicese.com/calendario-tributario-2022-version-para-imprimir/?referer=L-excel-formato&amp;utm_medium=act_formato_excel&amp;utm_source=act_formato_excel&amp;utm_campaign=act_formato_excel&amp;utm_content=act_formato_excel_link" TargetMode="External"/><Relationship Id="rId506" Type="http://schemas.openxmlformats.org/officeDocument/2006/relationships/hyperlink" Target="https://actualicese.com/matriz-costos-y-deducciones-de-las-personas-juridicas-en-2021/?referer=L-excel-formato&amp;utm_medium=act_formato_excel&amp;utm_source=act_formato_excel&amp;utm_campaign=act_formato_excel&amp;utm_content=act_formato_excel_link" TargetMode="External"/><Relationship Id="rId853" Type="http://schemas.openxmlformats.org/officeDocument/2006/relationships/hyperlink" Target="https://actualicese.com/formato-exogena-1010-por-el-ano-gravable-2018-reporte-de-socios-cooperados-o-comuneros/?referer=L-excel-formato&amp;utm_medium=act_formato_excel&amp;utm_source=act_formato_excel&amp;utm_campaign=act_formato_excel&amp;utm_content=act_formato_excel_link" TargetMode="External"/><Relationship Id="rId1136" Type="http://schemas.openxmlformats.org/officeDocument/2006/relationships/hyperlink" Target="https://actualicese.com/matriz-para-definir-si-pertenece-al-regimen-simplificado-del-impuesto-nacional-al-consumo/?referer=L-excel-formato&amp;utm_medium=act_formato_excel&amp;utm_source=act_formato_excel&amp;utm_campaign=act_formato_excel&amp;utm_content=act_formato_excel_link" TargetMode="External"/><Relationship Id="rId1690"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788" Type="http://schemas.openxmlformats.org/officeDocument/2006/relationships/hyperlink" Target="https://actualicese.com/liquidador-de-auxilio-de-incapacidad-valores-asumidos-por-el-empleador-la-eps-o-la-arl/?referer=L-excel-formato&amp;utm_medium=act_formato_excel&amp;utm_source=act_formato_excel&amp;utm_campaign=act_formato_excel&amp;utm_content=act_formato_excel_link" TargetMode="External"/><Relationship Id="rId1995" Type="http://schemas.openxmlformats.org/officeDocument/2006/relationships/hyperlink" Target="https://actualicese.com/indicadores-financieros-margenes-de-utilidad-o-rentabilidad/?referer=L-excel-formato&amp;utm_medium=act_formato_excel&amp;utm_source=act_formato_excel&amp;utm_campaign=act_formato_excel&amp;utm_content=act_formato_excel_link" TargetMode="External"/><Relationship Id="rId713" Type="http://schemas.openxmlformats.org/officeDocument/2006/relationships/hyperlink" Target="https://actualicese.com/certificado-de-prestacion-de-servicios/?referer=L-excel-formato&amp;utm_medium=act_formato_excel&amp;utm_source=act_formato_excel&amp;utm_campaign=act_formato_excel&amp;utm_content=act_formato_excel_link" TargetMode="External"/><Relationship Id="rId920" Type="http://schemas.openxmlformats.org/officeDocument/2006/relationships/hyperlink" Target="https://actualicese.com/conceptos-y-orientaciones-que-abordan-el-tratamiento-contable-de-los-contratos-de-concesion/?referer=L-excel-formato&amp;utm_medium=act_formato_excel&amp;utm_source=act_formato_excel&amp;utm_campaign=act_formato_excel&amp;utm_content=act_formato_excel_link" TargetMode="External"/><Relationship Id="rId1343" Type="http://schemas.openxmlformats.org/officeDocument/2006/relationships/hyperlink" Target="https://actualicese.com/lista-de-chequeo-de-revelaciones-nic-19-beneficios-a-los-empleados/?referer=L-excel-formato&amp;utm_medium=act_formato_excel&amp;utm_source=act_formato_excel&amp;utm_campaign=act_formato_excel&amp;utm_content=act_formato_excel_link" TargetMode="External"/><Relationship Id="rId1550" Type="http://schemas.openxmlformats.org/officeDocument/2006/relationships/hyperlink" Target="https://actualicese.com/historico-de-tarifas-de-honorarios-profesionales-y-contrato-laboral-para-contadores-publicos/?referer=L-excel-formato&amp;utm_medium=act_formato_excel&amp;utm_source=act_formato_excel&amp;utm_campaign=act_formato_excel&amp;utm_content=act_formato_excel_link" TargetMode="External"/><Relationship Id="rId1648" Type="http://schemas.openxmlformats.org/officeDocument/2006/relationships/hyperlink" Target="https://actualicese.com/casos-practicos-sobre-metodos-para-determinar-la-naturaleza-del-impuesto-diferido/?referer=L-excel-formato&amp;utm_medium=act_formato_excel&amp;utm_source=act_formato_excel&amp;utm_campaign=act_formato_excel&amp;utm_content=act_formato_excel_link" TargetMode="External"/><Relationship Id="rId1203" Type="http://schemas.openxmlformats.org/officeDocument/2006/relationships/hyperlink" Target="https://actualicese.com/tablas-de-gravamen-progresivo-en-impuesto-y-retencion-por-renta-de-personas-naturales/?referer=L-excel-formato&amp;utm_medium=act_formato_excel&amp;utm_source=act_formato_excel&amp;utm_campaign=act_formato_excel&amp;utm_content=act_formato_excel_link" TargetMode="External"/><Relationship Id="rId1410" Type="http://schemas.openxmlformats.org/officeDocument/2006/relationships/hyperlink" Target="https://actualicese.com/modelo-dictamen-revisor-fiscal-decreto-302/?referer=L-excel-formato&amp;utm_medium=act_formato_excel&amp;utm_source=act_formato_excel&amp;utm_campaign=act_formato_excel&amp;utm_content=act_formato_excel_link" TargetMode="External"/><Relationship Id="rId1508" Type="http://schemas.openxmlformats.org/officeDocument/2006/relationships/hyperlink" Target="https://actualicese.com/acta-carta-de-compromiso-de-auditoria/?referer=L-excel-formato&amp;utm_medium=act_formato_excel&amp;utm_source=act_formato_excel&amp;utm_campaign=act_formato_excel&amp;utm_content=act_formato_excel_link" TargetMode="External"/><Relationship Id="rId1855" Type="http://schemas.openxmlformats.org/officeDocument/2006/relationships/hyperlink" Target="https://actualicese.com/convocatoria-de-asamblea-general-ordinaria-de-copropietarios/?referer=L-excel-formato&amp;utm_medium=act_formato_excel&amp;utm_source=act_formato_excel&amp;utm_campaign=act_formato_excel&amp;utm_content=act_formato_excel_link" TargetMode="External"/><Relationship Id="rId1715" Type="http://schemas.openxmlformats.org/officeDocument/2006/relationships/hyperlink" Target="https://actualicese.com/formatos-de-analisis-financiero-en-excel/?referer=L-excel-formato&amp;utm_medium=act_formato_excel&amp;utm_source=act_formato_excel&amp;utm_campaign=act_formato_excel&amp;utm_content=act_formato_excel_link" TargetMode="External"/><Relationship Id="rId1922" Type="http://schemas.openxmlformats.org/officeDocument/2006/relationships/hyperlink" Target="https://actualicese.com/decisiones-asamblea-de-propietarios/?referer=L-excel-formato&amp;utm_medium=act_formato_excel&amp;utm_source=act_formato_excel&amp;utm_campaign=act_formato_excel&amp;utm_content=act_formato_excel_link" TargetMode="External"/><Relationship Id="rId296" Type="http://schemas.openxmlformats.org/officeDocument/2006/relationships/hyperlink" Target="https://actualicese.com/modelo-de-certificacion-laboral-para-deduccion-del-primer-empleo/?referer=L-excel-formato&amp;utm_medium=act_formato_excel&amp;utm_source=act_formato_excel&amp;utm_campaign=act_formato_excel&amp;utm_content=act_formato_excel_link" TargetMode="External"/><Relationship Id="rId2184" Type="http://schemas.openxmlformats.org/officeDocument/2006/relationships/hyperlink" Target="https://actualicese.com/retenciones-a-practicar-entre-regimenes/?referer=L-excel-formato&amp;utm_medium=act_formato_excel&amp;utm_source=act_formato_excel&amp;utm_campaign=act_formato_excel&amp;utm_content=act_formato_excel_link" TargetMode="External"/><Relationship Id="rId2391" Type="http://schemas.openxmlformats.org/officeDocument/2006/relationships/hyperlink" Target="https://actualicese.com/casos-practicos-para-comprender-la-contabilizacion-de-pasivos-en-el-cierre-contable/?referer=L-excel-formato&amp;utm_medium=act_formato_excel&amp;utm_source=act_formato_excel&amp;utm_campaign=act_formato_excel&amp;utm_content=act_formato_excel_link" TargetMode="External"/><Relationship Id="rId156" Type="http://schemas.openxmlformats.org/officeDocument/2006/relationships/hyperlink" Target="https://actualicese.com/formato-de-solicitud-de-permiso-compensatorio-por-votaciones/?referer=L-excel-formato&amp;utm_medium=act_formato_excel&amp;utm_source=act_formato_excel&amp;utm_campaign=act_formato_excel&amp;utm_content=act_formato_excel_link" TargetMode="External"/><Relationship Id="rId363" Type="http://schemas.openxmlformats.org/officeDocument/2006/relationships/hyperlink" Target="https://actualicese.com/dictamen-de-revisor-fiscal-con-comunicacion-de-cuestiones-clave-nia-700-revisada-y-nia-701/?referer=L-excel-formato&amp;utm_medium=act_formato_excel&amp;utm_source=act_formato_excel&amp;utm_campaign=act_formato_excel&amp;utm_content=act_formato_excel_link" TargetMode="External"/><Relationship Id="rId570" Type="http://schemas.openxmlformats.org/officeDocument/2006/relationships/hyperlink" Target="https://actualicese.com/formulario-110-y-formato-2516-para-declaracion-de-renta-2020-de-personas-naturales-obligadas-a-llevar-contabilidad/?referer=L-excel-formato&amp;utm_medium=act_formato_excel&amp;utm_source=act_formato_excel&amp;utm_campaign=act_formato_excel&amp;utm_content=act_formato_excel_link" TargetMode="External"/><Relationship Id="rId2044" Type="http://schemas.openxmlformats.org/officeDocument/2006/relationships/hyperlink" Target="https://actualicese.com/simulador-para-el-calculo-del-limite-del-descuento-por-impuestos-pagados-en-el-exterior-en-el-formulario-210/?referer=L-excel-formato&amp;utm_medium=act_formato_excel&amp;utm_source=act_formato_excel&amp;utm_campaign=act_formato_excel&amp;utm_content=act_formato_excel_link" TargetMode="External"/><Relationship Id="rId2251" Type="http://schemas.openxmlformats.org/officeDocument/2006/relationships/hyperlink" Target="https://actualicese.com/liquidador-de-prestaciones-sociales-para-trabajadores-domesticos-por-dias/?referer=L-excel-formato&amp;utm_medium=act_formato_excel&amp;utm_source=act_formato_excel&amp;utm_campaign=act_formato_excel&amp;utm_content=act_formato_excel_link" TargetMode="External"/><Relationship Id="rId223" Type="http://schemas.openxmlformats.org/officeDocument/2006/relationships/hyperlink" Target="https://actualicese.com/contrato-individual-de-trabajo-con-salario-integral-termino-fijo-e-indefinido/?referer=L-excel-formato&amp;utm_medium=act_formato_excel&amp;utm_source=act_formato_excel&amp;utm_campaign=act_formato_excel&amp;utm_content=act_formato_excel_link" TargetMode="External"/><Relationship Id="rId430" Type="http://schemas.openxmlformats.org/officeDocument/2006/relationships/hyperlink" Target="https://actualicese.com/carta-para-solicitar-el-certificado-de-donacion-para-efectuar-descuento-tributario/?referer=L-excel-formato&amp;utm_medium=act_formato_excel&amp;utm_source=act_formato_excel&amp;utm_campaign=act_formato_excel&amp;utm_content=act_formato_excel_link" TargetMode="External"/><Relationship Id="rId668" Type="http://schemas.openxmlformats.org/officeDocument/2006/relationships/hyperlink" Target="https://actualicese.com/baja-de-bienes/?referer=L-excel-formato&amp;utm_medium=act_formato_excel&amp;utm_source=act_formato_excel&amp;utm_campaign=act_formato_excel&amp;utm_content=act_formato_excel_link" TargetMode="External"/><Relationship Id="rId875" Type="http://schemas.openxmlformats.org/officeDocument/2006/relationships/hyperlink" Target="https://actualicese.com/costo-de-renovacion-de-matricula-mercantil-y-establecimientos-de-comercio-en-2019/?referer=L-excel-formato&amp;utm_medium=act_formato_excel&amp;utm_source=act_formato_excel&amp;utm_campaign=act_formato_excel&amp;utm_content=act_formato_excel_link" TargetMode="External"/><Relationship Id="rId1060" Type="http://schemas.openxmlformats.org/officeDocument/2006/relationships/hyperlink" Target="https://actualicese.com/cuenta-de-cobro-para-una-persona-que-presta-servicios-en-el-regimen-simplificado-del-iva/?referer=L-excel-formato&amp;utm_medium=act_formato_excel&amp;utm_source=act_formato_excel&amp;utm_campaign=act_formato_excel&amp;utm_content=act_formato_excel_link" TargetMode="External"/><Relationship Id="rId1298" Type="http://schemas.openxmlformats.org/officeDocument/2006/relationships/hyperlink" Target="https://actualicese.com/calculo-de-deduccion-en-renta-por-inversiones-en-proyectos-de-investigacion-tecnologica/?referer=L-excel-formato&amp;utm_medium=act_formato_excel&amp;utm_source=act_formato_excel&amp;utm_campaign=act_formato_excel&amp;utm_content=act_formato_excel_link" TargetMode="External"/><Relationship Id="rId2111" Type="http://schemas.openxmlformats.org/officeDocument/2006/relationships/hyperlink" Target="https://actualicese.com/formulario-210-declaracion-de-renta-de-personas-naturales-residentes-que-no-llevan-contabilidad-ag-2022/?referer=L-excel-formato&amp;utm_medium=act_formato_excel&amp;utm_source=act_formato_excel&amp;utm_campaign=act_formato_excel&amp;utm_content=act_formato_excel_link" TargetMode="External"/><Relationship Id="rId2349" Type="http://schemas.openxmlformats.org/officeDocument/2006/relationships/hyperlink" Target="https://actualicese.com/liquidador-de-politica-de-recaudo-a-clientes-y-plantilla-de-control-de-cuentas-por-cobrar/?referer=L-excel-formato&amp;utm_medium=act_formato_excel&amp;utm_source=act_formato_excel&amp;utm_campaign=act_formato_excel&amp;utm_content=act_formato_excel_link" TargetMode="External"/><Relationship Id="rId528" Type="http://schemas.openxmlformats.org/officeDocument/2006/relationships/hyperlink" Target="https://actualicese.com/matriz-para-identificar-quienes-estan-obligados-a-aplicar-la-nicc-1/?referer=L-excel-formato&amp;utm_medium=act_formato_excel&amp;utm_source=act_formato_excel&amp;utm_campaign=act_formato_excel&amp;utm_content=act_formato_excel_link" TargetMode="External"/><Relationship Id="rId735" Type="http://schemas.openxmlformats.org/officeDocument/2006/relationships/hyperlink" Target="https://actualicese.com/formulario-110-y-formato-2516-para-declaracion-de-renta-2019-de-personas-naturales-obligadas-a-llevar-contabilidad/?referer=L-excel-formato&amp;utm_medium=act_formato_excel&amp;utm_source=act_formato_excel&amp;utm_campaign=act_formato_excel&amp;utm_content=act_formato_excel_link" TargetMode="External"/><Relationship Id="rId942" Type="http://schemas.openxmlformats.org/officeDocument/2006/relationships/hyperlink" Target="https://actualicese.com/calculo-de-la-contribucion-2018-a-supersociedades/?referer=L-excel-formato&amp;utm_medium=act_formato_excel&amp;utm_source=act_formato_excel&amp;utm_campaign=act_formato_excel&amp;utm_content=act_formato_excel_link" TargetMode="External"/><Relationship Id="rId1158" Type="http://schemas.openxmlformats.org/officeDocument/2006/relationships/hyperlink" Target="https://actualicese.com/politicas-contables-mas-significativas-en-pymes/?referer=L-excel-formato&amp;utm_medium=act_formato_excel&amp;utm_source=act_formato_excel&amp;utm_campaign=act_formato_excel&amp;utm_content=act_formato_excel_link" TargetMode="External"/><Relationship Id="rId1365" Type="http://schemas.openxmlformats.org/officeDocument/2006/relationships/hyperlink" Target="https://actualicese.com/documentos-de-adopcion-por-primera-vez-orientaciones-tecnicas-004-y-005-del-ctcp/?referer=L-excel-formato&amp;utm_medium=act_formato_excel&amp;utm_source=act_formato_excel&amp;utm_campaign=act_formato_excel&amp;utm_content=act_formato_excel_link" TargetMode="External"/><Relationship Id="rId1572" Type="http://schemas.openxmlformats.org/officeDocument/2006/relationships/hyperlink" Target="https://actualicese.com/comunicado-para-notificar-en-la-dian-la-delegacion-de-la-responsabilidad-para-firmar-las-declaraciones/?referer=L-excel-formato&amp;utm_medium=act_formato_excel&amp;utm_source=act_formato_excel&amp;utm_campaign=act_formato_excel&amp;utm_content=act_formato_excel_link" TargetMode="External"/><Relationship Id="rId2209" Type="http://schemas.openxmlformats.org/officeDocument/2006/relationships/hyperlink" Target="https://actualicese.com/matriz-resumen-con-las-categorias-de-los-informantes-de-exogena-ag-2023-y-los-formatos-que-deben-usar/?referer=L-excel-formato&amp;utm_medium=act_formato_excel&amp;utm_source=act_formato_excel&amp;utm_campaign=act_formato_excel&amp;utm_content=act_formato_excel_link" TargetMode="External"/><Relationship Id="rId2416" Type="http://schemas.openxmlformats.org/officeDocument/2006/relationships/hyperlink" Target="https://actualicese.com/correccion-de-errores-de-periodos-anteriores-en-el-cierre-contable/?referer=L-excel-formato&amp;utm_medium=act_formato_excel&amp;utm_source=act_formato_excel&amp;utm_campaign=act_formato_excel&amp;utm_content=act_formato_excel_link" TargetMode="External"/><Relationship Id="rId1018" Type="http://schemas.openxmlformats.org/officeDocument/2006/relationships/hyperlink" Target="https://actualicese.com/indicadores-basicos-a-tener-en-cuenta-en-el-2018/?referer=L-excel-formato&amp;utm_medium=act_formato_excel&amp;utm_source=act_formato_excel&amp;utm_campaign=act_formato_excel&amp;utm_content=act_formato_excel_link" TargetMode="External"/><Relationship Id="rId1225" Type="http://schemas.openxmlformats.org/officeDocument/2006/relationships/hyperlink" Target="https://actualicese.com/modelo-de-politica-contable-para-el-valor-residual/?referer=L-excel-formato&amp;utm_medium=act_formato_excel&amp;utm_source=act_formato_excel&amp;utm_campaign=act_formato_excel&amp;utm_content=act_formato_excel_link" TargetMode="External"/><Relationship Id="rId1432" Type="http://schemas.openxmlformats.org/officeDocument/2006/relationships/hyperlink" Target="https://actualicese.com/formulario-210-para-declaracion-de-renta-2014-de-personas-naturales-version-basica/?referer=L-excel-formato&amp;utm_medium=act_formato_excel&amp;utm_source=act_formato_excel&amp;utm_campaign=act_formato_excel&amp;utm_content=act_formato_excel_link" TargetMode="External"/><Relationship Id="rId1877" Type="http://schemas.openxmlformats.org/officeDocument/2006/relationships/hyperlink" Target="https://actualicese.com/modelo-de-derecho-de-peticion-para-el-pago-de-incapacidades-de-trabajadores-independientes/?referer=L-excel-formato&amp;utm_medium=act_formato_excel&amp;utm_source=act_formato_excel&amp;utm_campaign=act_formato_excel&amp;utm_content=act_formato_excel_link" TargetMode="External"/><Relationship Id="rId71" Type="http://schemas.openxmlformats.org/officeDocument/2006/relationships/hyperlink" Target="https://actualicese.com/formulario-210-declaracion-de-renta-de-personas-naturales-residentes-que-no-llevan-contabilidad-ag-2021/?referer=L-excel-formato&amp;utm_medium=act_formato_excel&amp;utm_source=act_formato_excel&amp;utm_campaign=act_formato_excel&amp;utm_content=act_formato_excel_link" TargetMode="External"/><Relationship Id="rId802" Type="http://schemas.openxmlformats.org/officeDocument/2006/relationships/hyperlink" Target="https://actualicese.com/certificado-de-persona-natural-no-declarante-del-impuesto-de-renta-y-complementario-2019/?referer=L-excel-formato&amp;utm_medium=act_formato_excel&amp;utm_source=act_formato_excel&amp;utm_campaign=act_formato_excel&amp;utm_content=act_formato_excel_link" TargetMode="External"/><Relationship Id="rId1737"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944" Type="http://schemas.openxmlformats.org/officeDocument/2006/relationships/hyperlink" Target="https://actualicese.com/guia-en-excel-para-revisiones-pertinentes-en-la-propiedad-planta-y-equipo-en-el-proceso-de-cierre-contable/?referer=L-excel-formato&amp;utm_medium=act_formato_excel&amp;utm_source=act_formato_excel&amp;utm_campaign=act_formato_excel&amp;utm_content=act_formato_excel_link" TargetMode="External"/><Relationship Id="rId29" Type="http://schemas.openxmlformats.org/officeDocument/2006/relationships/hyperlink" Target="https://actualicese.com/liquidador-caso-practico-en-excel-de-impuesto-diferido-por-acciones-medidas-a-valor-razonable/?referer=L-excel-formato&amp;utm_medium=act_formato_excel&amp;utm_source=act_formato_excel&amp;utm_campaign=act_formato_excel&amp;utm_content=act_formato_excel_link" TargetMode="External"/><Relationship Id="rId178" Type="http://schemas.openxmlformats.org/officeDocument/2006/relationships/hyperlink" Target="https://actualicese.com/notificacion-a-empleado-de-la-reduccion-de-la-jornada-laboral/?referer=L-excel-formato&amp;utm_medium=act_formato_excel&amp;utm_source=act_formato_excel&amp;utm_campaign=act_formato_excel&amp;utm_content=act_formato_excel_link" TargetMode="External"/><Relationship Id="rId1804" Type="http://schemas.openxmlformats.org/officeDocument/2006/relationships/hyperlink" Target="https://actualicese.com/plantilla-del-formato-1010-para-reporte-de-exogena-2022-informacion-de-socios-cooperados-o-comuneros/?referer=L-excel-formato&amp;utm_medium=act_formato_excel&amp;utm_source=act_formato_excel&amp;utm_campaign=act_formato_excel&amp;utm_content=act_formato_excel_link" TargetMode="External"/><Relationship Id="rId385" Type="http://schemas.openxmlformats.org/officeDocument/2006/relationships/hyperlink" Target="https://actualicese.com/informe-sobre-los-hallazgos-obtenidos-en-las-cuentas-por-pagar/?referer=L-excel-formato&amp;utm_medium=act_formato_excel&amp;utm_source=act_formato_excel&amp;utm_campaign=act_formato_excel&amp;utm_content=act_formato_excel_link" TargetMode="External"/><Relationship Id="rId592" Type="http://schemas.openxmlformats.org/officeDocument/2006/relationships/hyperlink" Target="https://actualicese.com/modelo-de-contrato-de-prestacion-de-servicios-servicios-generales/?referer=L-excel-formato&amp;utm_medium=act_formato_excel&amp;utm_source=act_formato_excel&amp;utm_campaign=act_formato_excel&amp;utm_content=act_formato_excel_link" TargetMode="External"/><Relationship Id="rId2066" Type="http://schemas.openxmlformats.org/officeDocument/2006/relationships/hyperlink" Target="https://actualicese.com/impuesto-diferido-por-venta-de-bienes-inmuebles-a-largo-plazo-en-2023-caso-practico-en-excel/?referer=L-excel-formato&amp;utm_medium=act_formato_excel&amp;utm_source=act_formato_excel&amp;utm_campaign=act_formato_excel&amp;utm_content=act_formato_excel_link" TargetMode="External"/><Relationship Id="rId2273" Type="http://schemas.openxmlformats.org/officeDocument/2006/relationships/hyperlink" Target="https://actualicese.com/simulador-de-sancion-por-no-pagar-la-liquidacion-del-contrato-laboral/?referer=L-excel-formato&amp;utm_medium=act_formato_excel&amp;utm_source=act_formato_excel&amp;utm_campaign=act_formato_excel&amp;utm_content=act_formato_excel_link" TargetMode="External"/><Relationship Id="rId245" Type="http://schemas.openxmlformats.org/officeDocument/2006/relationships/hyperlink" Target="https://actualicese.com/comparativo-de-normas-del-dut-1625-de-2016-relacionadas-con-el-rut-y-afectadas-por-el-decreto-678-de-2022/?referer=L-excel-formato&amp;utm_medium=act_formato_excel&amp;utm_source=act_formato_excel&amp;utm_campaign=act_formato_excel&amp;utm_content=act_formato_excel_link" TargetMode="External"/><Relationship Id="rId452" Type="http://schemas.openxmlformats.org/officeDocument/2006/relationships/hyperlink" Target="https://actualicese.com/casos-de-reduccion-de-sancion-por-extemporaneidad-antes-del-emplazamiento-reforma-tributaria-2021/?referer=L-excel-formato&amp;utm_medium=act_formato_excel&amp;utm_source=act_formato_excel&amp;utm_campaign=act_formato_excel&amp;utm_content=act_formato_excel_link" TargetMode="External"/><Relationship Id="rId897" Type="http://schemas.openxmlformats.org/officeDocument/2006/relationships/hyperlink" Target="https://actualicese.com/historico-de-la-variacion-nominal-del-salario-minimo-vs-la-inflacion-1993-2018/?referer=L-excel-formato&amp;utm_medium=act_formato_excel&amp;utm_source=act_formato_excel&amp;utm_campaign=act_formato_excel&amp;utm_content=act_formato_excel_link" TargetMode="External"/><Relationship Id="rId1082" Type="http://schemas.openxmlformats.org/officeDocument/2006/relationships/hyperlink" Target="https://actualicese.com/residente-para-efectos-fiscales/?referer=L-excel-formato&amp;utm_medium=act_formato_excel&amp;utm_source=act_formato_excel&amp;utm_campaign=act_formato_excel&amp;utm_content=act_formato_excel_link" TargetMode="External"/><Relationship Id="rId2133" Type="http://schemas.openxmlformats.org/officeDocument/2006/relationships/hyperlink" Target="https://actualicese.com/liquidadores-de-sancion-por-no-declarar/?referer=L-excel-formato&amp;utm_medium=act_formato_excel&amp;utm_source=act_formato_excel&amp;utm_campaign=act_formato_excel&amp;utm_content=act_formato_excel_link" TargetMode="External"/><Relationship Id="rId2340" Type="http://schemas.openxmlformats.org/officeDocument/2006/relationships/hyperlink" Target="https://actualicese.com/contrato-de-outsourcing/?referer=L-excel-formato&amp;utm_medium=act_formato_excel&amp;utm_source=act_formato_excel&amp;utm_campaign=act_formato_excel&amp;utm_content=act_formato_excel_link" TargetMode="External"/><Relationship Id="rId105" Type="http://schemas.openxmlformats.org/officeDocument/2006/relationships/hyperlink" Target="https://actualicese.com/solicitud-de-inversiones-realizadas/?referer=L-excel-formato&amp;utm_medium=act_formato_excel&amp;utm_source=act_formato_excel&amp;utm_campaign=act_formato_excel&amp;utm_content=act_formato_excel_link" TargetMode="External"/><Relationship Id="rId312" Type="http://schemas.openxmlformats.org/officeDocument/2006/relationships/hyperlink" Target="https://actualicese.com/calculo-del-limite-de-subcapitalizacion-casos-practicos-en-excel/?referer=L-excel-formato&amp;utm_medium=act_formato_excel&amp;utm_source=act_formato_excel&amp;utm_campaign=act_formato_excel&amp;utm_content=act_formato_excel_link" TargetMode="External"/><Relationship Id="rId757" Type="http://schemas.openxmlformats.org/officeDocument/2006/relationships/hyperlink" Target="https://actualicese.com/modelo-del-certificado-anual-para-socios-y-o-accionistas-por-el-ano-2019/?referer=L-excel-formato&amp;utm_medium=act_formato_excel&amp;utm_source=act_formato_excel&amp;utm_campaign=act_formato_excel&amp;utm_content=act_formato_excel_link" TargetMode="External"/><Relationship Id="rId964" Type="http://schemas.openxmlformats.org/officeDocument/2006/relationships/hyperlink" Target="https://actualicese.com/antecedentes-de-directivos-en-entidades-del-regimen-especial/?referer=L-excel-formato&amp;utm_medium=act_formato_excel&amp;utm_source=act_formato_excel&amp;utm_campaign=act_formato_excel&amp;utm_content=act_formato_excel_link" TargetMode="External"/><Relationship Id="rId1387" Type="http://schemas.openxmlformats.org/officeDocument/2006/relationships/hyperlink" Target="https://actualicese.com/atencion-integral-en-seguridad-y-salud-en-el-trabajo-2015-dolor-lumbar-inespecifico-y-enfermedad-discal-de-origen-ocupacional/?referer=L-excel-formato&amp;utm_medium=act_formato_excel&amp;utm_source=act_formato_excel&amp;utm_campaign=act_formato_excel&amp;utm_content=act_formato_excel_link" TargetMode="External"/><Relationship Id="rId1594" Type="http://schemas.openxmlformats.org/officeDocument/2006/relationships/hyperlink" Target="https://actualicese.com/word-aviso-o-edicto-de-trabajador-fallecido-para-pago-de-salarios-y-prestaciones-adeudadas/?referer=L-excel-formato&amp;utm_medium=act_formato_excel&amp;utm_source=act_formato_excel&amp;utm_campaign=act_formato_excel&amp;utm_content=act_formato_excel_link" TargetMode="External"/><Relationship Id="rId2200" Type="http://schemas.openxmlformats.org/officeDocument/2006/relationships/hyperlink" Target="https://actualicese.com/12-liquidadores-para-calcular-la-prima-de-servicios-semestral/?referer=L-excel-formato&amp;utm_medium=act_formato_excel&amp;utm_source=act_formato_excel&amp;utm_campaign=act_formato_excel&amp;utm_content=act_formato_excel_link" TargetMode="External"/><Relationship Id="rId2438" Type="http://schemas.openxmlformats.org/officeDocument/2006/relationships/hyperlink" Target="https://actualicese.com/modelo-calculo-de-intereses-sobre-las-cesantias/?referer=L-excel-formato&amp;utm_medium=act_formato_excel&amp;utm_source=act_formato_excel&amp;utm_campaign=act_formato_excel&amp;utm_content=act_formato_excel_link" TargetMode="External"/><Relationship Id="rId93" Type="http://schemas.openxmlformats.org/officeDocument/2006/relationships/hyperlink" Target="https://actualicese.com/lista-de-convenios-internacionales-para-evitar-la-doble-tributacion-ano-gravable-2021/?referer=L-excel-formato&amp;utm_medium=act_formato_excel&amp;utm_source=act_formato_excel&amp;utm_campaign=act_formato_excel&amp;utm_content=act_formato_excel_link" TargetMode="External"/><Relationship Id="rId617" Type="http://schemas.openxmlformats.org/officeDocument/2006/relationships/hyperlink" Target="https://actualicese.com/plantilla-del-formato-exogena-1009-por-el-ano-gravable-2020-reporte-de-cuentas-por-pagar/?referer=L-excel-formato&amp;utm_medium=act_formato_excel&amp;utm_source=act_formato_excel&amp;utm_campaign=act_formato_excel&amp;utm_content=act_formato_excel_link" TargetMode="External"/><Relationship Id="rId824" Type="http://schemas.openxmlformats.org/officeDocument/2006/relationships/hyperlink" Target="https://actualicese.com/convenios-para-evitar-la-doble-tributacion-aplicables-al-ano-gravable-2018/?referer=L-excel-formato&amp;utm_medium=act_formato_excel&amp;utm_source=act_formato_excel&amp;utm_campaign=act_formato_excel&amp;utm_content=act_formato_excel_link" TargetMode="External"/><Relationship Id="rId1247" Type="http://schemas.openxmlformats.org/officeDocument/2006/relationships/hyperlink" Target="https://actualicese.com/lista-de-chequeo-de-revelaciones-seccion-16-propiedades-de-inversion/?referer=L-excel-formato&amp;utm_medium=act_formato_excel&amp;utm_source=act_formato_excel&amp;utm_campaign=act_formato_excel&amp;utm_content=act_formato_excel_link" TargetMode="External"/><Relationship Id="rId1454" Type="http://schemas.openxmlformats.org/officeDocument/2006/relationships/hyperlink" Target="https://actualicese.com/superfinanciera-valoracion-de-instrumentos-financieros-derivados-basicos/?referer=L-excel-formato&amp;utm_medium=act_formato_excel&amp;utm_source=act_formato_excel&amp;utm_campaign=act_formato_excel&amp;utm_content=act_formato_excel_link" TargetMode="External"/><Relationship Id="rId1661" Type="http://schemas.openxmlformats.org/officeDocument/2006/relationships/hyperlink" Target="https://actualicese.com/lista-de-chequeo-de-las-etapas-requeridas-en-el-proceso-presupuestal/?referer=L-excel-formato&amp;utm_medium=act_formato_excel&amp;utm_source=act_formato_excel&amp;utm_campaign=act_formato_excel&amp;utm_content=act_formato_excel_link" TargetMode="External"/><Relationship Id="rId1899" Type="http://schemas.openxmlformats.org/officeDocument/2006/relationships/hyperlink" Target="https://actualicese.com/informe-de-revisor-fiscal-bajo-nia-701-comunicacion-de-las-cuestiones-clave-de-auditoria/?referer=L-excel-formato&amp;utm_medium=act_formato_excel&amp;utm_source=act_formato_excel&amp;utm_campaign=act_formato_excel&amp;utm_content=act_formato_excel_link" TargetMode="External"/><Relationship Id="rId1107" Type="http://schemas.openxmlformats.org/officeDocument/2006/relationships/hyperlink" Target="https://actualicese.com/requisitos-para-acceder-a-beneficios-en-registro-mercantil-de-la-ley-projoven/?referer=L-excel-formato&amp;utm_medium=act_formato_excel&amp;utm_source=act_formato_excel&amp;utm_campaign=act_formato_excel&amp;utm_content=act_formato_excel_link" TargetMode="External"/><Relationship Id="rId1314" Type="http://schemas.openxmlformats.org/officeDocument/2006/relationships/hyperlink" Target="https://actualicese.com/formato-1007-informacion-de-ingresos-propios-recibidos-durante-el-2015/?referer=L-excel-formato&amp;utm_medium=act_formato_excel&amp;utm_source=act_formato_excel&amp;utm_campaign=act_formato_excel&amp;utm_content=act_formato_excel_link" TargetMode="External"/><Relationship Id="rId1521" Type="http://schemas.openxmlformats.org/officeDocument/2006/relationships/hyperlink" Target="https://actualicese.com/guia-codigos-de-responsabilidades-tributarias-que-le-pueden-figurar-a-un-contribuyente-en-su-rut/?referer=L-excel-formato&amp;utm_medium=act_formato_excel&amp;utm_source=act_formato_excel&amp;utm_campaign=act_formato_excel&amp;utm_content=act_formato_excel_link" TargetMode="External"/><Relationship Id="rId1759" Type="http://schemas.openxmlformats.org/officeDocument/2006/relationships/hyperlink" Target="https://actualicese.com/historico-de-salario-minimo-y-auxilio-de-transporte-1990-2023/?referer=L-excel-formato&amp;utm_medium=act_formato_excel&amp;utm_source=act_formato_excel&amp;utm_campaign=act_formato_excel&amp;utm_content=act_formato_excel_link" TargetMode="External"/><Relationship Id="rId1966" Type="http://schemas.openxmlformats.org/officeDocument/2006/relationships/hyperlink" Target="https://actualicese.com/clasificacion-de-arrendamientos-segun-la-seccion-20-del-estandar-para-pymes-casos-practicos-en-excel/?referer=L-excel-formato&amp;utm_medium=act_formato_excel&amp;utm_source=act_formato_excel&amp;utm_campaign=act_formato_excel&amp;utm_content=act_formato_excel_link" TargetMode="External"/><Relationship Id="rId1619" Type="http://schemas.openxmlformats.org/officeDocument/2006/relationships/hyperlink" Target="https://actualicese.com/resumen-de-parametros-clave-para-la-elaboracion-de-declaraciones-tributarias-durante-el-2009/?referer=L-excel-formato&amp;utm_medium=act_formato_excel&amp;utm_source=act_formato_excel&amp;utm_campaign=act_formato_excel&amp;utm_content=act_formato_excel_link" TargetMode="External"/><Relationship Id="rId1826" Type="http://schemas.openxmlformats.org/officeDocument/2006/relationships/hyperlink" Target="https://actualicese.com/casos-practicos-de-liquidacion-de-sanciones-relacionadas-con-la-informacion-exogena/?referer=L-excel-formato&amp;utm_medium=act_formato_excel&amp;utm_source=act_formato_excel&amp;utm_campaign=act_formato_excel&amp;utm_content=act_formato_excel_link" TargetMode="External"/><Relationship Id="rId20" Type="http://schemas.openxmlformats.org/officeDocument/2006/relationships/hyperlink" Target="https://actualicese.com/impuesto-diferido-en-la-depreciacion-de-propiedad-planta-y-equipo-caso-practico-en-excel/?referer=L-excel-formato&amp;utm_medium=act_formato_excel&amp;utm_source=act_formato_excel&amp;utm_campaign=act_formato_excel&amp;utm_content=act_formato_excel_link" TargetMode="External"/><Relationship Id="rId2088" Type="http://schemas.openxmlformats.org/officeDocument/2006/relationships/hyperlink" Target="https://actualicese.com/formulario-110-declaracion-de-renta-de-personas-naturales-no-residentes-que-no-llevan-contabilidad-ag-2022/?referer=L-excel-formato&amp;utm_medium=act_formato_excel&amp;utm_source=act_formato_excel&amp;utm_campaign=act_formato_excel&amp;utm_content=act_formato_excel_link" TargetMode="External"/><Relationship Id="rId2295" Type="http://schemas.openxmlformats.org/officeDocument/2006/relationships/hyperlink" Target="https://actualicese.com/modelo-de-solicitud-de-permiso-para-autorizar-el-trabajo-en-horas-extra/?referer=L-excel-formato&amp;utm_medium=act_formato_excel&amp;utm_source=act_formato_excel&amp;utm_campaign=act_formato_excel&amp;utm_content=act_formato_excel_link" TargetMode="External"/><Relationship Id="rId267" Type="http://schemas.openxmlformats.org/officeDocument/2006/relationships/hyperlink" Target="https://actualicese.com/simulador-del-impuesto-para-dividendos-y-participaciones-gravados-de-2017-y-siguientes/?referer=L-excel-formato&amp;utm_medium=act_formato_excel&amp;utm_source=act_formato_excel&amp;utm_campaign=act_formato_excel&amp;utm_content=act_formato_excel_link" TargetMode="External"/><Relationship Id="rId474" Type="http://schemas.openxmlformats.org/officeDocument/2006/relationships/hyperlink" Target="https://actualicese.com/inscripcion-en-el-rut-lista-de-chequeo-para-inscribirse-a-traves-de-las-camaras-de-comercio/?referer=L-excel-formato&amp;utm_medium=act_formato_excel&amp;utm_source=act_formato_excel&amp;utm_campaign=act_formato_excel&amp;utm_content=act_formato_excel_link" TargetMode="External"/><Relationship Id="rId2155"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27" Type="http://schemas.openxmlformats.org/officeDocument/2006/relationships/hyperlink" Target="https://actualicese.com/calculo-de-intereses-pagados-por-un-prestamo-en-un-rango-de-tiempo-determinado/?referer=L-excel-formato&amp;utm_medium=act_formato_excel&amp;utm_source=act_formato_excel&amp;utm_campaign=act_formato_excel&amp;utm_content=act_formato_excel_link" TargetMode="External"/><Relationship Id="rId681" Type="http://schemas.openxmlformats.org/officeDocument/2006/relationships/hyperlink" Target="https://actualicese.com/correccion-de-errores-de-periodos-anteriores-en-el-cierre-contable/?referer=L-excel-formato&amp;utm_medium=act_formato_excel&amp;utm_source=act_formato_excel&amp;utm_campaign=act_formato_excel&amp;utm_content=act_formato_excel_link" TargetMode="External"/><Relationship Id="rId779" Type="http://schemas.openxmlformats.org/officeDocument/2006/relationships/hyperlink" Target="https://actualicese.com/informe-de-revision-de-informacion-financiera-intermedia-con-conclusion-adversa/?referer=L-excel-formato&amp;utm_medium=act_formato_excel&amp;utm_source=act_formato_excel&amp;utm_campaign=act_formato_excel&amp;utm_content=act_formato_excel_link" TargetMode="External"/><Relationship Id="rId986" Type="http://schemas.openxmlformats.org/officeDocument/2006/relationships/hyperlink" Target="https://actualicese.com/formatos-exogena-1005-y-1006-por-el-ano-gravable-2017-reportes-de-iva-generados-y-descontables/?referer=L-excel-formato&amp;utm_medium=act_formato_excel&amp;utm_source=act_formato_excel&amp;utm_campaign=act_formato_excel&amp;utm_content=act_formato_excel_link" TargetMode="External"/><Relationship Id="rId2362" Type="http://schemas.openxmlformats.org/officeDocument/2006/relationships/hyperlink" Target="https://actualicese.com/modelo-calculo-intereses-de-mora-y-su-iva-en-cuentas-por-cobrar-vencidas/?referer=L-excel-formato&amp;utm_medium=act_formato_excel&amp;utm_source=act_formato_excel&amp;utm_campaign=act_formato_excel&amp;utm_content=act_formato_excel_link" TargetMode="External"/><Relationship Id="rId334" Type="http://schemas.openxmlformats.org/officeDocument/2006/relationships/hyperlink" Target="https://actualicese.com/dictamen-del-revisor-fiscal-en-entidades-del-grupo-3-opinion-favorable/?referer=L-excel-formato&amp;utm_medium=act_formato_excel&amp;utm_source=act_formato_excel&amp;utm_campaign=act_formato_excel&amp;utm_content=act_formato_excel_link" TargetMode="External"/><Relationship Id="rId541" Type="http://schemas.openxmlformats.org/officeDocument/2006/relationships/hyperlink" Target="https://actualicese.com/impuesto-diferido-por-diferencia-en-cambio-en-2021-caso-practico-en-excel/?referer=L-excel-formato&amp;utm_medium=act_formato_excel&amp;utm_source=act_formato_excel&amp;utm_campaign=act_formato_excel&amp;utm_content=act_formato_excel_link" TargetMode="External"/><Relationship Id="rId639" Type="http://schemas.openxmlformats.org/officeDocument/2006/relationships/hyperlink" Target="https://actualicese.com/liquidador-del-costo-de-renovacion-de-matricula-mercantil-y-de-establecimientos-de-comercio-2021/?referer=L-excel-formato&amp;utm_medium=act_formato_excel&amp;utm_source=act_formato_excel&amp;utm_campaign=act_formato_excel&amp;utm_content=act_formato_excel_link" TargetMode="External"/><Relationship Id="rId1171" Type="http://schemas.openxmlformats.org/officeDocument/2006/relationships/hyperlink" Target="https://actualicese.com/poder-especial-para-adelantar-proceso-ejecutivo/?referer=L-excel-formato&amp;utm_medium=act_formato_excel&amp;utm_source=act_formato_excel&amp;utm_campaign=act_formato_excel&amp;utm_content=act_formato_excel_link" TargetMode="External"/><Relationship Id="rId1269" Type="http://schemas.openxmlformats.org/officeDocument/2006/relationships/hyperlink" Target="https://actualicese.com/modelo-para-definir-porcentaje-fijo-de-retencion-en-la-fuente-sobre-salarios-en-junio-del-2016-procedimiento-2/?referer=L-excel-formato&amp;utm_medium=act_formato_excel&amp;utm_source=act_formato_excel&amp;utm_campaign=act_formato_excel&amp;utm_content=act_formato_excel_link" TargetMode="External"/><Relationship Id="rId1476" Type="http://schemas.openxmlformats.org/officeDocument/2006/relationships/hyperlink" Target="https://actualicese.com/modelo-para-obligados-a-presentar-las-declaraciones-tributarias-de-forma-virtual/?referer=L-excel-formato&amp;utm_medium=act_formato_excel&amp;utm_source=act_formato_excel&amp;utm_campaign=act_formato_excel&amp;utm_content=act_formato_excel_link" TargetMode="External"/><Relationship Id="rId2015" Type="http://schemas.openxmlformats.org/officeDocument/2006/relationships/hyperlink" Target="https://actualicese.com/horas-diurnas-nocturnas-extras-dominicales-y-festivas/?referer=L-excel-formato&amp;utm_medium=act_formato_excel&amp;utm_source=act_formato_excel&amp;utm_campaign=act_formato_excel&amp;utm_content=act_formato_excel_link" TargetMode="External"/><Relationship Id="rId2222" Type="http://schemas.openxmlformats.org/officeDocument/2006/relationships/hyperlink" Target="https://actualicese.com/guia-en-excel-para-auditar-el-formato-2516-conciliacion-fiscal-de-las-personas-juridicas/?referer=L-excel-formato&amp;utm_medium=act_formato_excel&amp;utm_source=act_formato_excel&amp;utm_campaign=act_formato_excel&amp;utm_content=act_formato_excel_link" TargetMode="External"/><Relationship Id="rId401" Type="http://schemas.openxmlformats.org/officeDocument/2006/relationships/hyperlink" Target="https://actualicese.com/liquidador-de-prestaciones-sociales-en-periodo-de-incapacidad/?referer=L-excel-formato&amp;utm_medium=act_formato_excel&amp;utm_source=act_formato_excel&amp;utm_campaign=act_formato_excel&amp;utm_content=act_formato_excel_link" TargetMode="External"/><Relationship Id="rId846" Type="http://schemas.openxmlformats.org/officeDocument/2006/relationships/hyperlink" Target="https://actualicese.com/requisitos-a-verificar-de-la-factura-electronica-de-venta-antes-de-su-emision/?referer=L-excel-formato&amp;utm_medium=act_formato_excel&amp;utm_source=act_formato_excel&amp;utm_campaign=act_formato_excel&amp;utm_content=act_formato_excel_link" TargetMode="External"/><Relationship Id="rId1031" Type="http://schemas.openxmlformats.org/officeDocument/2006/relationships/hyperlink" Target="https://actualicese.com/calendario-tributario-automatizado-2018/?referer=L-excel-formato&amp;utm_medium=act_formato_excel&amp;utm_source=act_formato_excel&amp;utm_campaign=act_formato_excel&amp;utm_content=act_formato_excel_link" TargetMode="External"/><Relationship Id="rId1129" Type="http://schemas.openxmlformats.org/officeDocument/2006/relationships/hyperlink" Target="https://actualicese.com/formato-1008-por-2016-reportes-de-cuentas-por-cobrar/?referer=L-excel-formato&amp;utm_medium=act_formato_excel&amp;utm_source=act_formato_excel&amp;utm_campaign=act_formato_excel&amp;utm_content=act_formato_excel_link" TargetMode="External"/><Relationship Id="rId1683" Type="http://schemas.openxmlformats.org/officeDocument/2006/relationships/hyperlink" Target="https://actualicese.com/solicitud-de-licencia-no-remunerada/?referer=L-excel-formato&amp;utm_medium=act_formato_excel&amp;utm_source=act_formato_excel&amp;utm_campaign=act_formato_excel&amp;utm_content=act_formato_excel_link" TargetMode="External"/><Relationship Id="rId1890"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988" Type="http://schemas.openxmlformats.org/officeDocument/2006/relationships/hyperlink" Target="https://actualicese.com/guia-en-excel-con-los-principales-indices-de-coherencia-tributaria-para-las-personas-juridicas/?referer=L-excel-formato&amp;utm_medium=act_formato_excel&amp;utm_source=act_formato_excel&amp;utm_campaign=act_formato_excel&amp;utm_content=act_formato_excel_link" TargetMode="External"/><Relationship Id="rId706" Type="http://schemas.openxmlformats.org/officeDocument/2006/relationships/hyperlink" Target="https://actualicese.com/planilla-automatizada-para-controlar-la-asistencia-a-pausas-activas/?referer=L-excel-formato&amp;utm_medium=act_formato_excel&amp;utm_source=act_formato_excel&amp;utm_campaign=act_formato_excel&amp;utm_content=act_formato_excel_link" TargetMode="External"/><Relationship Id="rId913" Type="http://schemas.openxmlformats.org/officeDocument/2006/relationships/hyperlink" Target="https://actualicese.com/carta-otorgando-poder/?referer=L-excel-formato&amp;utm_medium=act_formato_excel&amp;utm_source=act_formato_excel&amp;utm_campaign=act_formato_excel&amp;utm_content=act_formato_excel_link" TargetMode="External"/><Relationship Id="rId1336" Type="http://schemas.openxmlformats.org/officeDocument/2006/relationships/hyperlink" Target="https://actualicese.com/informacion-laboral-2016/?referer=L-excel-formato&amp;utm_medium=act_formato_excel&amp;utm_source=act_formato_excel&amp;utm_campaign=act_formato_excel&amp;utm_content=act_formato_excel_link" TargetMode="External"/><Relationship Id="rId1543" Type="http://schemas.openxmlformats.org/officeDocument/2006/relationships/hyperlink" Target="https://actualicese.com/calculo-costo-renovacion-ano-2014-de-la-matricula-mercantil-y-los-establecimientos-de-comercio/?referer=L-excel-formato&amp;utm_medium=act_formato_excel&amp;utm_source=act_formato_excel&amp;utm_campaign=act_formato_excel&amp;utm_content=act_formato_excel_link" TargetMode="External"/><Relationship Id="rId1750" Type="http://schemas.openxmlformats.org/officeDocument/2006/relationships/hyperlink" Target="https://actualicese.com/reparto-de-utilidades-pago-de-dividendos/?referer=L-excel-formato&amp;utm_medium=act_formato_excel&amp;utm_source=act_formato_excel&amp;utm_campaign=act_formato_excel&amp;utm_content=act_formato_excel_link" TargetMode="External"/><Relationship Id="rId42" Type="http://schemas.openxmlformats.org/officeDocument/2006/relationships/hyperlink" Target="https://actualicese.com/modelo-de-un-proyecto-de-distribucion-de-utilidades-en-una-sociedad-comercial/?referer=L-excel-formato&amp;utm_medium=act_formato_excel&amp;utm_source=act_formato_excel&amp;utm_campaign=act_formato_excel&amp;utm_content=act_formato_excel_link" TargetMode="External"/><Relationship Id="rId1403" Type="http://schemas.openxmlformats.org/officeDocument/2006/relationships/hyperlink" Target="https://actualicese.com/tabla-de-tarifas-del-imas-para-trabajadores-por-cuenta-propia/?referer=L-excel-formato&amp;utm_medium=act_formato_excel&amp;utm_source=act_formato_excel&amp;utm_campaign=act_formato_excel&amp;utm_content=act_formato_excel_link" TargetMode="External"/><Relationship Id="rId1610" Type="http://schemas.openxmlformats.org/officeDocument/2006/relationships/hyperlink" Target="https://actualicese.com/word-reforma-al-componente-social-de-una-sociedad-limitada-cesion-de-cuotas/?referer=L-excel-formato&amp;utm_medium=act_formato_excel&amp;utm_source=act_formato_excel&amp;utm_campaign=act_formato_excel&amp;utm_content=act_formato_excel_link" TargetMode="External"/><Relationship Id="rId1848" Type="http://schemas.openxmlformats.org/officeDocument/2006/relationships/hyperlink" Target="https://actualicese.com/liquidador-del-costo-de-renovacion-de-matricula-mercantil-y-de-establecimientos-de-comercio-2023/?referer=L-excel-formato&amp;utm_medium=act_formato_excel&amp;utm_source=act_formato_excel&amp;utm_campaign=act_formato_excel&amp;utm_content=act_formato_excel_link" TargetMode="External"/><Relationship Id="rId191" Type="http://schemas.openxmlformats.org/officeDocument/2006/relationships/hyperlink" Target="https://actualicese.com/carta-para-solicitar-un-desembargo-de-bienes-ante-la-dian/?referer=L-excel-formato&amp;utm_medium=act_formato_excel&amp;utm_source=act_formato_excel&amp;utm_campaign=act_formato_excel&amp;utm_content=act_formato_excel_link" TargetMode="External"/><Relationship Id="rId1708" Type="http://schemas.openxmlformats.org/officeDocument/2006/relationships/hyperlink" Target="https://actualicese.com/comparativo-de-las-normas-afectadas-por-la-reforma-tributaria-ley-2277-de-2022/?referer=L-excel-formato&amp;utm_medium=act_formato_excel&amp;utm_source=act_formato_excel&amp;utm_campaign=act_formato_excel&amp;utm_content=act_formato_excel_link" TargetMode="External"/><Relationship Id="rId1915" Type="http://schemas.openxmlformats.org/officeDocument/2006/relationships/hyperlink" Target="https://actualicese.com/papeles-de-trabajo-del-auditor-cuestionarios-de-control-interno-para-pymes/?referer=L-excel-formato&amp;utm_medium=act_formato_excel&amp;utm_source=act_formato_excel&amp;utm_campaign=act_formato_excel&amp;utm_content=act_formato_excel_link" TargetMode="External"/><Relationship Id="rId289" Type="http://schemas.openxmlformats.org/officeDocument/2006/relationships/hyperlink" Target="https://actualicese.com/plantilla-del-formato-1007-para-el-reporte-de-exogena-2021-informacion-de-ingresos-propios/?referer=L-excel-formato&amp;utm_medium=act_formato_excel&amp;utm_source=act_formato_excel&amp;utm_campaign=act_formato_excel&amp;utm_content=act_formato_excel_link" TargetMode="External"/><Relationship Id="rId496" Type="http://schemas.openxmlformats.org/officeDocument/2006/relationships/hyperlink" Target="https://actualicese.com/lista-de-chequeo-de-revelaciones-seccion-21-provisiones-y-contingencias/?referer=L-excel-formato&amp;utm_medium=act_formato_excel&amp;utm_source=act_formato_excel&amp;utm_campaign=act_formato_excel&amp;utm_content=act_formato_excel_link" TargetMode="External"/><Relationship Id="rId2177" Type="http://schemas.openxmlformats.org/officeDocument/2006/relationships/hyperlink" Target="https://actualicese.com/simulador-para-contrastar-los-efectos-de-pertenecer-al-regimen-ordinario-del-impuesto-a-la-renta-o-al-regimen-simple-de-tributacion-ag-2024/?referer=L-excel-formato&amp;utm_medium=act_formato_excel&amp;utm_source=act_formato_excel&amp;utm_campaign=act_formato_excel&amp;utm_content=act_formato_excel_link" TargetMode="External"/><Relationship Id="rId2384" Type="http://schemas.openxmlformats.org/officeDocument/2006/relationships/hyperlink" Target="https://actualicese.com/plantilla-del-estado-de-costos-de-produccion-y-ventas/?referer=L-excel-formato&amp;utm_medium=act_formato_excel&amp;utm_source=act_formato_excel&amp;utm_campaign=act_formato_excel&amp;utm_content=act_formato_excel_link" TargetMode="External"/><Relationship Id="rId149" Type="http://schemas.openxmlformats.org/officeDocument/2006/relationships/hyperlink" Target="https://actualicese.com/caso-practico-sobre-liquidacion-de-sucesion-iliquida-e-impuesto-de-ganancia-ocasional/?referer=L-excel-formato&amp;utm_medium=act_formato_excel&amp;utm_source=act_formato_excel&amp;utm_campaign=act_formato_excel&amp;utm_content=act_formato_excel_link" TargetMode="External"/><Relationship Id="rId356" Type="http://schemas.openxmlformats.org/officeDocument/2006/relationships/hyperlink" Target="https://actualicese.com/pack-de-formatos-modelos-y-guias-para-asambleas-de-accionistas-socios-y-copropietarios/?referer=L-excel-formato&amp;utm_medium=act_formato_excel&amp;utm_source=act_formato_excel&amp;utm_campaign=act_formato_excel&amp;utm_content=act_formato_excel_link" TargetMode="External"/><Relationship Id="rId563" Type="http://schemas.openxmlformats.org/officeDocument/2006/relationships/hyperlink" Target="https://actualicese.com/lista-de-convenios-internacionales-para-evitar-la-doble-tributacion-ano-gravable-2020/?referer=L-excel-formato&amp;utm_medium=act_formato_excel&amp;utm_source=act_formato_excel&amp;utm_campaign=act_formato_excel&amp;utm_content=act_formato_excel_link" TargetMode="External"/><Relationship Id="rId770" Type="http://schemas.openxmlformats.org/officeDocument/2006/relationships/hyperlink" Target="https://actualicese.com/formatos-exogena-1005-y-1006-del-ano-gravable-2019-reportes-de-iva-generados-y-descontables/?referer=L-excel-formato&amp;utm_medium=act_formato_excel&amp;utm_source=act_formato_excel&amp;utm_campaign=act_formato_excel&amp;utm_content=act_formato_excel_link" TargetMode="External"/><Relationship Id="rId1193" Type="http://schemas.openxmlformats.org/officeDocument/2006/relationships/hyperlink" Target="https://actualicese.com/lista-de-chequeo-de-revelaciones-seccion-24-subvenciones-del-gobierno/?referer=L-excel-formato&amp;utm_medium=act_formato_excel&amp;utm_source=act_formato_excel&amp;utm_campaign=act_formato_excel&amp;utm_content=act_formato_excel_link" TargetMode="External"/><Relationship Id="rId2037" Type="http://schemas.openxmlformats.org/officeDocument/2006/relationships/hyperlink" Target="https://actualicese.com/liquidador-de-politica-de-recaudo-a-clientes-y-plantilla-de-control-de-cuentas-por-cobrar/?referer=L-excel-formato&amp;utm_medium=act_formato_excel&amp;utm_source=act_formato_excel&amp;utm_campaign=act_formato_excel&amp;utm_content=act_formato_excel_link" TargetMode="External"/><Relationship Id="rId2244" Type="http://schemas.openxmlformats.org/officeDocument/2006/relationships/hyperlink" Target="https://actualicese.com/caso-practico-de-liquidacion-de-nomina-cuando-hay-salario-integral/?referer=L-excel-formato&amp;utm_medium=act_formato_excel&amp;utm_source=act_formato_excel&amp;utm_campaign=act_formato_excel&amp;utm_content=act_formato_excel_link" TargetMode="External"/><Relationship Id="rId2451" Type="http://schemas.openxmlformats.org/officeDocument/2006/relationships/hyperlink" Target="https://actualicese.com/aportes-a-seguridad-social-para-trabajadores-independientes/?referer=L-excel-formato&amp;utm_medium=act_formato_excel&amp;utm_source=act_formato_excel&amp;utm_campaign=act_formato_excel&amp;utm_content=act_formato_excel_link" TargetMode="External"/><Relationship Id="rId216" Type="http://schemas.openxmlformats.org/officeDocument/2006/relationships/hyperlink" Target="https://actualicese.com/liquidador-de-porcentaje-fijo-de-retencion-en-la-fuente-sobre-salarios-en-junio-de-2022-procedimiento-2/?referer=L-excel-formato&amp;utm_medium=act_formato_excel&amp;utm_source=act_formato_excel&amp;utm_campaign=act_formato_excel&amp;utm_content=act_formato_excel_link" TargetMode="External"/><Relationship Id="rId423" Type="http://schemas.openxmlformats.org/officeDocument/2006/relationships/hyperlink" Target="https://actualicese.com/formulas-para-liquidacion-de-prestaciones-vacaciones-y-horas-extras/?referer=L-excel-formato&amp;utm_medium=act_formato_excel&amp;utm_source=act_formato_excel&amp;utm_campaign=act_formato_excel&amp;utm_content=act_formato_excel_link" TargetMode="External"/><Relationship Id="rId868" Type="http://schemas.openxmlformats.org/officeDocument/2006/relationships/hyperlink" Target="https://actualicese.com/clasificacion-general-de-personas-juridicas-frente-al-impuesto-de-renta-por-el-ano-gravable-2018/?referer=L-excel-formato&amp;utm_medium=act_formato_excel&amp;utm_source=act_formato_excel&amp;utm_campaign=act_formato_excel&amp;utm_content=act_formato_excel_link" TargetMode="External"/><Relationship Id="rId1053" Type="http://schemas.openxmlformats.org/officeDocument/2006/relationships/hyperlink" Target="https://actualicese.com/compromiso-de-fusion/?referer=L-excel-formato&amp;utm_medium=act_formato_excel&amp;utm_source=act_formato_excel&amp;utm_campaign=act_formato_excel&amp;utm_content=act_formato_excel_link" TargetMode="External"/><Relationship Id="rId1260" Type="http://schemas.openxmlformats.org/officeDocument/2006/relationships/hyperlink" Target="https://actualicese.com/lista-de-chequeo-de-revelaciones-seccion-5-estado-de-resultado-integral-y-estado-de-resultados/?referer=L-excel-formato&amp;utm_medium=act_formato_excel&amp;utm_source=act_formato_excel&amp;utm_campaign=act_formato_excel&amp;utm_content=act_formato_excel_link" TargetMode="External"/><Relationship Id="rId1498" Type="http://schemas.openxmlformats.org/officeDocument/2006/relationships/hyperlink" Target="https://actualicese.com/anexo-declaracion-de-renta-o-balance/?referer=L-excel-formato&amp;utm_medium=act_formato_excel&amp;utm_source=act_formato_excel&amp;utm_campaign=act_formato_excel&amp;utm_content=act_formato_excel_link" TargetMode="External"/><Relationship Id="rId2104" Type="http://schemas.openxmlformats.org/officeDocument/2006/relationships/hyperlink" Target="https://actualicese.com/calendario-tributario-2023-version-para-imprimir/?referer=L-excel-formato&amp;utm_medium=act_formato_excel&amp;utm_source=act_formato_excel&amp;utm_campaign=act_formato_excel&amp;utm_content=act_formato_excel_link" TargetMode="External"/><Relationship Id="rId630" Type="http://schemas.openxmlformats.org/officeDocument/2006/relationships/hyperlink" Target="https://actualicese.com/contrato-de-arrendamiento-de-local-comercial/?referer=L-excel-formato&amp;utm_medium=act_formato_excel&amp;utm_source=act_formato_excel&amp;utm_campaign=act_formato_excel&amp;utm_content=act_formato_excel_link" TargetMode="External"/><Relationship Id="rId728" Type="http://schemas.openxmlformats.org/officeDocument/2006/relationships/hyperlink" Target="https://actualicese.com/derecho-de-peticion-para-solicitar-informacion-sobre-afiliaciones-del-empleador-al-sgss/?referer=L-excel-formato&amp;utm_medium=act_formato_excel&amp;utm_source=act_formato_excel&amp;utm_campaign=act_formato_excel&amp;utm_content=act_formato_excel_link" TargetMode="External"/><Relationship Id="rId935" Type="http://schemas.openxmlformats.org/officeDocument/2006/relationships/hyperlink" Target="https://actualicese.com/solicitud-compensacion-de-vacaciones/?referer=L-excel-formato&amp;utm_medium=act_formato_excel&amp;utm_source=act_formato_excel&amp;utm_campaign=act_formato_excel&amp;utm_content=act_formato_excel_link" TargetMode="External"/><Relationship Id="rId1358" Type="http://schemas.openxmlformats.org/officeDocument/2006/relationships/hyperlink" Target="https://actualicese.com/basica-de-trabajo-incapacidad/?referer=L-excel-formato&amp;utm_medium=act_formato_excel&amp;utm_source=act_formato_excel&amp;utm_campaign=act_formato_excel&amp;utm_content=act_formato_excel_link" TargetMode="External"/><Relationship Id="rId1565" Type="http://schemas.openxmlformats.org/officeDocument/2006/relationships/hyperlink" Target="https://actualicese.com/reclamacion-directa-propuesto-por-la-sic/?referer=L-excel-formato&amp;utm_medium=act_formato_excel&amp;utm_source=act_formato_excel&amp;utm_campaign=act_formato_excel&amp;utm_content=act_formato_excel_link" TargetMode="External"/><Relationship Id="rId1772" Type="http://schemas.openxmlformats.org/officeDocument/2006/relationships/hyperlink" Target="https://actualicese.com/dictamenes-e-informes-del-revisor-fiscal-actualizados-al-2022/?referer=L-excel-formato&amp;utm_medium=act_formato_excel&amp;utm_source=act_formato_excel&amp;utm_campaign=act_formato_excel&amp;utm_content=act_formato_excel_link" TargetMode="External"/><Relationship Id="rId2311" Type="http://schemas.openxmlformats.org/officeDocument/2006/relationships/hyperlink" Target="https://actualicese.com/plantilla-para-el-control-y-auditoria-del-gasto-de-servicios-publicos/?referer=L-excel-formato&amp;utm_medium=act_formato_excel&amp;utm_source=act_formato_excel&amp;utm_campaign=act_formato_excel&amp;utm_content=act_formato_excel_link" TargetMode="External"/><Relationship Id="rId2409" Type="http://schemas.openxmlformats.org/officeDocument/2006/relationships/hyperlink" Target="https://actualicese.com/modelo-de-estructura-del-estado-de-resultados-y-ganancias-acumuladas/?referer=L-excel-formato&amp;utm_medium=act_formato_excel&amp;utm_source=act_formato_excel&amp;utm_campaign=act_formato_excel&amp;utm_content=act_formato_excel_link" TargetMode="External"/><Relationship Id="rId64" Type="http://schemas.openxmlformats.org/officeDocument/2006/relationships/hyperlink" Target="https://actualicese.com/nota-1-a-los-estados-financieros-bajo-el-estandar-internacional-para-pymes/?referer=L-excel-formato&amp;utm_medium=act_formato_excel&amp;utm_source=act_formato_excel&amp;utm_campaign=act_formato_excel&amp;utm_content=act_formato_excel_link" TargetMode="External"/><Relationship Id="rId1120" Type="http://schemas.openxmlformats.org/officeDocument/2006/relationships/hyperlink" Target="https://actualicese.com/formato-1003-por-2016-reportes-de-retenciones-que-le-practicaron-a-la-persona-o-entidad-informante/?referer=L-excel-formato&amp;utm_medium=act_formato_excel&amp;utm_source=act_formato_excel&amp;utm_campaign=act_formato_excel&amp;utm_content=act_formato_excel_link" TargetMode="External"/><Relationship Id="rId1218" Type="http://schemas.openxmlformats.org/officeDocument/2006/relationships/hyperlink" Target="https://actualicese.com/formato-unico-de-solicitud-de-certificacion-de-beneficios-ambientales/?referer=L-excel-formato&amp;utm_medium=act_formato_excel&amp;utm_source=act_formato_excel&amp;utm_campaign=act_formato_excel&amp;utm_content=act_formato_excel_link" TargetMode="External"/><Relationship Id="rId1425" Type="http://schemas.openxmlformats.org/officeDocument/2006/relationships/hyperlink" Target="https://actualicese.com/modelo-politica-contable-de-presentacion-y-revelacion-de-cuentas-por-cobrar/?referer=L-excel-formato&amp;utm_medium=act_formato_excel&amp;utm_source=act_formato_excel&amp;utm_campaign=act_formato_excel&amp;utm_content=act_formato_excel_link" TargetMode="External"/><Relationship Id="rId1632" Type="http://schemas.openxmlformats.org/officeDocument/2006/relationships/hyperlink" Target="https://actualicese.com/reclamacion-por-garantias-sobre-bienes-o-servicios/?referer=L-excel-formato&amp;utm_medium=act_formato_excel&amp;utm_source=act_formato_excel&amp;utm_campaign=act_formato_excel&amp;utm_content=act_formato_excel_link" TargetMode="External"/><Relationship Id="rId1937" Type="http://schemas.openxmlformats.org/officeDocument/2006/relationships/hyperlink" Target="https://actualicese.com/cuestionario-de-control-interno-de-provisiones-y-contingencias-en-excel/?referer=L-excel-formato&amp;utm_medium=act_formato_excel&amp;utm_source=act_formato_excel&amp;utm_campaign=act_formato_excel&amp;utm_content=act_formato_excel_link" TargetMode="External"/><Relationship Id="rId2199" Type="http://schemas.openxmlformats.org/officeDocument/2006/relationships/hyperlink" Target="https://actualicese.com/certificado-de-dependientes-para-efectos-de-deduccion-en-la-declaracion-de-renta/?referer=L-excel-formato&amp;utm_medium=act_formato_excel&amp;utm_source=act_formato_excel&amp;utm_campaign=act_formato_excel&amp;utm_content=act_formato_excel_link" TargetMode="External"/><Relationship Id="rId280" Type="http://schemas.openxmlformats.org/officeDocument/2006/relationships/hyperlink" Target="https://actualicese.com/plantilla-del-formato-1001-por-el-ano-gravable-2021-reporte-de-exogena-de-pagos-o-abonos-en-cuenta/?referer=L-excel-formato&amp;utm_medium=act_formato_excel&amp;utm_source=act_formato_excel&amp;utm_campaign=act_formato_excel&amp;utm_content=act_formato_excel_link" TargetMode="External"/><Relationship Id="rId140" Type="http://schemas.openxmlformats.org/officeDocument/2006/relationships/hyperlink" Target="https://actualicese.com/formulario-160-ag-2022-para-la-declaracion-de-activos-en-el-exterior/?referer=L-excel-formato&amp;utm_medium=act_formato_excel&amp;utm_source=act_formato_excel&amp;utm_campaign=act_formato_excel&amp;utm_content=act_formato_excel_link" TargetMode="External"/><Relationship Id="rId378" Type="http://schemas.openxmlformats.org/officeDocument/2006/relationships/hyperlink" Target="https://actualicese.com/segunda-convocatoria-de-asamblea-de-accionistas-o-junta-de-socios/?referer=L-excel-formato&amp;utm_medium=act_formato_excel&amp;utm_source=act_formato_excel&amp;utm_campaign=act_formato_excel&amp;utm_content=act_formato_excel_link" TargetMode="External"/><Relationship Id="rId585" Type="http://schemas.openxmlformats.org/officeDocument/2006/relationships/hyperlink" Target="https://actualicese.com/matriz-de-caracteristicas-basicas-de-la-depuracion-de-las-3-cedulas-del-formulario-210-ag-2020/?referer=L-excel-formato&amp;utm_medium=act_formato_excel&amp;utm_source=act_formato_excel&amp;utm_campaign=act_formato_excel&amp;utm_content=act_formato_excel_link" TargetMode="External"/><Relationship Id="rId792" Type="http://schemas.openxmlformats.org/officeDocument/2006/relationships/hyperlink" Target="https://actualicese.com/retencion-en-la-fuente-con-procedimiento-1-sobre-rentas-de-trabajo-durante-2020/?referer=L-excel-formato&amp;utm_medium=act_formato_excel&amp;utm_source=act_formato_excel&amp;utm_campaign=act_formato_excel&amp;utm_content=act_formato_excel_link" TargetMode="External"/><Relationship Id="rId2059" Type="http://schemas.openxmlformats.org/officeDocument/2006/relationships/hyperlink" Target="https://actualicese.com/caso-practico-calculo-del-valor-a-adicionar-y-limites-de-beneficios-tributarios/?referer=L-excel-formato&amp;utm_medium=act_formato_excel&amp;utm_source=act_formato_excel&amp;utm_campaign=act_formato_excel&amp;utm_content=act_formato_excel_link" TargetMode="External"/><Relationship Id="rId2266" Type="http://schemas.openxmlformats.org/officeDocument/2006/relationships/hyperlink" Target="https://actualicese.com/liquidador-y-caso-practico-para-calcular-y-contabilizar-horas-extra-y-recargos-durante-la-reduccion-de-la-jornada-laboral-en-2024/?referer=L-excel-formato&amp;utm_medium=act_formato_excel&amp;utm_source=act_formato_excel&amp;utm_campaign=act_formato_excel&amp;utm_content=act_formato_excel_link" TargetMode="External"/><Relationship Id="rId6" Type="http://schemas.openxmlformats.org/officeDocument/2006/relationships/hyperlink" Target="https://actualicese.com/formato-capital-de-trabajo/?referer=L-excel-formato&amp;utm_medium=act_formato_excel&amp;utm_source=act_formato_excel&amp;utm_campaign=act_formato_excel&amp;utm_content=act_formato_excel_link" TargetMode="External"/><Relationship Id="rId238" Type="http://schemas.openxmlformats.org/officeDocument/2006/relationships/hyperlink" Target="https://actualicese.com/modelo-de-contrato-laboral-de-servicio-domestico/?referer=L-excel-formato&amp;utm_medium=act_formato_excel&amp;utm_source=act_formato_excel&amp;utm_campaign=act_formato_excel&amp;utm_content=act_formato_excel_link" TargetMode="External"/><Relationship Id="rId445" Type="http://schemas.openxmlformats.org/officeDocument/2006/relationships/hyperlink" Target="https://actualicese.com/modelo-para-definir-si-una-persona-natural-esta-obligada-a-declarar-renta/?referer=L-excel-formato&amp;utm_medium=act_formato_excel&amp;utm_source=act_formato_excel&amp;utm_campaign=act_formato_excel&amp;utm_content=act_formato_excel_link" TargetMode="External"/><Relationship Id="rId652" Type="http://schemas.openxmlformats.org/officeDocument/2006/relationships/hyperlink" Target="https://actualicese.com/modelo-del-certificado-anual-para-socios-y-o-accionistas-por-el-ano-2020/?referer=L-excel-formato&amp;utm_medium=act_formato_excel&amp;utm_source=act_formato_excel&amp;utm_campaign=act_formato_excel&amp;utm_content=act_formato_excel_link" TargetMode="External"/><Relationship Id="rId1075" Type="http://schemas.openxmlformats.org/officeDocument/2006/relationships/hyperlink" Target="https://actualicese.com/prorrateo-de-iva-comunes-hoja-de-trabajo-con-calculos-basicos/?referer=L-excel-formato&amp;utm_medium=act_formato_excel&amp;utm_source=act_formato_excel&amp;utm_campaign=act_formato_excel&amp;utm_content=act_formato_excel_link" TargetMode="External"/><Relationship Id="rId1282" Type="http://schemas.openxmlformats.org/officeDocument/2006/relationships/hyperlink" Target="https://actualicese.com/certificado-por-retencion-en-la-fuente-a-titulo-del-impuesto-de-timbre/?referer=L-excel-formato&amp;utm_medium=act_formato_excel&amp;utm_source=act_formato_excel&amp;utm_campaign=act_formato_excel&amp;utm_content=act_formato_excel_link" TargetMode="External"/><Relationship Id="rId2126" Type="http://schemas.openxmlformats.org/officeDocument/2006/relationships/hyperlink" Target="https://actualicese.com/cuadro-comparativo-de-regimenes-pensionales-en-colombia/?referer=L-excel-formato&amp;utm_medium=act_formato_excel&amp;utm_source=act_formato_excel&amp;utm_campaign=act_formato_excel&amp;utm_content=act_formato_excel_link" TargetMode="External"/><Relationship Id="rId2333" Type="http://schemas.openxmlformats.org/officeDocument/2006/relationships/hyperlink" Target="https://actualicese.com/simulador-para-comparar-creditos-bancarios-con-tabla-de-amortizacion/?referer=L-excel-formato&amp;utm_medium=act_formato_excel&amp;utm_source=act_formato_excel&amp;utm_campaign=act_formato_excel&amp;utm_content=act_formato_excel_link" TargetMode="External"/><Relationship Id="rId305" Type="http://schemas.openxmlformats.org/officeDocument/2006/relationships/hyperlink" Target="https://actualicese.com/2022-historico-de-la-variacion-nominal-del-salario-minimo-vs-la-inflacion-1993-2021/?referer=L-excel-formato&amp;utm_medium=act_formato_excel&amp;utm_source=act_formato_excel&amp;utm_campaign=act_formato_excel&amp;utm_content=act_formato_excel_link" TargetMode="External"/><Relationship Id="rId512" Type="http://schemas.openxmlformats.org/officeDocument/2006/relationships/hyperlink" Target="https://actualicese.com/formatos-para-la-implementacion-del-control-de-calidad-y-etica-en-la-ejecucion-de-encargos-de-auditoria/?referer=L-excel-formato&amp;utm_medium=act_formato_excel&amp;utm_source=act_formato_excel&amp;utm_campaign=act_formato_excel&amp;utm_content=act_formato_excel_link" TargetMode="External"/><Relationship Id="rId957" Type="http://schemas.openxmlformats.org/officeDocument/2006/relationships/hyperlink" Target="https://actualicese.com/declaracion-de-renta-ano-gravable-2017-indicadores-y-otros-datos-basicos-para-su-elaboracion/?referer=L-excel-formato&amp;utm_medium=act_formato_excel&amp;utm_source=act_formato_excel&amp;utm_campaign=act_formato_excel&amp;utm_content=act_formato_excel_link" TargetMode="External"/><Relationship Id="rId1142" Type="http://schemas.openxmlformats.org/officeDocument/2006/relationships/hyperlink" Target="https://actualicese.com/derecho-de-peticion-de-interes-particular-contra-empresa-de-servicios-publicos-esp/?referer=L-excel-formato&amp;utm_medium=act_formato_excel&amp;utm_source=act_formato_excel&amp;utm_campaign=act_formato_excel&amp;utm_content=act_formato_excel_link" TargetMode="External"/><Relationship Id="rId1587" Type="http://schemas.openxmlformats.org/officeDocument/2006/relationships/hyperlink" Target="https://actualicese.com/modelo-informe-en-propiedad-horizontal-con-salvedad/?referer=L-excel-formato&amp;utm_medium=act_formato_excel&amp;utm_source=act_formato_excel&amp;utm_campaign=act_formato_excel&amp;utm_content=act_formato_excel_link" TargetMode="External"/><Relationship Id="rId1794" Type="http://schemas.openxmlformats.org/officeDocument/2006/relationships/hyperlink" Target="https://actualicese.com/carta-para-notificar-la-exclusion-de-un-socio-de-la-sociedad/?referer=L-excel-formato&amp;utm_medium=act_formato_excel&amp;utm_source=act_formato_excel&amp;utm_campaign=act_formato_excel&amp;utm_content=act_formato_excel_link" TargetMode="External"/><Relationship Id="rId2400" Type="http://schemas.openxmlformats.org/officeDocument/2006/relationships/hyperlink" Target="https://actualicese.com/simulador-de-estado-de-situacion-financiera-analisis-comparativo/?referer=L-excel-formato&amp;utm_medium=act_formato_excel&amp;utm_source=act_formato_excel&amp;utm_campaign=act_formato_excel&amp;utm_content=act_formato_excel_link" TargetMode="External"/><Relationship Id="rId86" Type="http://schemas.openxmlformats.org/officeDocument/2006/relationships/hyperlink" Target="https://actualicese.com/caso-practico-de-baja-de-cuentas-por-cobrar/?referer=L-excel-formato&amp;utm_medium=act_formato_excel&amp;utm_source=act_formato_excel&amp;utm_campaign=act_formato_excel&amp;utm_content=act_formato_excel_link" TargetMode="External"/><Relationship Id="rId817" Type="http://schemas.openxmlformats.org/officeDocument/2006/relationships/hyperlink" Target="https://actualicese.com/terminacion-de-contrato-justa-causa/?referer=L-excel-formato&amp;utm_medium=act_formato_excel&amp;utm_source=act_formato_excel&amp;utm_campaign=act_formato_excel&amp;utm_content=act_formato_excel_link" TargetMode="External"/><Relationship Id="rId1002" Type="http://schemas.openxmlformats.org/officeDocument/2006/relationships/hyperlink" Target="https://actualicese.com/testamento-abierto-o-publico-cuando-no-hay-hijos-herederos/?referer=L-excel-formato&amp;utm_medium=act_formato_excel&amp;utm_source=act_formato_excel&amp;utm_campaign=act_formato_excel&amp;utm_content=act_formato_excel_link" TargetMode="External"/><Relationship Id="rId1447" Type="http://schemas.openxmlformats.org/officeDocument/2006/relationships/hyperlink" Target="https://actualicese.com/modelo-para-proyectar-efectos-2014-del-imas-en-la-declaracion-de-renta-de-los-trabjadores-por-cuenta-propia/?referer=L-excel-formato&amp;utm_medium=act_formato_excel&amp;utm_source=act_formato_excel&amp;utm_campaign=act_formato_excel&amp;utm_content=act_formato_excel_link" TargetMode="External"/><Relationship Id="rId1654" Type="http://schemas.openxmlformats.org/officeDocument/2006/relationships/hyperlink" Target="https://actualicese.com/liquidador-casos-practicos-de-liquidacion-de-aportes-a-seguridad-social-de-independientes-cuenta-propia-y-rentistas-de-capital/?referer=L-excel-formato&amp;utm_medium=act_formato_excel&amp;utm_source=act_formato_excel&amp;utm_campaign=act_formato_excel&amp;utm_content=act_formato_excel_link" TargetMode="External"/><Relationship Id="rId1861" Type="http://schemas.openxmlformats.org/officeDocument/2006/relationships/hyperlink" Target="https://actualicese.com/plantilla-de-los-formatos-1005-y-1006-de-exogena-2022-para-el-reporte-del-iva-descontable-e-iva-y-o-inc-generados/?referer=L-excel-formato&amp;utm_medium=act_formato_excel&amp;utm_source=act_formato_excel&amp;utm_campaign=act_formato_excel&amp;utm_content=act_formato_excel_link" TargetMode="External"/><Relationship Id="rId1307" Type="http://schemas.openxmlformats.org/officeDocument/2006/relationships/hyperlink" Target="https://actualicese.com/formatos-1016-1017-1018-1027-1054-y-1055-reportes-de-los-mandatarios-en-contratos-de-mandato-ano-gravable-2015/?referer=L-excel-formato&amp;utm_medium=act_formato_excel&amp;utm_source=act_formato_excel&amp;utm_campaign=act_formato_excel&amp;utm_content=act_formato_excel_link" TargetMode="External"/><Relationship Id="rId1514" Type="http://schemas.openxmlformats.org/officeDocument/2006/relationships/hyperlink" Target="https://actualicese.com/cuadro-tematico-con-los-cambios-introducidos-por-la-reforma-tributaria-ley-1739-de-2014/?referer=L-excel-formato&amp;utm_medium=act_formato_excel&amp;utm_source=act_formato_excel&amp;utm_campaign=act_formato_excel&amp;utm_content=act_formato_excel_link" TargetMode="External"/><Relationship Id="rId1721" Type="http://schemas.openxmlformats.org/officeDocument/2006/relationships/hyperlink" Target="https://actualicese.com/modelo-calculo-de-intereses-sobre-las-cesantias/?referer=L-excel-formato&amp;utm_medium=act_formato_excel&amp;utm_source=act_formato_excel&amp;utm_campaign=act_formato_excel&amp;utm_content=act_formato_excel_link" TargetMode="External"/><Relationship Id="rId1959" Type="http://schemas.openxmlformats.org/officeDocument/2006/relationships/hyperlink" Target="https://actualicese.com/carta-para-autorizar-descuento-en-salario-por-libranza/?referer=L-excel-formato&amp;utm_medium=act_formato_excel&amp;utm_source=act_formato_excel&amp;utm_campaign=act_formato_excel&amp;utm_content=act_formato_excel_link" TargetMode="External"/><Relationship Id="rId13" Type="http://schemas.openxmlformats.org/officeDocument/2006/relationships/hyperlink" Target="https://actualicese.com/guia-en-excel-para-determinar-el-control-de-una-entidad-sobre-otra/?referer=L-excel-formato&amp;utm_medium=act_formato_excel&amp;utm_source=act_formato_excel&amp;utm_campaign=act_formato_excel&amp;utm_content=act_formato_excel_link" TargetMode="External"/><Relationship Id="rId1819" Type="http://schemas.openxmlformats.org/officeDocument/2006/relationships/hyperlink" Target="https://actualicese.com/matriz-de-categorias-para-el-reporte-de-informacion-exogena-y-los-formatos-para-el-ag-2022/?referer=L-excel-formato&amp;utm_medium=act_formato_excel&amp;utm_source=act_formato_excel&amp;utm_campaign=act_formato_excel&amp;utm_content=act_formato_excel_link" TargetMode="External"/><Relationship Id="rId2190" Type="http://schemas.openxmlformats.org/officeDocument/2006/relationships/hyperlink" Target="https://actualicese.com/carta-entrega-de-dotacion/?referer=L-excel-formato&amp;utm_medium=act_formato_excel&amp;utm_source=act_formato_excel&amp;utm_campaign=act_formato_excel&amp;utm_content=act_formato_excel_link" TargetMode="External"/><Relationship Id="rId2288" Type="http://schemas.openxmlformats.org/officeDocument/2006/relationships/hyperlink" Target="https://actualicese.com/solicitud-pago-de-acreencias-laborales/?referer=L-excel-formato&amp;utm_medium=act_formato_excel&amp;utm_source=act_formato_excel&amp;utm_campaign=act_formato_excel&amp;utm_content=act_formato_excel_link" TargetMode="External"/><Relationship Id="rId162" Type="http://schemas.openxmlformats.org/officeDocument/2006/relationships/hyperlink" Target="https://actualicese.com/modelo-de-politica-de-desconexion-laboral/?referer=L-excel-formato&amp;utm_medium=act_formato_excel&amp;utm_source=act_formato_excel&amp;utm_campaign=act_formato_excel&amp;utm_content=act_formato_excel_link" TargetMode="External"/><Relationship Id="rId467" Type="http://schemas.openxmlformats.org/officeDocument/2006/relationships/hyperlink" Target="https://actualicese.com/indicadores-financieros-margenes-de-utilidad-o-rentabilidad/?referer=L-excel-formato&amp;utm_medium=act_formato_excel&amp;utm_source=act_formato_excel&amp;utm_campaign=act_formato_excel&amp;utm_content=act_formato_excel_link" TargetMode="External"/><Relationship Id="rId1097" Type="http://schemas.openxmlformats.org/officeDocument/2006/relationships/hyperlink" Target="https://actualicese.com/reclamacion-ante-empresas-de-telefonia-celular-por-reporte-negativo-a-centrales-de-riesgo/?referer=L-excel-formato&amp;utm_medium=act_formato_excel&amp;utm_source=act_formato_excel&amp;utm_campaign=act_formato_excel&amp;utm_content=act_formato_excel_link" TargetMode="External"/><Relationship Id="rId2050" Type="http://schemas.openxmlformats.org/officeDocument/2006/relationships/hyperlink" Target="https://actualicese.com/modelo-en-excel-calculo-de-intereses-presuntivos-en-2023-sobre-prestamos-entre-socios-y-sociedades/?referer=L-excel-formato&amp;utm_medium=act_formato_excel&amp;utm_source=act_formato_excel&amp;utm_campaign=act_formato_excel&amp;utm_content=act_formato_excel_link" TargetMode="External"/><Relationship Id="rId2148" Type="http://schemas.openxmlformats.org/officeDocument/2006/relationships/hyperlink" Target="https://actualicese.com/calendario-para-pago-de-aportes-a-seguridad-social-para-empleadores-e-independientes-2023-2024/?referer=L-excel-formato&amp;utm_medium=act_formato_excel&amp;utm_source=act_formato_excel&amp;utm_campaign=act_formato_excel&amp;utm_content=act_formato_excel_link" TargetMode="External"/><Relationship Id="rId674" Type="http://schemas.openxmlformats.org/officeDocument/2006/relationships/hyperlink" Target="https://actualicese.com/porcentaje-fijo-de-retencion-en-la-fuente-sobre-salarios-en-diciembre-de-2020-procedimiento-2/?referer=L-excel-formato&amp;utm_medium=act_formato_excel&amp;utm_source=act_formato_excel&amp;utm_campaign=act_formato_excel&amp;utm_content=act_formato_excel_link" TargetMode="External"/><Relationship Id="rId881" Type="http://schemas.openxmlformats.org/officeDocument/2006/relationships/hyperlink" Target="https://actualicese.com/cambios-en-el-impuesto-de-renta-de-las-personas-naturales-luego-de-la-ley-de-financiamiento/?referer=L-excel-formato&amp;utm_medium=act_formato_excel&amp;utm_source=act_formato_excel&amp;utm_campaign=act_formato_excel&amp;utm_content=act_formato_excel_link" TargetMode="External"/><Relationship Id="rId979" Type="http://schemas.openxmlformats.org/officeDocument/2006/relationships/hyperlink" Target="https://actualicese.com/oficio-de-cumplimiento-de-la-circular-156-000005-de-2011/?referer=L-excel-formato&amp;utm_medium=act_formato_excel&amp;utm_source=act_formato_excel&amp;utm_campaign=act_formato_excel&amp;utm_content=act_formato_excel_link" TargetMode="External"/><Relationship Id="rId2355" Type="http://schemas.openxmlformats.org/officeDocument/2006/relationships/hyperlink" Target="https://actualicese.com/hoja-de-costos-en-excel/?referer=L-excel-formato&amp;utm_medium=act_formato_excel&amp;utm_source=act_formato_excel&amp;utm_campaign=act_formato_excel&amp;utm_content=act_formato_excel_link" TargetMode="External"/><Relationship Id="rId327" Type="http://schemas.openxmlformats.org/officeDocument/2006/relationships/hyperlink" Target="https://actualicese.com/informe-de-verificacion-del-cumplimiento-de-los-requerimientos-del-paef-segun-la-nisr-4400/?referer=L-excel-formato&amp;utm_medium=act_formato_excel&amp;utm_source=act_formato_excel&amp;utm_campaign=act_formato_excel&amp;utm_content=act_formato_excel_link" TargetMode="External"/><Relationship Id="rId534" Type="http://schemas.openxmlformats.org/officeDocument/2006/relationships/hyperlink" Target="https://actualicese.com/impuesto-diferido-por-valoracion-de-propiedades-de-inversion-en-2021-caso-practico-en-excel/?referer=L-excel-formato&amp;utm_medium=act_formato_excel&amp;utm_source=act_formato_excel&amp;utm_campaign=act_formato_excel&amp;utm_content=act_formato_excel_link" TargetMode="External"/><Relationship Id="rId741" Type="http://schemas.openxmlformats.org/officeDocument/2006/relationships/hyperlink" Target="https://actualicese.com/solicitud-de-trabajador-incorporacion-teletrabajo/?referer=L-excel-formato&amp;utm_medium=act_formato_excel&amp;utm_source=act_formato_excel&amp;utm_campaign=act_formato_excel&amp;utm_content=act_formato_excel_link" TargetMode="External"/><Relationship Id="rId839" Type="http://schemas.openxmlformats.org/officeDocument/2006/relationships/hyperlink" Target="https://actualicese.com/reglamentacion-a-tener-en-cuenta-en-la-declaracion-de-renta-de-personas-naturales-ano-gravable-2018/?referer=L-excel-formato&amp;utm_medium=act_formato_excel&amp;utm_source=act_formato_excel&amp;utm_campaign=act_formato_excel&amp;utm_content=act_formato_excel_link" TargetMode="External"/><Relationship Id="rId1164" Type="http://schemas.openxmlformats.org/officeDocument/2006/relationships/hyperlink" Target="https://actualicese.com/cuadro-tematico-con-los-cambios-introducidos-por-la-ley-de-reforma-tributaria-1819-de-2016/?referer=L-excel-formato&amp;utm_medium=act_formato_excel&amp;utm_source=act_formato_excel&amp;utm_campaign=act_formato_excel&amp;utm_content=act_formato_excel_link" TargetMode="External"/><Relationship Id="rId1371" Type="http://schemas.openxmlformats.org/officeDocument/2006/relationships/hyperlink" Target="https://actualicese.com/planilla-de-circularizaciones/?referer=L-excel-formato&amp;utm_medium=act_formato_excel&amp;utm_source=act_formato_excel&amp;utm_campaign=act_formato_excel&amp;utm_content=act_formato_excel_link" TargetMode="External"/><Relationship Id="rId1469" Type="http://schemas.openxmlformats.org/officeDocument/2006/relationships/hyperlink" Target="https://actualicese.com/oro-formularios-110-y-140-con-anexos-y-formato-1732-para-personas-juridicas-ano-gravable-2014/?referer=L-excel-formato&amp;utm_medium=act_formato_excel&amp;utm_source=act_formato_excel&amp;utm_campaign=act_formato_excel&amp;utm_content=act_formato_excel_link" TargetMode="External"/><Relationship Id="rId2008" Type="http://schemas.openxmlformats.org/officeDocument/2006/relationships/hyperlink" Target="https://actualicese.com/pack-de-formatos-en-excel-para-calcular-el-impuesto-diferido-en-2023-guias-casos-practicos-y-mas/?referer=L-excel-formato&amp;utm_medium=act_formato_excel&amp;utm_source=act_formato_excel&amp;utm_campaign=act_formato_excel&amp;utm_content=act_formato_excel_link" TargetMode="External"/><Relationship Id="rId2215" Type="http://schemas.openxmlformats.org/officeDocument/2006/relationships/hyperlink" Target="https://actualicese.com/guia-clasificacion-de-las-personas-juridicas-frente-al-impuesto-de-renta-y-el-simple-ag-2023/?referer=L-excel-formato&amp;utm_medium=act_formato_excel&amp;utm_source=act_formato_excel&amp;utm_campaign=act_formato_excel&amp;utm_content=act_formato_excel_link" TargetMode="External"/><Relationship Id="rId2422" Type="http://schemas.openxmlformats.org/officeDocument/2006/relationships/hyperlink" Target="https://actualicese.com/responsabilidad-en-seguridad-social-de-trabajadores-independientes/?referer=L-excel-formato&amp;utm_medium=act_formato_excel&amp;utm_source=act_formato_excel&amp;utm_campaign=act_formato_excel&amp;utm_content=act_formato_excel_link" TargetMode="External"/><Relationship Id="rId601" Type="http://schemas.openxmlformats.org/officeDocument/2006/relationships/hyperlink" Target="https://actualicese.com/prestacion-de-servicios/?referer=L-excel-formato&amp;utm_medium=act_formato_excel&amp;utm_source=act_formato_excel&amp;utm_campaign=act_formato_excel&amp;utm_content=act_formato_excel_link" TargetMode="External"/><Relationship Id="rId1024" Type="http://schemas.openxmlformats.org/officeDocument/2006/relationships/hyperlink" Target="https://actualicese.com/contrato-de-comodato/?referer=L-excel-formato&amp;utm_medium=act_formato_excel&amp;utm_source=act_formato_excel&amp;utm_campaign=act_formato_excel&amp;utm_content=act_formato_excel_link" TargetMode="External"/><Relationship Id="rId1231" Type="http://schemas.openxmlformats.org/officeDocument/2006/relationships/hyperlink" Target="https://actualicese.com/matriz-para-definir-si-una-persona-natural-esta-obligada-a-declarar-renta-por-el-2015/?referer=L-excel-formato&amp;utm_medium=act_formato_excel&amp;utm_source=act_formato_excel&amp;utm_campaign=act_formato_excel&amp;utm_content=act_formato_excel_link" TargetMode="External"/><Relationship Id="rId1676" Type="http://schemas.openxmlformats.org/officeDocument/2006/relationships/hyperlink" Target="https://actualicese.com/funciones-responsabilidades-y-conocimientos-para-aplicar-al-cargo-de-contador-general-de-una-empresa/?referer=L-excel-formato&amp;utm_medium=act_formato_excel&amp;utm_source=act_formato_excel&amp;utm_campaign=act_formato_excel&amp;utm_content=act_formato_excel_link" TargetMode="External"/><Relationship Id="rId1883" Type="http://schemas.openxmlformats.org/officeDocument/2006/relationships/hyperlink" Target="https://actualicese.com/casos-practicos-de-criptoactivos-de-una-persona-natural-en-la-declaracion-de-renta-ag-2022/?referer=L-excel-formato&amp;utm_medium=act_formato_excel&amp;utm_source=act_formato_excel&amp;utm_campaign=act_formato_excel&amp;utm_content=act_formato_excel_link" TargetMode="External"/><Relationship Id="rId906" Type="http://schemas.openxmlformats.org/officeDocument/2006/relationships/hyperlink" Target="https://actualicese.com/disminucion-de-la-base-de-retencion-por-pagos-a-terceros-por-concepto-de-alimentacion/?referer=L-excel-formato&amp;utm_medium=act_formato_excel&amp;utm_source=act_formato_excel&amp;utm_campaign=act_formato_excel&amp;utm_content=act_formato_excel_link" TargetMode="External"/><Relationship Id="rId1329" Type="http://schemas.openxmlformats.org/officeDocument/2006/relationships/hyperlink" Target="https://actualicese.com/lista-de-chequeo-de-revelaciones-nic-26-planes-de-beneficio-por-retiro/?referer=L-excel-formato&amp;utm_medium=act_formato_excel&amp;utm_source=act_formato_excel&amp;utm_campaign=act_formato_excel&amp;utm_content=act_formato_excel_link" TargetMode="External"/><Relationship Id="rId1536" Type="http://schemas.openxmlformats.org/officeDocument/2006/relationships/hyperlink" Target="https://actualicese.com/formulario-110-adaptado-a-declaracion-2013-de-personas-naturales-version-basica/?referer=L-excel-formato&amp;utm_medium=act_formato_excel&amp;utm_source=act_formato_excel&amp;utm_campaign=act_formato_excel&amp;utm_content=act_formato_excel_link" TargetMode="External"/><Relationship Id="rId1743" Type="http://schemas.openxmlformats.org/officeDocument/2006/relationships/hyperlink" Target="https://actualicese.com/indicadores-financieros-de-liquidez/?referer=L-excel-formato&amp;utm_medium=act_formato_excel&amp;utm_source=act_formato_excel&amp;utm_campaign=act_formato_excel&amp;utm_content=act_formato_excel_link" TargetMode="External"/><Relationship Id="rId1950" Type="http://schemas.openxmlformats.org/officeDocument/2006/relationships/hyperlink" Target="https://actualicese.com/ejercicios-de-conversion-entre-tasas-de-interes-efectiva-nominal-y-periodica/?referer=L-excel-formato&amp;utm_medium=act_formato_excel&amp;utm_source=act_formato_excel&amp;utm_campaign=act_formato_excel&amp;utm_content=act_formato_excel_link" TargetMode="External"/><Relationship Id="rId35" Type="http://schemas.openxmlformats.org/officeDocument/2006/relationships/hyperlink" Target="https://actualicese.com/liquidador-caso-practico-en-excel-contabilizacion-de-ajustes-por-conciliacion-bancaria/?referer=L-excel-formato&amp;utm_medium=act_formato_excel&amp;utm_source=act_formato_excel&amp;utm_campaign=act_formato_excel&amp;utm_content=act_formato_excel_link" TargetMode="External"/><Relationship Id="rId1603" Type="http://schemas.openxmlformats.org/officeDocument/2006/relationships/hyperlink" Target="https://actualicese.com/word-acta-para-transformacion-de-sociedad-comanditaria-por-acciones-a-sas/?referer=L-excel-formato&amp;utm_medium=act_formato_excel&amp;utm_source=act_formato_excel&amp;utm_campaign=act_formato_excel&amp;utm_content=act_formato_excel_link" TargetMode="External"/><Relationship Id="rId1810" Type="http://schemas.openxmlformats.org/officeDocument/2006/relationships/hyperlink" Target="https://actualicese.com/guia-en-excel-para-evitar-errores-en-la-presentacion-de-informacion-exogena/?referer=L-excel-formato&amp;utm_medium=act_formato_excel&amp;utm_source=act_formato_excel&amp;utm_campaign=act_formato_excel&amp;utm_content=act_formato_excel_link" TargetMode="External"/><Relationship Id="rId184" Type="http://schemas.openxmlformats.org/officeDocument/2006/relationships/hyperlink" Target="https://actualicese.com/liquidador-casos-practicos-de-contabilizacion-de-donaciones/?referer=L-excel-formato&amp;utm_medium=act_formato_excel&amp;utm_source=act_formato_excel&amp;utm_campaign=act_formato_excel&amp;utm_content=act_formato_excel_link" TargetMode="External"/><Relationship Id="rId391" Type="http://schemas.openxmlformats.org/officeDocument/2006/relationships/hyperlink" Target="https://actualicese.com/aviso-de-pago-de-salarios-y-prestaciones-sociales-de-trabajador-fallecido/?referer=L-excel-formato&amp;utm_medium=act_formato_excel&amp;utm_source=act_formato_excel&amp;utm_campaign=act_formato_excel&amp;utm_content=act_formato_excel_link" TargetMode="External"/><Relationship Id="rId1908"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072" Type="http://schemas.openxmlformats.org/officeDocument/2006/relationships/hyperlink" Target="https://actualicese.com/impuesto-diferido-ante-deterioro-de-cartera-en-2023-caso-practico-en-excel/?referer=L-excel-formato&amp;utm_medium=act_formato_excel&amp;utm_source=act_formato_excel&amp;utm_campaign=act_formato_excel&amp;utm_content=act_formato_excel_link" TargetMode="External"/><Relationship Id="rId251" Type="http://schemas.openxmlformats.org/officeDocument/2006/relationships/hyperlink" Target="https://actualicese.com/excel-del-formulario-2593-ag-2022-declaracion-de-anticipos-bimestrales-regimen-simple/?referer=L-excel-formato&amp;utm_medium=act_formato_excel&amp;utm_source=act_formato_excel&amp;utm_campaign=act_formato_excel&amp;utm_content=act_formato_excel_link" TargetMode="External"/><Relationship Id="rId489" Type="http://schemas.openxmlformats.org/officeDocument/2006/relationships/hyperlink" Target="https://actualicese.com/matriz-novedades-en-el-sistema-de-facturacion-con-la-reforma-tributaria-ley-2155-de-2021/?referer=L-excel-formato&amp;utm_medium=act_formato_excel&amp;utm_source=act_formato_excel&amp;utm_campaign=act_formato_excel&amp;utm_content=act_formato_excel_link" TargetMode="External"/><Relationship Id="rId696" Type="http://schemas.openxmlformats.org/officeDocument/2006/relationships/hyperlink" Target="https://actualicese.com/anticresis/?referer=L-excel-formato&amp;utm_medium=act_formato_excel&amp;utm_source=act_formato_excel&amp;utm_campaign=act_formato_excel&amp;utm_content=act_formato_excel_link" TargetMode="External"/><Relationship Id="rId2377" Type="http://schemas.openxmlformats.org/officeDocument/2006/relationships/hyperlink" Target="https://actualicese.com/amortizacion-de-contrato-de-leasing/?referer=L-excel-formato&amp;utm_medium=act_formato_excel&amp;utm_source=act_formato_excel&amp;utm_campaign=act_formato_excel&amp;utm_content=act_formato_excel_link" TargetMode="External"/><Relationship Id="rId349" Type="http://schemas.openxmlformats.org/officeDocument/2006/relationships/hyperlink" Target="https://actualicese.com/informe-de-revisor-fiscal-bajo-nia-701-comunicacion-de-las-cuestiones-clave-de-auditoria/?referer=L-excel-formato&amp;utm_medium=act_formato_excel&amp;utm_source=act_formato_excel&amp;utm_campaign=act_formato_excel&amp;utm_content=act_formato_excel_link" TargetMode="External"/><Relationship Id="rId556" Type="http://schemas.openxmlformats.org/officeDocument/2006/relationships/hyperlink" Target="https://actualicese.com/hoja-de-costos-en-excel/?referer=L-excel-formato&amp;utm_medium=act_formato_excel&amp;utm_source=act_formato_excel&amp;utm_campaign=act_formato_excel&amp;utm_content=act_formato_excel_link" TargetMode="External"/><Relationship Id="rId763" Type="http://schemas.openxmlformats.org/officeDocument/2006/relationships/hyperlink" Target="https://actualicese.com/formato-exogena-1004-de-2019-reporte-de-descuentos-al-impuesto-de-renta-y-regimen-simple/?referer=L-excel-formato&amp;utm_medium=act_formato_excel&amp;utm_source=act_formato_excel&amp;utm_campaign=act_formato_excel&amp;utm_content=act_formato_excel_link" TargetMode="External"/><Relationship Id="rId1186" Type="http://schemas.openxmlformats.org/officeDocument/2006/relationships/hyperlink" Target="https://actualicese.com/lista-de-chequeo-de-revelaciones-seccion-27-deterioro-del-valor-de-los-activos/?referer=L-excel-formato&amp;utm_medium=act_formato_excel&amp;utm_source=act_formato_excel&amp;utm_campaign=act_formato_excel&amp;utm_content=act_formato_excel_link" TargetMode="External"/><Relationship Id="rId1393" Type="http://schemas.openxmlformats.org/officeDocument/2006/relationships/hyperlink" Target="https://actualicese.com/diferencias-existentes-entre-los-distintos-tipos-societarios/?referer=L-excel-formato&amp;utm_medium=act_formato_excel&amp;utm_source=act_formato_excel&amp;utm_campaign=act_formato_excel&amp;utm_content=act_formato_excel_link" TargetMode="External"/><Relationship Id="rId2237" Type="http://schemas.openxmlformats.org/officeDocument/2006/relationships/hyperlink" Target="https://actualicese.com/liquidador-plantilla-del-formato-1647-de-exogena-2023-reporte-de-ingresos-recibidos-para-terceros/" TargetMode="External"/><Relationship Id="rId2444" Type="http://schemas.openxmlformats.org/officeDocument/2006/relationships/hyperlink" Target="https://actualicese.com/historico-de-indice-de-precios-al-consumidor-ipc/?referer=L-excel-formato&amp;utm_medium=act_formato_excel&amp;utm_source=act_formato_excel&amp;utm_campaign=act_formato_excel&amp;utm_content=act_formato_excel_link" TargetMode="External"/><Relationship Id="rId111" Type="http://schemas.openxmlformats.org/officeDocument/2006/relationships/hyperlink" Target="https://actualicese.com/contrato-modelo-contrato-de-trabajo-modalidad-teletrabajo/?referer=L-excel-formato&amp;utm_medium=act_formato_excel&amp;utm_source=act_formato_excel&amp;utm_campaign=act_formato_excel&amp;utm_content=act_formato_excel_link" TargetMode="External"/><Relationship Id="rId209" Type="http://schemas.openxmlformats.org/officeDocument/2006/relationships/hyperlink" Target="https://actualicese.com/acta-de-reunion-de-junta-directiva/?referer=L-excel-formato&amp;utm_medium=act_formato_excel&amp;utm_source=act_formato_excel&amp;utm_campaign=act_formato_excel&amp;utm_content=act_formato_excel_link" TargetMode="External"/><Relationship Id="rId416" Type="http://schemas.openxmlformats.org/officeDocument/2006/relationships/hyperlink" Target="https://actualicese.com/tabla-de-tarifas-de-honorarios-profesionales-para-contadores-publicos/?referer=L-excel-formato&amp;utm_medium=act_formato_excel&amp;utm_source=act_formato_excel&amp;utm_campaign=act_formato_excel&amp;utm_content=act_formato_excel_link" TargetMode="External"/><Relationship Id="rId970" Type="http://schemas.openxmlformats.org/officeDocument/2006/relationships/hyperlink" Target="https://actualicese.com/solicitud-de-normalizacion-de-acreencias/?referer=L-excel-formato&amp;utm_medium=act_formato_excel&amp;utm_source=act_formato_excel&amp;utm_campaign=act_formato_excel&amp;utm_content=act_formato_excel_link" TargetMode="External"/><Relationship Id="rId1046" Type="http://schemas.openxmlformats.org/officeDocument/2006/relationships/hyperlink" Target="https://actualicese.com/conciliacion-contable-y-tributaria-casos-de-descuentos-tributarios/?referer=L-excel-formato&amp;utm_medium=act_formato_excel&amp;utm_source=act_formato_excel&amp;utm_campaign=act_formato_excel&amp;utm_content=act_formato_excel_link" TargetMode="External"/><Relationship Id="rId1253" Type="http://schemas.openxmlformats.org/officeDocument/2006/relationships/hyperlink" Target="https://actualicese.com/imas-en-el-impuesto-de-renta-de-los-trabajadores-por-cuenta-propia-modelo-para-proyectar-efectos-2015/?referer=L-excel-formato&amp;utm_medium=act_formato_excel&amp;utm_source=act_formato_excel&amp;utm_campaign=act_formato_excel&amp;utm_content=act_formato_excel_link" TargetMode="External"/><Relationship Id="rId1698" Type="http://schemas.openxmlformats.org/officeDocument/2006/relationships/hyperlink" Target="https://actualicese.com/efectivo-y-equivalentes-al-efectivo-informe-sobre-los-hallazgos-obtenidos/?referer=L-excel-formato&amp;utm_medium=act_formato_excel&amp;utm_source=act_formato_excel&amp;utm_campaign=act_formato_excel&amp;utm_content=act_formato_excel_link" TargetMode="External"/><Relationship Id="rId623" Type="http://schemas.openxmlformats.org/officeDocument/2006/relationships/hyperlink" Target="https://actualicese.com/ofrecimiento-de-servicios-de-una-empresa/?referer=L-excel-formato&amp;utm_medium=act_formato_excel&amp;utm_source=act_formato_excel&amp;utm_campaign=act_formato_excel&amp;utm_content=act_formato_excel_link" TargetMode="External"/><Relationship Id="rId830" Type="http://schemas.openxmlformats.org/officeDocument/2006/relationships/hyperlink" Target="https://actualicese.com/calendario-tributario-2019-avanzado/?referer=L-excel-formato&amp;utm_medium=act_formato_excel&amp;utm_source=act_formato_excel&amp;utm_campaign=act_formato_excel&amp;utm_content=act_formato_excel_link" TargetMode="External"/><Relationship Id="rId928" Type="http://schemas.openxmlformats.org/officeDocument/2006/relationships/hyperlink" Target="https://actualicese.com/decretos-para-la-declaracion-de-renta-de-personas-naturales-por-el-ano-gravable-2017/?referer=L-excel-formato&amp;utm_medium=act_formato_excel&amp;utm_source=act_formato_excel&amp;utm_campaign=act_formato_excel&amp;utm_content=act_formato_excel_link" TargetMode="External"/><Relationship Id="rId1460" Type="http://schemas.openxmlformats.org/officeDocument/2006/relationships/hyperlink" Target="https://actualicese.com/reportes-de-informacion-exogena-tributaria-a-la-dian-ano-gravable-2014/?referer=L-excel-formato&amp;utm_medium=act_formato_excel&amp;utm_source=act_formato_excel&amp;utm_campaign=act_formato_excel&amp;utm_content=act_formato_excel_link" TargetMode="External"/><Relationship Id="rId1558" Type="http://schemas.openxmlformats.org/officeDocument/2006/relationships/hyperlink" Target="https://actualicese.com/retencion-en-la-fuente-a-titulo-de-los-impuestos-nacionales-ano-fiscal-2014/?referer=L-excel-formato&amp;utm_medium=act_formato_excel&amp;utm_source=act_formato_excel&amp;utm_campaign=act_formato_excel&amp;utm_content=act_formato_excel_link" TargetMode="External"/><Relationship Id="rId1765" Type="http://schemas.openxmlformats.org/officeDocument/2006/relationships/hyperlink" Target="https://actualicese.com/calendario-tributario-distrital-2023/?referer=L-excel-formato&amp;utm_medium=act_formato_excel&amp;utm_source=act_formato_excel&amp;utm_campaign=act_formato_excel&amp;utm_content=act_formato_excel_link" TargetMode="External"/><Relationship Id="rId2304" Type="http://schemas.openxmlformats.org/officeDocument/2006/relationships/hyperlink" Target="https://actualicese.com/modelo-de-memorial-para-solicitarle-al-juez-librar-medida-cautelar/?referer=L-excel-formato&amp;utm_medium=act_formato_excel&amp;utm_source=act_formato_excel&amp;utm_campaign=act_formato_excel&amp;utm_content=act_formato_excel_link" TargetMode="External"/><Relationship Id="rId57" Type="http://schemas.openxmlformats.org/officeDocument/2006/relationships/hyperlink" Target="https://actualicese.com/modelo-de-certificacion-de-estados-financieros-version-simplificada/?referer=L-excel-formato&amp;utm_medium=act_formato_excel&amp;utm_source=act_formato_excel&amp;utm_campaign=act_formato_excel&amp;utm_content=act_formato_excel_link" TargetMode="External"/><Relationship Id="rId1113" Type="http://schemas.openxmlformats.org/officeDocument/2006/relationships/hyperlink" Target="https://actualicese.com/regimen-tributario-especial-informacion-que-debe-contener-el-registro-de-inscripcion/?referer=L-excel-formato&amp;utm_medium=act_formato_excel&amp;utm_source=act_formato_excel&amp;utm_campaign=act_formato_excel&amp;utm_content=act_formato_excel_link" TargetMode="External"/><Relationship Id="rId1320" Type="http://schemas.openxmlformats.org/officeDocument/2006/relationships/hyperlink" Target="https://actualicese.com/plantilla-de-estados-financieros-2015-bajo-estandares-internacionales-para-supersociedades-con-xbrl-express/?referer=L-excel-formato&amp;utm_medium=act_formato_excel&amp;utm_source=act_formato_excel&amp;utm_campaign=act_formato_excel&amp;utm_content=act_formato_excel_link" TargetMode="External"/><Relationship Id="rId1418" Type="http://schemas.openxmlformats.org/officeDocument/2006/relationships/hyperlink" Target="https://actualicese.com/constitucion-de-copasst/?referer=L-excel-formato&amp;utm_medium=act_formato_excel&amp;utm_source=act_formato_excel&amp;utm_campaign=act_formato_excel&amp;utm_content=act_formato_excel_link" TargetMode="External"/><Relationship Id="rId1972" Type="http://schemas.openxmlformats.org/officeDocument/2006/relationships/hyperlink" Target="https://actualicese.com/modelo-de-certificacion-de-estados-financieros-version-simplificada/?referer=L-excel-formato&amp;utm_medium=act_formato_excel&amp;utm_source=act_formato_excel&amp;utm_campaign=act_formato_excel&amp;utm_content=act_formato_excel_link" TargetMode="External"/><Relationship Id="rId1625" Type="http://schemas.openxmlformats.org/officeDocument/2006/relationships/hyperlink" Target="https://actualicese.com/word-cuestionario-basico-para-preparar-la-dr-2007-de-personas-naturales-colombianas/?referer=L-excel-formato&amp;utm_medium=act_formato_excel&amp;utm_source=act_formato_excel&amp;utm_campaign=act_formato_excel&amp;utm_content=act_formato_excel_link" TargetMode="External"/><Relationship Id="rId1832" Type="http://schemas.openxmlformats.org/officeDocument/2006/relationships/hyperlink" Target="https://actualicese.com/modelo-en-excel-calculo-de-intereses-presuntivos-en-2022-sobre-prestamos-entre-socios-y-sociedades/?referer=L-excel-formato&amp;utm_medium=act_formato_excel&amp;utm_source=act_formato_excel&amp;utm_campaign=act_formato_excel&amp;utm_content=act_formato_excel_link" TargetMode="External"/><Relationship Id="rId2094" Type="http://schemas.openxmlformats.org/officeDocument/2006/relationships/hyperlink" Target="https://actualicese.com/calculo-del-limite-de-subcapitalizacion-casos-practicos-en-excel/?referer=L-excel-formato&amp;utm_medium=act_formato_excel&amp;utm_source=act_formato_excel&amp;utm_campaign=act_formato_excel&amp;utm_content=act_formato_excel_link" TargetMode="External"/><Relationship Id="rId273" Type="http://schemas.openxmlformats.org/officeDocument/2006/relationships/hyperlink" Target="https://actualicese.com/contrato-individual-de-trabajo-a-termino-fijo/?referer=L-excel-formato&amp;utm_medium=act_formato_excel&amp;utm_source=act_formato_excel&amp;utm_campaign=act_formato_excel&amp;utm_content=act_formato_excel_link" TargetMode="External"/><Relationship Id="rId480" Type="http://schemas.openxmlformats.org/officeDocument/2006/relationships/hyperlink" Target="https://actualicese.com/guia-con-casos-de-verificacion-de-requisitos-para-acceder-al-apoyo-por-generar-nuevos-empleos/?referer=L-excel-formato&amp;utm_medium=act_formato_excel&amp;utm_source=act_formato_excel&amp;utm_campaign=act_formato_excel&amp;utm_content=act_formato_excel_link" TargetMode="External"/><Relationship Id="rId2161" Type="http://schemas.openxmlformats.org/officeDocument/2006/relationships/hyperlink" Target="https://actualicese.com/simulador-del-impuesto-para-dividendos-y-participaciones-no-gravados-de-2017-y-siguientes-luego-de-la-ley-2277-de-2022/?referer=L-excel-formato&amp;utm_medium=act_formato_excel&amp;utm_source=act_formato_excel&amp;utm_campaign=act_formato_excel&amp;utm_content=act_formato_excel_link" TargetMode="External"/><Relationship Id="rId2399" Type="http://schemas.openxmlformats.org/officeDocument/2006/relationships/hyperlink" Target="https://actualicese.com/modelo-para-la-elaboracion-del-estado-de-cambios-en-el-patrimonio/?referer=L-excel-formato&amp;utm_medium=act_formato_excel&amp;utm_source=act_formato_excel&amp;utm_campaign=act_formato_excel&amp;utm_content=act_formato_excel_link" TargetMode="External"/><Relationship Id="rId133" Type="http://schemas.openxmlformats.org/officeDocument/2006/relationships/hyperlink" Target="https://actualicese.com/prestamo-para-vivienda-modalidad-de-cuota-fija-en-pesos/?referer=L-excel-formato&amp;utm_medium=act_formato_excel&amp;utm_source=act_formato_excel&amp;utm_campaign=act_formato_excel&amp;utm_content=act_formato_excel_link" TargetMode="External"/><Relationship Id="rId340" Type="http://schemas.openxmlformats.org/officeDocument/2006/relationships/hyperlink" Target="https://actualicese.com/matriz-rentas-exentas-y-descuentos-tributarios-de-las-personas-juridicas-en-2021/?referer=L-excel-formato&amp;utm_medium=act_formato_excel&amp;utm_source=act_formato_excel&amp;utm_campaign=act_formato_excel&amp;utm_content=act_formato_excel_link" TargetMode="External"/><Relationship Id="rId578" Type="http://schemas.openxmlformats.org/officeDocument/2006/relationships/hyperlink" Target="https://actualicese.com/formulario-210-y-formato-2517-para-declaracion-de-renta-ag-2020-residentes-que-llevan-contabilidad/?referer=L-excel-formato&amp;utm_medium=act_formato_excel&amp;utm_source=act_formato_excel&amp;utm_campaign=act_formato_excel&amp;utm_content=act_formato_excel_link" TargetMode="External"/><Relationship Id="rId785" Type="http://schemas.openxmlformats.org/officeDocument/2006/relationships/hyperlink" Target="https://actualicese.com/proyeccion-del-impuesto-al-patrimonio-y-calculo-del-de-normalizacion-y-o-saneamiento-2020/?referer=L-excel-formato&amp;utm_medium=act_formato_excel&amp;utm_source=act_formato_excel&amp;utm_campaign=act_formato_excel&amp;utm_content=act_formato_excel_link" TargetMode="External"/><Relationship Id="rId992" Type="http://schemas.openxmlformats.org/officeDocument/2006/relationships/hyperlink" Target="https://actualicese.com/formato-exogena-1010-por-el-ano-gravable-2017-reporte-de-socios-cooperados-o-comuneros/?referer=L-excel-formato&amp;utm_medium=act_formato_excel&amp;utm_source=act_formato_excel&amp;utm_campaign=act_formato_excel&amp;utm_content=act_formato_excel_link" TargetMode="External"/><Relationship Id="rId2021" Type="http://schemas.openxmlformats.org/officeDocument/2006/relationships/hyperlink" Target="https://actualicese.com/notificacion-a-empleado-de-la-reduccion-de-la-jornada-laboral/?referer=L-excel-formato&amp;utm_medium=act_formato_excel&amp;utm_source=act_formato_excel&amp;utm_campaign=act_formato_excel&amp;utm_content=act_formato_excel_link" TargetMode="External"/><Relationship Id="rId2259" Type="http://schemas.openxmlformats.org/officeDocument/2006/relationships/hyperlink" Target="https://actualicese.com/modelo-certificacion-para-que-proceda-descuento-tributario-por-donacion-realizada/?referer=L-excel-formato&amp;utm_medium=act_formato_excel&amp;utm_source=act_formato_excel&amp;utm_campaign=act_formato_excel&amp;utm_content=act_formato_excel_link" TargetMode="External"/><Relationship Id="rId200" Type="http://schemas.openxmlformats.org/officeDocument/2006/relationships/hyperlink" Target="https://actualicese.com/certificacion-revisor-fiscal-sobre-pagos-a-seguridad-social/?referer=L-excel-formato&amp;utm_medium=act_formato_excel&amp;utm_source=act_formato_excel&amp;utm_campaign=act_formato_excel&amp;utm_content=act_formato_excel_link" TargetMode="External"/><Relationship Id="rId438" Type="http://schemas.openxmlformats.org/officeDocument/2006/relationships/hyperlink" Target="https://actualicese.com/derecho-de-peticion-para-retiro-de-centrales-de-riesgo-por-prescripcion/?referer=L-excel-formato&amp;utm_medium=act_formato_excel&amp;utm_source=act_formato_excel&amp;utm_campaign=act_formato_excel&amp;utm_content=act_formato_excel_link" TargetMode="External"/><Relationship Id="rId645" Type="http://schemas.openxmlformats.org/officeDocument/2006/relationships/hyperlink" Target="https://actualicese.com/calendario-tributario-2021-automatizado-en-excel/?referer=L-excel-formato&amp;utm_medium=act_formato_excel&amp;utm_source=act_formato_excel&amp;utm_campaign=act_formato_excel&amp;utm_content=act_formato_excel_link" TargetMode="External"/><Relationship Id="rId852" Type="http://schemas.openxmlformats.org/officeDocument/2006/relationships/hyperlink" Target="https://actualicese.com/formato-exogena-1647-por-el-ano-gravable-2018-reporte-de-ingresos-recibidos-para-terceros/?referer=L-excel-formato&amp;utm_medium=act_formato_excel&amp;utm_source=act_formato_excel&amp;utm_campaign=act_formato_excel&amp;utm_content=act_formato_excel_link" TargetMode="External"/><Relationship Id="rId1068" Type="http://schemas.openxmlformats.org/officeDocument/2006/relationships/hyperlink" Target="https://actualicese.com/declaracion-de-renta-ano-gravable-2016-indicadores-y-otros-datos-basicos-para-su-elaboracion/?referer=L-excel-formato&amp;utm_medium=act_formato_excel&amp;utm_source=act_formato_excel&amp;utm_campaign=act_formato_excel&amp;utm_content=act_formato_excel_link" TargetMode="External"/><Relationship Id="rId1275" Type="http://schemas.openxmlformats.org/officeDocument/2006/relationships/hyperlink" Target="https://actualicese.com/calculo-de-la-sancion-por-extemporaneidad-antes-del-emplazamiento/?referer=L-excel-formato&amp;utm_medium=act_formato_excel&amp;utm_source=act_formato_excel&amp;utm_campaign=act_formato_excel&amp;utm_content=act_formato_excel_link" TargetMode="External"/><Relationship Id="rId1482" Type="http://schemas.openxmlformats.org/officeDocument/2006/relationships/hyperlink" Target="https://actualicese.com/revision-autorretencion-del-cree/?referer=L-excel-formato&amp;utm_medium=act_formato_excel&amp;utm_source=act_formato_excel&amp;utm_campaign=act_formato_excel&amp;utm_content=act_formato_excel_link" TargetMode="External"/><Relationship Id="rId2119" Type="http://schemas.openxmlformats.org/officeDocument/2006/relationships/hyperlink" Target="https://actualicese.com/informe-sobre-los-hallazgos-obtenidos-en-los-inventarios/?referer=L-excel-formato&amp;utm_medium=act_formato_excel&amp;utm_source=act_formato_excel&amp;utm_campaign=act_formato_excel&amp;utm_content=act_formato_excel_link" TargetMode="External"/><Relationship Id="rId2326" Type="http://schemas.openxmlformats.org/officeDocument/2006/relationships/hyperlink" Target="https://actualicese.com/liquidador-excel-del-formulario-210-y-formato-2517-para-la-declaracion-de-renta-de-personas-naturales-residentes-que-llevan-contabilidad-ag-2023/?referer=L-excel-formato&amp;utm_medium=act_formato_excel&amp;utm_source=act_formato_excel&amp;utm_campaign=act_formato_excel&amp;utm_content=act_formato_excel_link" TargetMode="External"/><Relationship Id="rId505" Type="http://schemas.openxmlformats.org/officeDocument/2006/relationships/hyperlink" Target="https://actualicese.com/liquidador-impuesto-diferido-por-venta-de-bienes-inmuebles-a-largo-plazo-en-2022-caso-practico-en-excel/?referer=L-excel-formato&amp;utm_medium=act_formato_excel&amp;utm_source=act_formato_excel&amp;utm_campaign=act_formato_excel&amp;utm_content=act_formato_excel_link" TargetMode="External"/><Relationship Id="rId712" Type="http://schemas.openxmlformats.org/officeDocument/2006/relationships/hyperlink" Target="https://actualicese.com/constancia-de-entrega-de-equipos-y-elementos-de-proteccion-personal/?referer=L-excel-formato&amp;utm_medium=act_formato_excel&amp;utm_source=act_formato_excel&amp;utm_campaign=act_formato_excel&amp;utm_content=act_formato_excel_link" TargetMode="External"/><Relationship Id="rId1135" Type="http://schemas.openxmlformats.org/officeDocument/2006/relationships/hyperlink" Target="https://actualicese.com/contrato-de-deposito-2/?referer=L-excel-formato&amp;utm_medium=act_formato_excel&amp;utm_source=act_formato_excel&amp;utm_campaign=act_formato_excel&amp;utm_content=act_formato_excel_link" TargetMode="External"/><Relationship Id="rId1342" Type="http://schemas.openxmlformats.org/officeDocument/2006/relationships/hyperlink" Target="https://actualicese.com/auditoria-de-conciliaciones-bancarias/?referer=L-excel-formato&amp;utm_medium=act_formato_excel&amp;utm_source=act_formato_excel&amp;utm_campaign=act_formato_excel&amp;utm_content=act_formato_excel_link" TargetMode="External"/><Relationship Id="rId1787" Type="http://schemas.openxmlformats.org/officeDocument/2006/relationships/hyperlink" Target="https://actualicese.com/liquidador-de-prestaciones-sociales-en-periodo-de-incapacidad/?referer=L-excel-formato&amp;utm_medium=act_formato_excel&amp;utm_source=act_formato_excel&amp;utm_campaign=act_formato_excel&amp;utm_content=act_formato_excel_link" TargetMode="External"/><Relationship Id="rId1994" Type="http://schemas.openxmlformats.org/officeDocument/2006/relationships/hyperlink" Target="https://actualicese.com/indicadores-financieros-de-endeudamiento/?referer=L-excel-formato&amp;utm_medium=act_formato_excel&amp;utm_source=act_formato_excel&amp;utm_campaign=act_formato_excel&amp;utm_content=act_formato_excel_link" TargetMode="External"/><Relationship Id="rId79" Type="http://schemas.openxmlformats.org/officeDocument/2006/relationships/hyperlink" Target="https://actualicese.com/casos-practicos-de-contabilizacion-de-venta-de-activos-fijos/?referer=L-excel-formato&amp;utm_medium=act_formato_excel&amp;utm_source=act_formato_excel&amp;utm_campaign=act_formato_excel&amp;utm_content=act_formato_excel_link" TargetMode="External"/><Relationship Id="rId1202" Type="http://schemas.openxmlformats.org/officeDocument/2006/relationships/hyperlink" Target="https://actualicese.com/impuesto-de-renta-de-persona-natural-segun-proyecto-de-reforma-tributaria/?referer=L-excel-formato&amp;utm_medium=act_formato_excel&amp;utm_source=act_formato_excel&amp;utm_campaign=act_formato_excel&amp;utm_content=act_formato_excel_link" TargetMode="External"/><Relationship Id="rId1647" Type="http://schemas.openxmlformats.org/officeDocument/2006/relationships/hyperlink" Target="https://actualicese.com/caso-practico-en-excel-utilidad-del-impuesto-diferido-en-la-correccion-del-efecto-de-las-normas-fiscales/?referer=L-excel-formato&amp;utm_medium=act_formato_excel&amp;utm_source=act_formato_excel&amp;utm_campaign=act_formato_excel&amp;utm_content=act_formato_excel_link" TargetMode="External"/><Relationship Id="rId1854" Type="http://schemas.openxmlformats.org/officeDocument/2006/relationships/hyperlink" Target="https://actualicese.com/decisiones-asamblea-de-propietarios/?referer=L-excel-formato&amp;utm_medium=act_formato_excel&amp;utm_source=act_formato_excel&amp;utm_campaign=act_formato_excel&amp;utm_content=act_formato_excel_link" TargetMode="External"/><Relationship Id="rId1507" Type="http://schemas.openxmlformats.org/officeDocument/2006/relationships/hyperlink" Target="https://actualicese.com/calendario-tributario-2015/?referer=L-excel-formato&amp;utm_medium=act_formato_excel&amp;utm_source=act_formato_excel&amp;utm_campaign=act_formato_excel&amp;utm_content=act_formato_excel_link" TargetMode="External"/><Relationship Id="rId1714" Type="http://schemas.openxmlformats.org/officeDocument/2006/relationships/hyperlink" Target="https://actualicese.com/informe-de-verificacion-del-cumplimiento-de-los-requerimientos-del-paef-segun-la-nisr-4400/?referer=L-excel-formato&amp;utm_medium=act_formato_excel&amp;utm_source=act_formato_excel&amp;utm_campaign=act_formato_excel&amp;utm_content=act_formato_excel_link" TargetMode="External"/><Relationship Id="rId295" Type="http://schemas.openxmlformats.org/officeDocument/2006/relationships/hyperlink" Target="https://actualicese.com/simulador-de-los-efectos-del-rechazo-de-costos-y-gastos-en-efectivo-a-partir-de-2018/?referer=L-excel-formato&amp;utm_medium=act_formato_excel&amp;utm_source=act_formato_excel&amp;utm_campaign=act_formato_excel&amp;utm_content=act_formato_excel_link" TargetMode="External"/><Relationship Id="rId1921" Type="http://schemas.openxmlformats.org/officeDocument/2006/relationships/hyperlink" Target="https://actualicese.com/acta-de-reunion-de-junta-directiva/?referer=L-excel-formato&amp;utm_medium=act_formato_excel&amp;utm_source=act_formato_excel&amp;utm_campaign=act_formato_excel&amp;utm_content=act_formato_excel_link" TargetMode="External"/><Relationship Id="rId2183" Type="http://schemas.openxmlformats.org/officeDocument/2006/relationships/hyperlink" Target="https://actualicese.com/guia-clasificacion-de-las-personas-juridicas-frente-al-impuesto-de-renta-y-el-simple-ag-2023/?referer=L-excel-formato&amp;utm_medium=act_formato_excel&amp;utm_source=act_formato_excel&amp;utm_campaign=act_formato_excel&amp;utm_content=act_formato_excel_link" TargetMode="External"/><Relationship Id="rId2390" Type="http://schemas.openxmlformats.org/officeDocument/2006/relationships/hyperlink" Target="https://actualicese.com/ejemplos-practicos-sobre-ciniif-y-sic-aplicados-a-colombia/?referer=L-excel-formato&amp;utm_medium=act_formato_excel&amp;utm_source=act_formato_excel&amp;utm_campaign=act_formato_excel&amp;utm_content=act_formato_excel_link" TargetMode="External"/><Relationship Id="rId155" Type="http://schemas.openxmlformats.org/officeDocument/2006/relationships/hyperlink" Target="https://actualicese.com/ejercicios-sobre-la-determinacion-de-la-renta-liquida-de-trabajo-cuando-hay-rentas-laborales-y-honorarios/?referer=L-excel-formato&amp;utm_medium=act_formato_excel&amp;utm_source=act_formato_excel&amp;utm_campaign=act_formato_excel&amp;utm_content=act_formato_excel_link" TargetMode="External"/><Relationship Id="rId362" Type="http://schemas.openxmlformats.org/officeDocument/2006/relationships/hyperlink" Target="https://actualicese.com/nia-700-vs-nia-700-revisada-comparativo-de-estructura-del-informe-de-revisor-fiscal/?referer=L-excel-formato&amp;utm_medium=act_formato_excel&amp;utm_source=act_formato_excel&amp;utm_campaign=act_formato_excel&amp;utm_content=act_formato_excel_link" TargetMode="External"/><Relationship Id="rId1297" Type="http://schemas.openxmlformats.org/officeDocument/2006/relationships/hyperlink" Target="https://actualicese.com/ejemplo-simulacion-del-sistema-de-registro-de-diferencias/?referer=L-excel-formato&amp;utm_medium=act_formato_excel&amp;utm_source=act_formato_excel&amp;utm_campaign=act_formato_excel&amp;utm_content=act_formato_excel_link" TargetMode="External"/><Relationship Id="rId2043" Type="http://schemas.openxmlformats.org/officeDocument/2006/relationships/hyperlink" Target="https://actualicese.com/aplicacion-del-impuesto-a-los-dividendos-recibidos-por-personas-naturales-caso-practico-en-excel/?referer=L-excel-formato&amp;utm_medium=act_formato_excel&amp;utm_source=act_formato_excel&amp;utm_campaign=act_formato_excel&amp;utm_content=act_formato_excel_link" TargetMode="External"/><Relationship Id="rId2250" Type="http://schemas.openxmlformats.org/officeDocument/2006/relationships/hyperlink" Target="https://actualicese.com/modelo-de-certificado-de-no-declarante-del-impuesto-de-renta-y-complementario/?referer=L-excel-formato&amp;utm_medium=act_formato_excel&amp;utm_source=act_formato_excel&amp;utm_campaign=act_formato_excel&amp;utm_content=act_formato_excel_link" TargetMode="External"/><Relationship Id="rId222" Type="http://schemas.openxmlformats.org/officeDocument/2006/relationships/hyperlink" Target="https://actualicese.com/carta-de-terminacion-del-contrato-a-termino-fijo-por-vencimiento-de-terminos/?referer=L-excel-formato&amp;utm_medium=act_formato_excel&amp;utm_source=act_formato_excel&amp;utm_campaign=act_formato_excel&amp;utm_content=act_formato_excel_link" TargetMode="External"/><Relationship Id="rId667" Type="http://schemas.openxmlformats.org/officeDocument/2006/relationships/hyperlink" Target="https://actualicese.com/modelo-para-calculo-de-depreciacion-por-el-metodo-de-reduccion-de-saldos/?referer=L-excel-formato&amp;utm_medium=act_formato_excel&amp;utm_source=act_formato_excel&amp;utm_campaign=act_formato_excel&amp;utm_content=act_formato_excel_link" TargetMode="External"/><Relationship Id="rId874" Type="http://schemas.openxmlformats.org/officeDocument/2006/relationships/hyperlink" Target="https://actualicese.com/lista-de-chequeo-estandares-minimos-de-seguridad-para-pequenas-empresas/?referer=L-excel-formato&amp;utm_medium=act_formato_excel&amp;utm_source=act_formato_excel&amp;utm_campaign=act_formato_excel&amp;utm_content=act_formato_excel_link" TargetMode="External"/><Relationship Id="rId2110" Type="http://schemas.openxmlformats.org/officeDocument/2006/relationships/hyperlink" Target="https://actualicese.com/liquidadores-de-sancion-por-no-declarar/?referer=L-excel-formato&amp;utm_medium=act_formato_excel&amp;utm_source=act_formato_excel&amp;utm_campaign=act_formato_excel&amp;utm_content=act_formato_excel_link" TargetMode="External"/><Relationship Id="rId2348" Type="http://schemas.openxmlformats.org/officeDocument/2006/relationships/hyperlink" Target="https://actualicese.com/liquidador-modelos-de-conciliacion-bancaria-individual-y-conjunta-en-excel/?referer=L-excel-formato&amp;utm_medium=act_formato_excel&amp;utm_source=act_formato_excel&amp;utm_campaign=act_formato_excel&amp;utm_content=act_formato_excel_link" TargetMode="External"/><Relationship Id="rId527" Type="http://schemas.openxmlformats.org/officeDocument/2006/relationships/hyperlink" Target="https://actualicese.com/lista-de-chequeo-para-etapa-de-seguimiento-en-encargo-de-auditoria-bajo-la-nicc-1/?referer=L-excel-formato&amp;utm_medium=act_formato_excel&amp;utm_source=act_formato_excel&amp;utm_campaign=act_formato_excel&amp;utm_content=act_formato_excel_link" TargetMode="External"/><Relationship Id="rId734" Type="http://schemas.openxmlformats.org/officeDocument/2006/relationships/hyperlink" Target="https://actualicese.com/acuerdo-para-no-laborar-sabado-y-distribuir-jornada-entre-semana-sin-causar-horas-extras/?referer=L-excel-formato&amp;utm_medium=act_formato_excel&amp;utm_source=act_formato_excel&amp;utm_campaign=act_formato_excel&amp;utm_content=act_formato_excel_link" TargetMode="External"/><Relationship Id="rId941" Type="http://schemas.openxmlformats.org/officeDocument/2006/relationships/hyperlink" Target="https://actualicese.com/contestacion-de-demanda-proceso-ordinario-laboral/?referer=L-excel-formato&amp;utm_medium=act_formato_excel&amp;utm_source=act_formato_excel&amp;utm_campaign=act_formato_excel&amp;utm_content=act_formato_excel_link" TargetMode="External"/><Relationship Id="rId1157" Type="http://schemas.openxmlformats.org/officeDocument/2006/relationships/hyperlink" Target="https://actualicese.com/plantilla-para-elaborar-formulario-220-certificado-de-ingresos-y-retenciones-a-empleados-ano-gravable-2016/?referer=L-excel-formato&amp;utm_medium=act_formato_excel&amp;utm_source=act_formato_excel&amp;utm_campaign=act_formato_excel&amp;utm_content=act_formato_excel_link" TargetMode="External"/><Relationship Id="rId1364" Type="http://schemas.openxmlformats.org/officeDocument/2006/relationships/hyperlink" Target="https://actualicese.com/documentos-de-regulacion-sobre-propiedades-planta-y-equipos-orientaciones-tecnicas-006-y-007-del-ctcp/?referer=L-excel-formato&amp;utm_medium=act_formato_excel&amp;utm_source=act_formato_excel&amp;utm_campaign=act_formato_excel&amp;utm_content=act_formato_excel_link" TargetMode="External"/><Relationship Id="rId1571" Type="http://schemas.openxmlformats.org/officeDocument/2006/relationships/hyperlink" Target="https://actualicese.com/estado-de-su-empresa-frente-a-la-convergencia-hacia-las-niif/?referer=L-excel-formato&amp;utm_medium=act_formato_excel&amp;utm_source=act_formato_excel&amp;utm_campaign=act_formato_excel&amp;utm_content=act_formato_excel_link" TargetMode="External"/><Relationship Id="rId2208"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415" Type="http://schemas.openxmlformats.org/officeDocument/2006/relationships/hyperlink" Target="https://actualicese.com/ejemplos-de-contabilizacion-de-activos-bajo-las-niif-para-pymes/?referer=L-excel-formato&amp;utm_medium=act_formato_excel&amp;utm_source=act_formato_excel&amp;utm_campaign=act_formato_excel&amp;utm_content=act_formato_excel_link" TargetMode="External"/><Relationship Id="rId70" Type="http://schemas.openxmlformats.org/officeDocument/2006/relationships/hyperlink" Target="https://actualicese.com/casos-practicos-de-contabilizacion-de-aportes-a-capital-social/?referer=L-excel-formato&amp;utm_medium=act_formato_excel&amp;utm_source=act_formato_excel&amp;utm_campaign=act_formato_excel&amp;utm_content=act_formato_excel_link" TargetMode="External"/><Relationship Id="rId801" Type="http://schemas.openxmlformats.org/officeDocument/2006/relationships/hyperlink" Target="https://actualicese.com/porcentaje-fijo-de-retencion-en-la-fuente-sobre-salarios-en-diciembre-de-2019-procedimiento-2/?referer=L-excel-formato&amp;utm_medium=act_formato_excel&amp;utm_source=act_formato_excel&amp;utm_campaign=act_formato_excel&amp;utm_content=act_formato_excel_link" TargetMode="External"/><Relationship Id="rId1017" Type="http://schemas.openxmlformats.org/officeDocument/2006/relationships/hyperlink" Target="https://actualicese.com/impuesto-diferido-aplicado-a-propiedades-de-inversion-caso-practico/?referer=L-excel-formato&amp;utm_medium=act_formato_excel&amp;utm_source=act_formato_excel&amp;utm_campaign=act_formato_excel&amp;utm_content=act_formato_excel_link" TargetMode="External"/><Relationship Id="rId1224" Type="http://schemas.openxmlformats.org/officeDocument/2006/relationships/hyperlink" Target="https://actualicese.com/acta-de-junta-directiva-para-autorizar-al-gerente-a-suscribir-contratos/?referer=L-excel-formato&amp;utm_medium=act_formato_excel&amp;utm_source=act_formato_excel&amp;utm_campaign=act_formato_excel&amp;utm_content=act_formato_excel_link" TargetMode="External"/><Relationship Id="rId1431" Type="http://schemas.openxmlformats.org/officeDocument/2006/relationships/hyperlink" Target="https://actualicese.com/modelo-politica-contable-de-presentacion-de-estados-financieros/?referer=L-excel-formato&amp;utm_medium=act_formato_excel&amp;utm_source=act_formato_excel&amp;utm_campaign=act_formato_excel&amp;utm_content=act_formato_excel_link" TargetMode="External"/><Relationship Id="rId1669" Type="http://schemas.openxmlformats.org/officeDocument/2006/relationships/hyperlink" Target="https://actualicese.com/indicadores-financieros-de-actividad-y-rentabilidad/?referer=L-excel-formato&amp;utm_medium=act_formato_excel&amp;utm_source=act_formato_excel&amp;utm_campaign=act_formato_excel&amp;utm_content=act_formato_excel_link" TargetMode="External"/><Relationship Id="rId1876" Type="http://schemas.openxmlformats.org/officeDocument/2006/relationships/hyperlink" Target="https://actualicese.com/modelo-de-contrato-de-prestacion-de-servicios/?referer=L-excel-formato&amp;utm_medium=act_formato_excel&amp;utm_source=act_formato_excel&amp;utm_campaign=act_formato_excel&amp;utm_content=act_formato_excel_link" TargetMode="External"/><Relationship Id="rId1529" Type="http://schemas.openxmlformats.org/officeDocument/2006/relationships/hyperlink" Target="https://actualicese.com/liquidador-calculo-de-intereses-presuntivos-sobre-prestamos-entre-sociedades-y-socios-durante-2014/?referer=L-excel-formato&amp;utm_medium=act_formato_excel&amp;utm_source=act_formato_excel&amp;utm_campaign=act_formato_excel&amp;utm_content=act_formato_excel_link" TargetMode="External"/><Relationship Id="rId1736" Type="http://schemas.openxmlformats.org/officeDocument/2006/relationships/hyperlink" Target="https://actualicese.com/modelo-de-dictamen-con-opinion-adversa-o-desfavorable/?referer=L-excel-formato&amp;utm_medium=act_formato_excel&amp;utm_source=act_formato_excel&amp;utm_campaign=act_formato_excel&amp;utm_content=act_formato_excel_link" TargetMode="External"/><Relationship Id="rId1943" Type="http://schemas.openxmlformats.org/officeDocument/2006/relationships/hyperlink" Target="https://actualicese.com/formato-de-circularizacion-de-proveedores-automatizado/?referer=L-excel-formato&amp;utm_medium=act_formato_excel&amp;utm_source=act_formato_excel&amp;utm_campaign=act_formato_excel&amp;utm_content=act_formato_excel_link" TargetMode="External"/><Relationship Id="rId28" Type="http://schemas.openxmlformats.org/officeDocument/2006/relationships/hyperlink" Target="https://actualicese.com/modelo-de-estructura-del-estado-de-resultados-y-ganancias-acumuladas/?referer=L-excel-formato&amp;utm_medium=act_formato_excel&amp;utm_source=act_formato_excel&amp;utm_campaign=act_formato_excel&amp;utm_content=act_formato_excel_link" TargetMode="External"/><Relationship Id="rId1803" Type="http://schemas.openxmlformats.org/officeDocument/2006/relationships/hyperlink" Target="https://actualicese.com/requisitos-para-reportar-informacion-exogena-por-el-ag-2022-guia-y-casos-practicos/?referer=L-excel-formato&amp;utm_medium=act_formato_excel&amp;utm_source=act_formato_excel&amp;utm_campaign=act_formato_excel&amp;utm_content=act_formato_excel_link" TargetMode="External"/><Relationship Id="rId177" Type="http://schemas.openxmlformats.org/officeDocument/2006/relationships/hyperlink" Target="https://actualicese.com/guia-en-excel-sobre-tributacion-en-el-impuesto-de-renta-de-los-dividendos-y-participaciones-ag-2021/?referer=L-excel-formato&amp;utm_medium=act_formato_excel&amp;utm_source=act_formato_excel&amp;utm_campaign=act_formato_excel&amp;utm_content=act_formato_excel_link" TargetMode="External"/><Relationship Id="rId384" Type="http://schemas.openxmlformats.org/officeDocument/2006/relationships/hyperlink" Target="https://actualicese.com/carta-para-notificar-la-exclusion-de-un-socio-de-la-sociedad/?referer=L-excel-formato&amp;utm_medium=act_formato_excel&amp;utm_source=act_formato_excel&amp;utm_campaign=act_formato_excel&amp;utm_content=act_formato_excel_link" TargetMode="External"/><Relationship Id="rId591" Type="http://schemas.openxmlformats.org/officeDocument/2006/relationships/hyperlink" Target="https://actualicese.com/plantilla-en-excel-para-la-declaracion-de-anticipos-bimestrales-en-2021-regimen-simple/?referer=L-excel-formato&amp;utm_medium=act_formato_excel&amp;utm_source=act_formato_excel&amp;utm_campaign=act_formato_excel&amp;utm_content=act_formato_excel_link" TargetMode="External"/><Relationship Id="rId2065" Type="http://schemas.openxmlformats.org/officeDocument/2006/relationships/hyperlink" Target="https://actualicese.com/casos-practicos-en-excel-del-impuesto-al-patrimonio-ag-2023/?referer=L-excel-formato&amp;utm_medium=act_formato_excel&amp;utm_source=act_formato_excel&amp;utm_campaign=act_formato_excel&amp;utm_content=act_formato_excel_link" TargetMode="External"/><Relationship Id="rId2272" Type="http://schemas.openxmlformats.org/officeDocument/2006/relationships/hyperlink" Target="https://actualicese.com/contrato-individual-de-obra/?referer=L-excel-formato&amp;utm_medium=act_formato_excel&amp;utm_source=act_formato_excel&amp;utm_campaign=act_formato_excel&amp;utm_content=act_formato_excel_link" TargetMode="External"/><Relationship Id="rId244" Type="http://schemas.openxmlformats.org/officeDocument/2006/relationships/hyperlink" Target="https://actualicese.com/caso-practico-de-criptoactivos-de-una-persona-natural-en-la-declaracion-de-renta-ag-2021/?referer=L-excel-formato&amp;utm_medium=act_formato_excel&amp;utm_source=act_formato_excel&amp;utm_campaign=act_formato_excel&amp;utm_content=act_formato_excel_link" TargetMode="External"/><Relationship Id="rId689" Type="http://schemas.openxmlformats.org/officeDocument/2006/relationships/hyperlink" Target="https://actualicese.com/finalizacion-del-contrato-por-parte-del-arrendador-por-vencimiento-de-este/?referer=L-excel-formato&amp;utm_medium=act_formato_excel&amp;utm_source=act_formato_excel&amp;utm_campaign=act_formato_excel&amp;utm_content=act_formato_excel_link" TargetMode="External"/><Relationship Id="rId896" Type="http://schemas.openxmlformats.org/officeDocument/2006/relationships/hyperlink" Target="https://actualicese.com/tasa-representativa-del-mercado-trm-2018/?referer=L-excel-formato&amp;utm_medium=act_formato_excel&amp;utm_source=act_formato_excel&amp;utm_campaign=act_formato_excel&amp;utm_content=act_formato_excel_link" TargetMode="External"/><Relationship Id="rId1081" Type="http://schemas.openxmlformats.org/officeDocument/2006/relationships/hyperlink" Target="https://actualicese.com/transaccion-para-terminar-contrato-de-obra-en-propiedad-horizontal/?referer=L-excel-formato&amp;utm_medium=act_formato_excel&amp;utm_source=act_formato_excel&amp;utm_campaign=act_formato_excel&amp;utm_content=act_formato_excel_link" TargetMode="External"/><Relationship Id="rId451" Type="http://schemas.openxmlformats.org/officeDocument/2006/relationships/hyperlink" Target="https://actualicese.com/modelo-de-informe-de-control-interno/?referer=L-excel-formato&amp;utm_medium=act_formato_excel&amp;utm_source=act_formato_excel&amp;utm_campaign=act_formato_excel&amp;utm_content=act_formato_excel_link" TargetMode="External"/><Relationship Id="rId549" Type="http://schemas.openxmlformats.org/officeDocument/2006/relationships/hyperlink" Target="https://actualicese.com/cuestionario-de-independencia-para-el-personal-de-una-firma-de-auditoria/?referer=L-excel-formato&amp;utm_medium=act_formato_excel&amp;utm_source=act_formato_excel&amp;utm_campaign=act_formato_excel&amp;utm_content=act_formato_excel_link" TargetMode="External"/><Relationship Id="rId756" Type="http://schemas.openxmlformats.org/officeDocument/2006/relationships/hyperlink" Target="https://actualicese.com/plantilla-para-elaborar-el-formulario-300-para-las-declaraciones-del-iva-durante-2020/?referer=L-excel-formato&amp;utm_medium=act_formato_excel&amp;utm_source=act_formato_excel&amp;utm_campaign=act_formato_excel&amp;utm_content=act_formato_excel_link" TargetMode="External"/><Relationship Id="rId1179" Type="http://schemas.openxmlformats.org/officeDocument/2006/relationships/hyperlink" Target="https://actualicese.com/matriz-para-definir-categoria-en-monotributo-y-valor-a-pagar-en-2017-segun-reforma-tributaria-2016/?referer=L-excel-formato&amp;utm_medium=act_formato_excel&amp;utm_source=act_formato_excel&amp;utm_campaign=act_formato_excel&amp;utm_content=act_formato_excel_link" TargetMode="External"/><Relationship Id="rId1386" Type="http://schemas.openxmlformats.org/officeDocument/2006/relationships/hyperlink" Target="https://actualicese.com/atencion-integral-en-seguridad-y-salud-en-el-trabajo-2015-desorden-musculo-esqueletico-de-miembro-superior/?referer=L-excel-formato&amp;utm_medium=act_formato_excel&amp;utm_source=act_formato_excel&amp;utm_campaign=act_formato_excel&amp;utm_content=act_formato_excel_link" TargetMode="External"/><Relationship Id="rId1593" Type="http://schemas.openxmlformats.org/officeDocument/2006/relationships/hyperlink" Target="https://actualicese.com/modelo-para-determinar-obligaciones-comerciales-o-fiscales-segun-el-patrimonio-o-los-ingresos/?referer=L-excel-formato&amp;utm_medium=act_formato_excel&amp;utm_source=act_formato_excel&amp;utm_campaign=act_formato_excel&amp;utm_content=act_formato_excel_link" TargetMode="External"/><Relationship Id="rId2132" Type="http://schemas.openxmlformats.org/officeDocument/2006/relationships/hyperlink" Target="https://actualicese.com/liquidadores-de-sanciones-relacionadas-con-la-informacion-exogena/?referer=L-excel-formato&amp;utm_medium=act_formato_excel&amp;utm_source=act_formato_excel&amp;utm_campaign=act_formato_excel&amp;utm_content=act_formato_excel_link" TargetMode="External"/><Relationship Id="rId2437" Type="http://schemas.openxmlformats.org/officeDocument/2006/relationships/hyperlink" Target="https://actualicese.com/historico-del-salario-minimo-y-el-auxilio-de-transporte-1990-2025/?referer=L-excel-formato&amp;utm_medium=act_formato_excel&amp;utm_source=act_formato_excel&amp;utm_campaign=act_formato_excel&amp;utm_content=act_formato_excel_link" TargetMode="External"/><Relationship Id="rId104" Type="http://schemas.openxmlformats.org/officeDocument/2006/relationships/hyperlink" Target="https://actualicese.com/modelo-para-proyectar-el-presupuesto-personal-del-contador/?referer=L-excel-formato&amp;utm_medium=act_formato_excel&amp;utm_source=act_formato_excel&amp;utm_campaign=act_formato_excel&amp;utm_content=act_formato_excel_link" TargetMode="External"/><Relationship Id="rId311" Type="http://schemas.openxmlformats.org/officeDocument/2006/relationships/hyperlink" Target="https://actualicese.com/contabilizacion-de-los-ingresos-del-paef-y-otros-beneficios-laborales-ejercicio-en-excel/?referer=L-excel-formato&amp;utm_medium=act_formato_excel&amp;utm_source=act_formato_excel&amp;utm_campaign=act_formato_excel&amp;utm_content=act_formato_excel_link" TargetMode="External"/><Relationship Id="rId409" Type="http://schemas.openxmlformats.org/officeDocument/2006/relationships/hyperlink" Target="https://actualicese.com/autorizacion-de-descuentos-sobre-salarios-por-prestamos-al-trabajador/?referer=L-excel-formato&amp;utm_medium=act_formato_excel&amp;utm_source=act_formato_excel&amp;utm_campaign=act_formato_excel&amp;utm_content=act_formato_excel_link" TargetMode="External"/><Relationship Id="rId963" Type="http://schemas.openxmlformats.org/officeDocument/2006/relationships/hyperlink" Target="https://actualicese.com/cumplimiento-de-requisitos-para-solicitar-permanencia-en-el-regimen-tributario-especial/?referer=L-excel-formato&amp;utm_medium=act_formato_excel&amp;utm_source=act_formato_excel&amp;utm_campaign=act_formato_excel&amp;utm_content=act_formato_excel_link" TargetMode="External"/><Relationship Id="rId1039" Type="http://schemas.openxmlformats.org/officeDocument/2006/relationships/hyperlink" Target="https://actualicese.com/restitucion-de-bien-inmueble-arrendado-local-de-comercio/?referer=L-excel-formato&amp;utm_medium=act_formato_excel&amp;utm_source=act_formato_excel&amp;utm_campaign=act_formato_excel&amp;utm_content=act_formato_excel_link" TargetMode="External"/><Relationship Id="rId1246" Type="http://schemas.openxmlformats.org/officeDocument/2006/relationships/hyperlink" Target="https://actualicese.com/carta-de-compromiso-de-auditoria-bajo-nia/?referer=L-excel-formato&amp;utm_medium=act_formato_excel&amp;utm_source=act_formato_excel&amp;utm_campaign=act_formato_excel&amp;utm_content=act_formato_excel_link" TargetMode="External"/><Relationship Id="rId1898" Type="http://schemas.openxmlformats.org/officeDocument/2006/relationships/hyperlink" Target="https://actualicese.com/pagare-y-carta-de-instruccion/?referer=L-excel-formato&amp;utm_medium=act_formato_excel&amp;utm_source=act_formato_excel&amp;utm_campaign=act_formato_excel&amp;utm_content=act_formato_excel_link" TargetMode="External"/><Relationship Id="rId92" Type="http://schemas.openxmlformats.org/officeDocument/2006/relationships/hyperlink" Target="https://actualicese.com/solicitud-de-retiro-de-cesantias-para-estudio/?referer=L-excel-formato&amp;utm_medium=act_formato_excel&amp;utm_source=act_formato_excel&amp;utm_campaign=act_formato_excel&amp;utm_content=act_formato_excel_link" TargetMode="External"/><Relationship Id="rId616" Type="http://schemas.openxmlformats.org/officeDocument/2006/relationships/hyperlink" Target="https://actualicese.com/plantilla-del-formato-exogena-1007-por-el-ano-gravable-2020-reportes-de-ingresos-propios/?referer=L-excel-formato&amp;utm_medium=act_formato_excel&amp;utm_source=act_formato_excel&amp;utm_campaign=act_formato_excel&amp;utm_content=act_formato_excel_link" TargetMode="External"/><Relationship Id="rId823" Type="http://schemas.openxmlformats.org/officeDocument/2006/relationships/hyperlink" Target="https://actualicese.com/calculo-de-la-contribucion-2019-a-supersociedades/?referer=L-excel-formato&amp;utm_medium=act_formato_excel&amp;utm_source=act_formato_excel&amp;utm_campaign=act_formato_excel&amp;utm_content=act_formato_excel_link" TargetMode="External"/><Relationship Id="rId1453" Type="http://schemas.openxmlformats.org/officeDocument/2006/relationships/hyperlink" Target="https://actualicese.com/modelo-de-contrato-de-comodato-precario/?referer=L-excel-formato&amp;utm_medium=act_formato_excel&amp;utm_source=act_formato_excel&amp;utm_campaign=act_formato_excel&amp;utm_content=act_formato_excel_link" TargetMode="External"/><Relationship Id="rId1660" Type="http://schemas.openxmlformats.org/officeDocument/2006/relationships/hyperlink" Target="https://actualicese.com/reclamacion-directa-contra-proveedor-o-productor/?referer=L-excel-formato&amp;utm_medium=act_formato_excel&amp;utm_source=act_formato_excel&amp;utm_campaign=act_formato_excel&amp;utm_content=act_formato_excel_link" TargetMode="External"/><Relationship Id="rId1758" Type="http://schemas.openxmlformats.org/officeDocument/2006/relationships/hyperlink" Target="https://actualicese.com/liquidador-automatizado-de-la-prima-de-servicios-con-comprobante-de-pago/?referer=L-excel-formato&amp;utm_medium=act_formato_excel&amp;utm_source=act_formato_excel&amp;utm_campaign=act_formato_excel&amp;utm_content=act_formato_excel_link" TargetMode="External"/><Relationship Id="rId1106" Type="http://schemas.openxmlformats.org/officeDocument/2006/relationships/hyperlink" Target="https://actualicese.com/acta-de-junta-para-transformacion-de-sa-a-sas/?referer=L-excel-formato&amp;utm_medium=act_formato_excel&amp;utm_source=act_formato_excel&amp;utm_campaign=act_formato_excel&amp;utm_content=act_formato_excel_link" TargetMode="External"/><Relationship Id="rId1313" Type="http://schemas.openxmlformats.org/officeDocument/2006/relationships/hyperlink" Target="https://actualicese.com/formato-2276-informacion-de-los-certificados-de-ingresos-y-retenciones-a-empleados-ano-2015/?referer=L-excel-formato&amp;utm_medium=act_formato_excel&amp;utm_source=act_formato_excel&amp;utm_campaign=act_formato_excel&amp;utm_content=act_formato_excel_link" TargetMode="External"/><Relationship Id="rId1520" Type="http://schemas.openxmlformats.org/officeDocument/2006/relationships/hyperlink" Target="https://actualicese.com/casos-de-aplicacion-de-a-i-u/?referer=L-excel-formato&amp;utm_medium=act_formato_excel&amp;utm_source=act_formato_excel&amp;utm_campaign=act_formato_excel&amp;utm_content=act_formato_excel_link" TargetMode="External"/><Relationship Id="rId1965" Type="http://schemas.openxmlformats.org/officeDocument/2006/relationships/hyperlink" Target="https://actualicese.com/calculo-de-la-tir-y-tecnica-del-costo-amortizado-en-el-analisis-financiero/?referer=L-excel-formato&amp;utm_medium=act_formato_excel&amp;utm_source=act_formato_excel&amp;utm_campaign=act_formato_excel&amp;utm_content=act_formato_excel_link" TargetMode="External"/><Relationship Id="rId1618" Type="http://schemas.openxmlformats.org/officeDocument/2006/relationships/hyperlink" Target="https://actualicese.com/word-cesion-y-venta-de-cuotas-entre-los-mismos-socios/?referer=L-excel-formato&amp;utm_medium=act_formato_excel&amp;utm_source=act_formato_excel&amp;utm_campaign=act_formato_excel&amp;utm_content=act_formato_excel_link" TargetMode="External"/><Relationship Id="rId1825" Type="http://schemas.openxmlformats.org/officeDocument/2006/relationships/hyperlink" Target="https://actualicese.com/liquidador-de-aportes-a-seguridad-social-durante-la-licencia-de-maternidad/?referer=L-excel-formato&amp;utm_medium=act_formato_excel&amp;utm_source=act_formato_excel&amp;utm_campaign=act_formato_excel&amp;utm_content=act_formato_excel_link" TargetMode="External"/><Relationship Id="rId199" Type="http://schemas.openxmlformats.org/officeDocument/2006/relationships/hyperlink" Target="https://actualicese.com/guia-de-muestra-de-auditoria-simple-y-aleatoria/?referer=L-excel-formato&amp;utm_medium=act_formato_excel&amp;utm_source=act_formato_excel&amp;utm_campaign=act_formato_excel&amp;utm_content=act_formato_excel_link" TargetMode="External"/><Relationship Id="rId2087" Type="http://schemas.openxmlformats.org/officeDocument/2006/relationships/hyperlink" Target="https://actualicese.com/modelo-de-carta-de-solicitud-de-correccion-de-informacion-exogena/?referer=L-excel-formato&amp;utm_medium=act_formato_excel&amp;utm_source=act_formato_excel&amp;utm_campaign=act_formato_excel&amp;utm_content=act_formato_excel_link" TargetMode="External"/><Relationship Id="rId2294" Type="http://schemas.openxmlformats.org/officeDocument/2006/relationships/hyperlink" Target="https://actualicese.com/liquidador-de-aportes-a-seguridad-social-durante-la-licencia-de-maternidad/?referer=L-excel-formato&amp;utm_medium=act_formato_excel&amp;utm_source=act_formato_excel&amp;utm_campaign=act_formato_excel&amp;utm_content=act_formato_excel_link" TargetMode="External"/><Relationship Id="rId266" Type="http://schemas.openxmlformats.org/officeDocument/2006/relationships/hyperlink" Target="https://actualicese.com/derecho-de-peticion-para-solicitar-certificado-laboral/?referer=L-excel-formato&amp;utm_medium=act_formato_excel&amp;utm_source=act_formato_excel&amp;utm_campaign=act_formato_excel&amp;utm_content=act_formato_excel_link" TargetMode="External"/><Relationship Id="rId473" Type="http://schemas.openxmlformats.org/officeDocument/2006/relationships/hyperlink" Target="https://actualicese.com/indicadores-financieros-de-mercado/?referer=L-excel-formato&amp;utm_medium=act_formato_excel&amp;utm_source=act_formato_excel&amp;utm_campaign=act_formato_excel&amp;utm_content=act_formato_excel_link" TargetMode="External"/><Relationship Id="rId680" Type="http://schemas.openxmlformats.org/officeDocument/2006/relationships/hyperlink" Target="https://actualicese.com/impuesto-diferido-de-propiedades-de-inversion-en-un-contrato-de-leasing-operativo/?referer=L-excel-formato&amp;utm_medium=act_formato_excel&amp;utm_source=act_formato_excel&amp;utm_campaign=act_formato_excel&amp;utm_content=act_formato_excel_link" TargetMode="External"/><Relationship Id="rId2154" Type="http://schemas.openxmlformats.org/officeDocument/2006/relationships/hyperlink" Target="https://actualicese.com/simulador-para-contrastar-los-efectos-de-pertenecer-al-regimen-ordinario-del-impuesto-a-la-renta-o-al-regimen-simple-de-tributacion-ag-2024/?referer=L-excel-formato&amp;utm_medium=act_formato_excel&amp;utm_source=act_formato_excel&amp;utm_campaign=act_formato_excel&amp;utm_content=act_formato_excel_link" TargetMode="External"/><Relationship Id="rId2361" Type="http://schemas.openxmlformats.org/officeDocument/2006/relationships/hyperlink" Target="https://actualicese.com/ejercicios-sobre-metodos-de-depreciacion-linea-recta-decreciente-unidades-de-produccion-y-mas/?referer=L-excel-formato&amp;utm_medium=act_formato_excel&amp;utm_source=act_formato_excel&amp;utm_campaign=act_formato_excel&amp;utm_content=act_formato_excel_link" TargetMode="External"/><Relationship Id="rId126" Type="http://schemas.openxmlformats.org/officeDocument/2006/relationships/hyperlink" Target="https://actualicese.com/abonos-a-capital-realizados-a-un-prestamo-en-un-rango-de-tiempo/?referer=L-excel-formato&amp;utm_medium=act_formato_excel&amp;utm_source=act_formato_excel&amp;utm_campaign=act_formato_excel&amp;utm_content=act_formato_excel_link" TargetMode="External"/><Relationship Id="rId333" Type="http://schemas.openxmlformats.org/officeDocument/2006/relationships/hyperlink" Target="https://actualicese.com/dictamen-de-revisor-fiscal-con-comunicacion-de-cuestiones-clave-y-parrafo-de-enfasis/?referer=L-excel-formato&amp;utm_medium=act_formato_excel&amp;utm_source=act_formato_excel&amp;utm_campaign=act_formato_excel&amp;utm_content=act_formato_excel_link" TargetMode="External"/><Relationship Id="rId540" Type="http://schemas.openxmlformats.org/officeDocument/2006/relationships/hyperlink" Target="https://actualicese.com/matriz-de-lineamientos-del-codigo-de-etica-del-contador-publico-principios-fundamentales-amenazas-y-salvaguardas/?referer=L-excel-formato&amp;utm_medium=act_formato_excel&amp;utm_source=act_formato_excel&amp;utm_campaign=act_formato_excel&amp;utm_content=act_formato_excel_link" TargetMode="External"/><Relationship Id="rId778" Type="http://schemas.openxmlformats.org/officeDocument/2006/relationships/hyperlink" Target="https://actualicese.com/clasificacion-de-las-personas-juridicas-frente-al-impuesto-de-renta-y-al-simple-ano-gravable-2019/?referer=L-excel-formato&amp;utm_medium=act_formato_excel&amp;utm_source=act_formato_excel&amp;utm_campaign=act_formato_excel&amp;utm_content=act_formato_excel_link" TargetMode="External"/><Relationship Id="rId985" Type="http://schemas.openxmlformats.org/officeDocument/2006/relationships/hyperlink" Target="https://actualicese.com/formato-exogena-1007-por-el-ano-gravable-2017-reportes-de-ingresos-propios/?referer=L-excel-formato&amp;utm_medium=act_formato_excel&amp;utm_source=act_formato_excel&amp;utm_campaign=act_formato_excel&amp;utm_content=act_formato_excel_link" TargetMode="External"/><Relationship Id="rId1170" Type="http://schemas.openxmlformats.org/officeDocument/2006/relationships/hyperlink" Target="https://actualicese.com/informacion-laboral-2017/?referer=L-excel-formato&amp;utm_medium=act_formato_excel&amp;utm_source=act_formato_excel&amp;utm_campaign=act_formato_excel&amp;utm_content=act_formato_excel_link" TargetMode="External"/><Relationship Id="rId2014" Type="http://schemas.openxmlformats.org/officeDocument/2006/relationships/hyperlink" Target="https://actualicese.com/pack-de-formatos-para-realizar-contabilizaciones-en-operaciones-diarias/?referer=L-excel-formato&amp;utm_medium=act_formato_excel&amp;utm_source=act_formato_excel&amp;utm_campaign=act_formato_excel&amp;utm_content=act_formato_excel_link" TargetMode="External"/><Relationship Id="rId2221" Type="http://schemas.openxmlformats.org/officeDocument/2006/relationships/hyperlink" Target="https://actualicese.com/liquidador-plantilla-de-los-formatos-1011-1012-y-2275-de-exogena-2023-para-el-reporte-de-otros-datos-en-renta-e-iva/?referer=L-excel-formato&amp;utm_medium=act_formato_excel&amp;utm_source=act_formato_excel&amp;utm_campaign=act_formato_excel&amp;utm_content=act_formato_excel_link" TargetMode="External"/><Relationship Id="rId2459" Type="http://schemas.openxmlformats.org/officeDocument/2006/relationships/printerSettings" Target="../printerSettings/printerSettings3.bin"/><Relationship Id="rId638" Type="http://schemas.openxmlformats.org/officeDocument/2006/relationships/hyperlink" Target="https://actualicese.com/desistimiento-de-la-accion-de-tutela/?referer=L-excel-formato&amp;utm_medium=act_formato_excel&amp;utm_source=act_formato_excel&amp;utm_campaign=act_formato_excel&amp;utm_content=act_formato_excel_link" TargetMode="External"/><Relationship Id="rId845" Type="http://schemas.openxmlformats.org/officeDocument/2006/relationships/hyperlink" Target="https://actualicese.com/inscripcion-de-libros-en-las-camaras-de-comercio/?referer=L-excel-formato&amp;utm_medium=act_formato_excel&amp;utm_source=act_formato_excel&amp;utm_campaign=act_formato_excel&amp;utm_content=act_formato_excel_link" TargetMode="External"/><Relationship Id="rId1030" Type="http://schemas.openxmlformats.org/officeDocument/2006/relationships/hyperlink" Target="https://actualicese.com/tasa-representativa-de-mercado-trm/?referer=L-excel-formato&amp;utm_medium=act_formato_excel&amp;utm_source=act_formato_excel&amp;utm_campaign=act_formato_excel&amp;utm_content=act_formato_excel_link" TargetMode="External"/><Relationship Id="rId1268" Type="http://schemas.openxmlformats.org/officeDocument/2006/relationships/hyperlink" Target="https://actualicese.com/acta-de-asamblea-general-para-aprobacion-de-estados-financieros-2015-en-entidad-del-grupo-1/?referer=L-excel-formato&amp;utm_medium=act_formato_excel&amp;utm_source=act_formato_excel&amp;utm_campaign=act_formato_excel&amp;utm_content=act_formato_excel_link" TargetMode="External"/><Relationship Id="rId1475" Type="http://schemas.openxmlformats.org/officeDocument/2006/relationships/hyperlink" Target="https://actualicese.com/analisis-de-la-situacion-financiera-a-largo-plazo-3/?referer=L-excel-formato&amp;utm_medium=act_formato_excel&amp;utm_source=act_formato_excel&amp;utm_campaign=act_formato_excel&amp;utm_content=act_formato_excel_link" TargetMode="External"/><Relationship Id="rId1682" Type="http://schemas.openxmlformats.org/officeDocument/2006/relationships/hyperlink" Target="https://actualicese.com/liquidador-de-sancion-por-correccion-presentada-por-el-contribuyente/?referer=L-excel-formato&amp;utm_medium=act_formato_excel&amp;utm_source=act_formato_excel&amp;utm_campaign=act_formato_excel&amp;utm_content=act_formato_excel_link" TargetMode="External"/><Relationship Id="rId2319" Type="http://schemas.openxmlformats.org/officeDocument/2006/relationships/hyperlink" Target="https://actualicese.com/calculo-del-limite-de-subcapitalizacion-casos-practicos-en-excel/?referer=L-excel-formato&amp;utm_medium=act_formato_excel&amp;utm_source=act_formato_excel&amp;utm_campaign=act_formato_excel&amp;utm_content=act_formato_excel_link" TargetMode="External"/><Relationship Id="rId400" Type="http://schemas.openxmlformats.org/officeDocument/2006/relationships/hyperlink" Target="https://actualicese.com/tablas-de-retencion-en-la-fuente-2022-a-titulo-de-impuestos-nacionales/?referer=L-excel-formato&amp;utm_medium=act_formato_excel&amp;utm_source=act_formato_excel&amp;utm_campaign=act_formato_excel&amp;utm_content=act_formato_excel_link" TargetMode="External"/><Relationship Id="rId705" Type="http://schemas.openxmlformats.org/officeDocument/2006/relationships/hyperlink" Target="https://actualicese.com/formulario-260-ag-2019-declaracion-anual-del-simple-personas-naturales-que-no-llevan-contabilidad/?referer=L-excel-formato&amp;utm_medium=act_formato_excel&amp;utm_source=act_formato_excel&amp;utm_campaign=act_formato_excel&amp;utm_content=act_formato_excel_link" TargetMode="External"/><Relationship Id="rId1128" Type="http://schemas.openxmlformats.org/officeDocument/2006/relationships/hyperlink" Target="https://actualicese.com/formato-1010-por-2016-reportes-de-socios-cooperados-o-comuneros/?referer=L-excel-formato&amp;utm_medium=act_formato_excel&amp;utm_source=act_formato_excel&amp;utm_campaign=act_formato_excel&amp;utm_content=act_formato_excel_link" TargetMode="External"/><Relationship Id="rId1335" Type="http://schemas.openxmlformats.org/officeDocument/2006/relationships/hyperlink" Target="https://actualicese.com/tarifas-de-la-autorretencion-del-cree/?referer=L-excel-formato&amp;utm_medium=act_formato_excel&amp;utm_source=act_formato_excel&amp;utm_campaign=act_formato_excel&amp;utm_content=act_formato_excel_link" TargetMode="External"/><Relationship Id="rId1542" Type="http://schemas.openxmlformats.org/officeDocument/2006/relationships/hyperlink" Target="https://actualicese.com/clasificacion-general-de-personas-juridicas-en-relacion-con-el-impuesto-de-renta-y-complementarios-y-del-cree-por-el-ano-gravable-2013/?referer=L-excel-formato&amp;utm_medium=act_formato_excel&amp;utm_source=act_formato_excel&amp;utm_campaign=act_formato_excel&amp;utm_content=act_formato_excel_link" TargetMode="External"/><Relationship Id="rId1987" Type="http://schemas.openxmlformats.org/officeDocument/2006/relationships/hyperlink" Target="https://actualicese.com/simulador-para-la-clasificacion-de-entidades-en-los-grupos-1-2-o-3-de-estandares-internacionales/?referer=L-excel-formato&amp;utm_medium=act_formato_excel&amp;utm_source=act_formato_excel&amp;utm_campaign=act_formato_excel&amp;utm_content=act_formato_excel_link" TargetMode="External"/><Relationship Id="rId912" Type="http://schemas.openxmlformats.org/officeDocument/2006/relationships/hyperlink" Target="https://actualicese.com/certificacion-para-efectos-de-retencion-en-la-fuente-de-trabajador-independiente/?referer=L-excel-formato&amp;utm_medium=act_formato_excel&amp;utm_source=act_formato_excel&amp;utm_campaign=act_formato_excel&amp;utm_content=act_formato_excel_link" TargetMode="External"/><Relationship Id="rId1847" Type="http://schemas.openxmlformats.org/officeDocument/2006/relationships/hyperlink" Target="https://actualicese.com/liquidador-de-nomina-de-empleados-de-servicio-domestico-que-laboran-por-dias/?referer=L-excel-formato&amp;utm_medium=act_formato_excel&amp;utm_source=act_formato_excel&amp;utm_campaign=act_formato_excel&amp;utm_content=act_formato_excel_link" TargetMode="External"/><Relationship Id="rId41" Type="http://schemas.openxmlformats.org/officeDocument/2006/relationships/hyperlink" Target="https://actualicese.com/orden-de-compra/?referer=L-excel-formato&amp;utm_medium=act_formato_excel&amp;utm_source=act_formato_excel&amp;utm_campaign=act_formato_excel&amp;utm_content=act_formato_excel_link" TargetMode="External"/><Relationship Id="rId1402" Type="http://schemas.openxmlformats.org/officeDocument/2006/relationships/hyperlink" Target="https://actualicese.com/medicion-de-cuentas-por-cobrar-sin-intereses/?referer=L-excel-formato&amp;utm_medium=act_formato_excel&amp;utm_source=act_formato_excel&amp;utm_campaign=act_formato_excel&amp;utm_content=act_formato_excel_link" TargetMode="External"/><Relationship Id="rId1707" Type="http://schemas.openxmlformats.org/officeDocument/2006/relationships/hyperlink" Target="https://actualicese.com/informe-nisr-4400-para-revision-de-requerimientos-del-programa-de-incentivo-por-creacion-de-nuevos-empleos/?referer=L-excel-formato&amp;utm_medium=act_formato_excel&amp;utm_source=act_formato_excel&amp;utm_campaign=act_formato_excel&amp;utm_content=act_formato_excel_link" TargetMode="External"/><Relationship Id="rId190" Type="http://schemas.openxmlformats.org/officeDocument/2006/relationships/hyperlink" Target="https://actualicese.com/solicitud-de-acuerdo-de-pago-para-obligaciones-vencidas-ante-la-dian/?referer=L-excel-formato&amp;utm_medium=act_formato_excel&amp;utm_source=act_formato_excel&amp;utm_campaign=act_formato_excel&amp;utm_content=act_formato_excel_link" TargetMode="External"/><Relationship Id="rId288" Type="http://schemas.openxmlformats.org/officeDocument/2006/relationships/hyperlink" Target="https://actualicese.com/plantilla-del-formato-1010-para-reporte-de-exogena-2021-informacion-de-socios-cooperados-o-comuneros/?referer=L-excel-formato&amp;utm_medium=act_formato_excel&amp;utm_source=act_formato_excel&amp;utm_campaign=act_formato_excel&amp;utm_content=act_formato_excel_link" TargetMode="External"/><Relationship Id="rId1914" Type="http://schemas.openxmlformats.org/officeDocument/2006/relationships/hyperlink" Target="https://actualicese.com/acta-de-asamblea-general/?referer=L-excel-formato&amp;utm_medium=act_formato_excel&amp;utm_source=act_formato_excel&amp;utm_campaign=act_formato_excel&amp;utm_content=act_formato_excel_link" TargetMode="External"/><Relationship Id="rId495" Type="http://schemas.openxmlformats.org/officeDocument/2006/relationships/hyperlink" Target="https://actualicese.com/presentacion-y-revelacion-de-cuentas-por-cobrar-modelo-politica-contable/?referer=L-excel-formato&amp;utm_medium=act_formato_excel&amp;utm_source=act_formato_excel&amp;utm_campaign=act_formato_excel&amp;utm_content=act_formato_excel_link" TargetMode="External"/><Relationship Id="rId2176" Type="http://schemas.openxmlformats.org/officeDocument/2006/relationships/hyperlink" Target="https://actualicese.com/liquidador-certificado-de-ingresos-y-retenciones-plantilla-del-formulario-220-y-del-formato-2276-ag-2023/?referer=L-excel-formato&amp;utm_medium=act_formato_excel&amp;utm_source=act_formato_excel&amp;utm_campaign=act_formato_excel&amp;utm_content=act_formato_excel_link" TargetMode="External"/><Relationship Id="rId2383" Type="http://schemas.openxmlformats.org/officeDocument/2006/relationships/hyperlink" Target="https://actualicese.com/prestamo-para-vivienda-modalidad-de-cuota-fija-en-pesos/?referer=L-excel-formato&amp;utm_medium=act_formato_excel&amp;utm_source=act_formato_excel&amp;utm_campaign=act_formato_excel&amp;utm_content=act_formato_excel_link" TargetMode="External"/><Relationship Id="rId148" Type="http://schemas.openxmlformats.org/officeDocument/2006/relationships/hyperlink" Target="https://actualicese.com/caso-practico-de-impuesto-diferido-por-mejoras-en-propiedades-ajenas/?referer=L-excel-formato&amp;utm_medium=act_formato_excel&amp;utm_source=act_formato_excel&amp;utm_campaign=act_formato_excel&amp;utm_content=act_formato_excel_link" TargetMode="External"/><Relationship Id="rId355" Type="http://schemas.openxmlformats.org/officeDocument/2006/relationships/hyperlink" Target="https://actualicese.com/poder-para-nombrar-delegado-o-apoderado-en-asamblea-de-propietarios-en-p-h/?referer=L-excel-formato&amp;utm_medium=act_formato_excel&amp;utm_source=act_formato_excel&amp;utm_campaign=act_formato_excel&amp;utm_content=act_formato_excel_link" TargetMode="External"/><Relationship Id="rId562" Type="http://schemas.openxmlformats.org/officeDocument/2006/relationships/hyperlink" Target="https://actualicese.com/modelo-de-las-politicas-sobre-conservacion-de-los-papeles-de-trabajo-de-una-firma-de-auditoria/?referer=L-excel-formato&amp;utm_medium=act_formato_excel&amp;utm_source=act_formato_excel&amp;utm_campaign=act_formato_excel&amp;utm_content=act_formato_excel_link" TargetMode="External"/><Relationship Id="rId1192" Type="http://schemas.openxmlformats.org/officeDocument/2006/relationships/hyperlink" Target="https://actualicese.com/modelo-para-otorgar-poder-de-representacion-ante-una-junta-de-socios-o-asamblea-de-accionistas/?referer=L-excel-formato&amp;utm_medium=act_formato_excel&amp;utm_source=act_formato_excel&amp;utm_campaign=act_formato_excel&amp;utm_content=act_formato_excel_link" TargetMode="External"/><Relationship Id="rId2036" Type="http://schemas.openxmlformats.org/officeDocument/2006/relationships/hyperlink" Target="https://actualicese.com/caso-practico-de-contabilizacion-de-devoluciones-en-ventas/?referer=L-excel-formato&amp;utm_medium=act_formato_excel&amp;utm_source=act_formato_excel&amp;utm_campaign=act_formato_excel&amp;utm_content=act_formato_excel_link" TargetMode="External"/><Relationship Id="rId2243" Type="http://schemas.openxmlformats.org/officeDocument/2006/relationships/hyperlink" Target="https://actualicese.com/utilidad-por-venta-de-activo-fijo-depreciable-que-sera-renta-por-recuperacion-de-deducciones/?referer=L-excel-formato&amp;utm_medium=act_formato_excel&amp;utm_source=act_formato_excel&amp;utm_campaign=act_formato_excel&amp;utm_content=act_formato_excel_link" TargetMode="External"/><Relationship Id="rId2450" Type="http://schemas.openxmlformats.org/officeDocument/2006/relationships/hyperlink" Target="https://actualicese.com/liquidador-automatizado-de-intereses-a-las-cesantias-y-su-comprobante-de-pago/?referer=L-excel-formato&amp;utm_medium=act_formato_excel&amp;utm_source=act_formato_excel&amp;utm_campaign=act_formato_excel&amp;utm_content=act_formato_excel_link" TargetMode="External"/><Relationship Id="rId215" Type="http://schemas.openxmlformats.org/officeDocument/2006/relationships/hyperlink" Target="https://actualicese.com/casos-practicos-de-retencion-en-la-fuente-por-compras-servicios-y-honorarios/?referer=L-excel-formato&amp;utm_medium=act_formato_excel&amp;utm_source=act_formato_excel&amp;utm_campaign=act_formato_excel&amp;utm_content=act_formato_excel_link" TargetMode="External"/><Relationship Id="rId422" Type="http://schemas.openxmlformats.org/officeDocument/2006/relationships/hyperlink" Target="https://actualicese.com/nota-por-aplicar-la-exencion-de-contabilizacion-del-impuesto-diferido-de-2021/?referer=L-excel-formato&amp;utm_medium=act_formato_excel&amp;utm_source=act_formato_excel&amp;utm_campaign=act_formato_excel&amp;utm_content=act_formato_excel_link" TargetMode="External"/><Relationship Id="rId867" Type="http://schemas.openxmlformats.org/officeDocument/2006/relationships/hyperlink" Target="https://actualicese.com/estructura-general-del-decreto-unico-tributario-1625-de-2016/?referer=L-excel-formato&amp;utm_medium=act_formato_excel&amp;utm_source=act_formato_excel&amp;utm_campaign=act_formato_excel&amp;utm_content=act_formato_excel_link" TargetMode="External"/><Relationship Id="rId1052" Type="http://schemas.openxmlformats.org/officeDocument/2006/relationships/hyperlink" Target="https://actualicese.com/formatos-para-acceder-a-exclusion-de-iva-en-equipos-en-pro-del-medio-ambiente/?referer=L-excel-formato&amp;utm_medium=act_formato_excel&amp;utm_source=act_formato_excel&amp;utm_campaign=act_formato_excel&amp;utm_content=act_formato_excel_link" TargetMode="External"/><Relationship Id="rId1497" Type="http://schemas.openxmlformats.org/officeDocument/2006/relationships/hyperlink" Target="https://actualicese.com/conciliacion-entre-resultado-contable-y-resultados-fiscales-2014/?referer=L-excel-formato&amp;utm_medium=act_formato_excel&amp;utm_source=act_formato_excel&amp;utm_campaign=act_formato_excel&amp;utm_content=act_formato_excel_link" TargetMode="External"/><Relationship Id="rId2103" Type="http://schemas.openxmlformats.org/officeDocument/2006/relationships/hyperlink" Target="https://actualicese.com/liquidador-modelo-en-excel-para-calcular-la-nueva-tasa-minima-de-tributacion-de-las-personas-juridicas-segun-reforma-tributaria-2022/?referer=L-excel-formato&amp;utm_medium=act_formato_excel&amp;utm_source=act_formato_excel&amp;utm_campaign=act_formato_excel&amp;utm_content=act_formato_excel_link" TargetMode="External"/><Relationship Id="rId2310" Type="http://schemas.openxmlformats.org/officeDocument/2006/relationships/hyperlink" Target="https://actualicese.com/formato-en-excel-para-la-toma-de-inventario-fisico-con-macros/?referer=L-excel-formato&amp;utm_medium=act_formato_excel&amp;utm_source=act_formato_excel&amp;utm_campaign=act_formato_excel&amp;utm_content=act_formato_excel_link" TargetMode="External"/><Relationship Id="rId727" Type="http://schemas.openxmlformats.org/officeDocument/2006/relationships/hyperlink" Target="https://actualicese.com/formulario-445-impuesto-de-normalizacion-tributaria-2020-plantilla-en-excel/?referer=L-excel-formato&amp;utm_medium=act_formato_excel&amp;utm_source=act_formato_excel&amp;utm_campaign=act_formato_excel&amp;utm_content=act_formato_excel_link" TargetMode="External"/><Relationship Id="rId934" Type="http://schemas.openxmlformats.org/officeDocument/2006/relationships/hyperlink" Target="https://actualicese.com/impuesto-de-renta-y-ganancia-ocasional-segun-residencia-fiscal-de-la-persona-natural/?referer=L-excel-formato&amp;utm_medium=act_formato_excel&amp;utm_source=act_formato_excel&amp;utm_campaign=act_formato_excel&amp;utm_content=act_formato_excel_link" TargetMode="External"/><Relationship Id="rId1357" Type="http://schemas.openxmlformats.org/officeDocument/2006/relationships/hyperlink" Target="https://actualicese.com/normatividad-reglamentaria-del-impuesto-nacional-al-consumo/?referer=L-excel-formato&amp;utm_medium=act_formato_excel&amp;utm_source=act_formato_excel&amp;utm_campaign=act_formato_excel&amp;utm_content=act_formato_excel_link" TargetMode="External"/><Relationship Id="rId1564" Type="http://schemas.openxmlformats.org/officeDocument/2006/relationships/hyperlink" Target="https://actualicese.com/calculo-del-punto-de-equilibrio-y-simulacion-de-utilidad-deseada-ower-cassetta/?referer=L-excel-formato&amp;utm_medium=act_formato_excel&amp;utm_source=act_formato_excel&amp;utm_campaign=act_formato_excel&amp;utm_content=act_formato_excel_link" TargetMode="External"/><Relationship Id="rId1771" Type="http://schemas.openxmlformats.org/officeDocument/2006/relationships/hyperlink" Target="https://actualicese.com/notificacion-de-embargo-de-la-prima-de-servicios/?referer=L-excel-formato&amp;utm_medium=act_formato_excel&amp;utm_source=act_formato_excel&amp;utm_campaign=act_formato_excel&amp;utm_content=act_formato_excel_link" TargetMode="External"/><Relationship Id="rId2408" Type="http://schemas.openxmlformats.org/officeDocument/2006/relationships/hyperlink" Target="https://actualicese.com/analisis-vertical-y-horizontal-aplicados-a-la-interpretacion-de-informacion-financiera/?referer=L-excel-formato&amp;utm_medium=act_formato_excel&amp;utm_source=act_formato_excel&amp;utm_campaign=act_formato_excel&amp;utm_content=act_formato_excel_link" TargetMode="External"/><Relationship Id="rId63" Type="http://schemas.openxmlformats.org/officeDocument/2006/relationships/hyperlink" Target="https://actualicese.com/modelo-aceptacion-de-renuncia/?referer=L-excel-formato&amp;utm_medium=act_formato_excel&amp;utm_source=act_formato_excel&amp;utm_campaign=act_formato_excel&amp;utm_content=act_formato_excel_link" TargetMode="External"/><Relationship Id="rId1217" Type="http://schemas.openxmlformats.org/officeDocument/2006/relationships/hyperlink" Target="https://actualicese.com/disolucion-de-una-sociedad/?referer=L-excel-formato&amp;utm_medium=act_formato_excel&amp;utm_source=act_formato_excel&amp;utm_campaign=act_formato_excel&amp;utm_content=act_formato_excel_link" TargetMode="External"/><Relationship Id="rId1424" Type="http://schemas.openxmlformats.org/officeDocument/2006/relationships/hyperlink" Target="https://actualicese.com/declaracion-de-renta-personas-naturales-2014-documentos-necesarios-para-elaborarla/?referer=L-excel-formato&amp;utm_medium=act_formato_excel&amp;utm_source=act_formato_excel&amp;utm_campaign=act_formato_excel&amp;utm_content=act_formato_excel_link" TargetMode="External"/><Relationship Id="rId1631" Type="http://schemas.openxmlformats.org/officeDocument/2006/relationships/hyperlink" Target="https://actualicese.com/modelo-para-elaborar-un-resumen-de-ajustes-propuestos-a-los-estados-financieros-en-el-desarrollo-de-una-auditoria-externa-o-revisoria-fiscal/?referer=L-excel-formato&amp;utm_medium=act_formato_excel&amp;utm_source=act_formato_excel&amp;utm_campaign=act_formato_excel&amp;utm_content=act_formato_excel_link" TargetMode="External"/><Relationship Id="rId1869" Type="http://schemas.openxmlformats.org/officeDocument/2006/relationships/hyperlink" Target="https://actualicese.com/sancion-por-extemporaneidad-despues-del-emplazamiento/?referer=L-excel-formato&amp;utm_medium=act_formato_excel&amp;utm_source=act_formato_excel&amp;utm_campaign=act_formato_excel&amp;utm_content=act_formato_excel_link" TargetMode="External"/><Relationship Id="rId1729" Type="http://schemas.openxmlformats.org/officeDocument/2006/relationships/hyperlink" Target="https://actualicese.com/dictamen-de-revisor-fiscal-con-comunicacion-de-cuestiones-clave-y-parrafo-de-enfasis/?referer=L-excel-formato&amp;utm_medium=act_formato_excel&amp;utm_source=act_formato_excel&amp;utm_campaign=act_formato_excel&amp;utm_content=act_formato_excel_link" TargetMode="External"/><Relationship Id="rId1936" Type="http://schemas.openxmlformats.org/officeDocument/2006/relationships/hyperlink" Target="https://actualicese.com/cuestionario-de-control-interno-de-inventarios-en-excel/?referer=L-excel-formato&amp;utm_medium=act_formato_excel&amp;utm_source=act_formato_excel&amp;utm_campaign=act_formato_excel&amp;utm_content=act_formato_excel_link" TargetMode="External"/><Relationship Id="rId2198" Type="http://schemas.openxmlformats.org/officeDocument/2006/relationships/hyperlink" Target="https://actualicese.com/renta-liquida-gravable-por-comparacion-patrimonial-calculos-para-su-determinacion/?referer=L-excel-formato&amp;utm_medium=act_formato_excel&amp;utm_source=act_formato_excel&amp;utm_campaign=act_formato_excel&amp;utm_content=act_formato_excel_link" TargetMode="External"/><Relationship Id="rId377" Type="http://schemas.openxmlformats.org/officeDocument/2006/relationships/hyperlink" Target="https://actualicese.com/estados-financieros-consolidados-dictamen-sin-salvedades/?referer=L-excel-formato&amp;utm_medium=act_formato_excel&amp;utm_source=act_formato_excel&amp;utm_campaign=act_formato_excel&amp;utm_content=act_formato_excel_link" TargetMode="External"/><Relationship Id="rId584" Type="http://schemas.openxmlformats.org/officeDocument/2006/relationships/hyperlink" Target="https://actualicese.com/notificacion-de-embargo-de-la-prima-de-servicios/?referer=L-excel-formato&amp;utm_medium=act_formato_excel&amp;utm_source=act_formato_excel&amp;utm_campaign=act_formato_excel&amp;utm_content=act_formato_excel_link" TargetMode="External"/><Relationship Id="rId2058" Type="http://schemas.openxmlformats.org/officeDocument/2006/relationships/hyperlink" Target="https://actualicese.com/liquidador-en-excel-con-macros-del-porcentaje-fijo-de-retencion-en-la-fuente-sobre-salarios-con-procedimiento-2/?referer=L-excel-formato&amp;utm_medium=act_formato_excel&amp;utm_source=act_formato_excel&amp;utm_campaign=act_formato_excel&amp;utm_content=act_formato_excel_link" TargetMode="External"/><Relationship Id="rId2265"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5" Type="http://schemas.openxmlformats.org/officeDocument/2006/relationships/hyperlink" Target="https://actualicese.com/liquidador-impuesto-diferido-por-venta-de-bienes-inmuebles-a-largo-plazo-en-2022-caso-practico-en-excel/?referer=L-excel-formato&amp;utm_medium=act_formato_excel&amp;utm_source=act_formato_excel&amp;utm_campaign=act_formato_excel&amp;utm_content=act_formato_excel_link" TargetMode="External"/><Relationship Id="rId237" Type="http://schemas.openxmlformats.org/officeDocument/2006/relationships/hyperlink" Target="https://actualicese.com/formulario-110-ag-2021-declaracion-de-renta-de-personas-naturales-no-residentes-que-no-llevan-contabilidad/?referer=L-excel-formato&amp;utm_medium=act_formato_excel&amp;utm_source=act_formato_excel&amp;utm_campaign=act_formato_excel&amp;utm_content=act_formato_excel_link" TargetMode="External"/><Relationship Id="rId791" Type="http://schemas.openxmlformats.org/officeDocument/2006/relationships/hyperlink" Target="https://actualicese.com/tributacion-sobre-dividendos-y-su-respectiva-retencion-fue-reglamentada-por-el-ministerio-de-hacienda/?referer=L-excel-formato&amp;utm_medium=act_formato_excel&amp;utm_source=act_formato_excel&amp;utm_campaign=act_formato_excel&amp;utm_content=act_formato_excel_link" TargetMode="External"/><Relationship Id="rId889" Type="http://schemas.openxmlformats.org/officeDocument/2006/relationships/hyperlink" Target="https://actualicese.com/requisitos-para-pertenecer-al-regimen-simple-de-tributacion/?referer=L-excel-formato&amp;utm_medium=act_formato_excel&amp;utm_source=act_formato_excel&amp;utm_campaign=act_formato_excel&amp;utm_content=act_formato_excel_link" TargetMode="External"/><Relationship Id="rId1074" Type="http://schemas.openxmlformats.org/officeDocument/2006/relationships/hyperlink" Target="https://actualicese.com/modelo-de-circularizacion-con-companias-de-seguros/?referer=L-excel-formato&amp;utm_medium=act_formato_excel&amp;utm_source=act_formato_excel&amp;utm_campaign=act_formato_excel&amp;utm_content=act_formato_excel_link" TargetMode="External"/><Relationship Id="rId444" Type="http://schemas.openxmlformats.org/officeDocument/2006/relationships/hyperlink" Target="https://actualicese.com/liquidador-de-indicadores-de-detrimento-patrimonial-e-insolvencia-financiera/?referer=L-excel-formato&amp;utm_medium=act_formato_excel&amp;utm_source=act_formato_excel&amp;utm_campaign=act_formato_excel&amp;utm_content=act_formato_excel_link" TargetMode="External"/><Relationship Id="rId651" Type="http://schemas.openxmlformats.org/officeDocument/2006/relationships/hyperlink" Target="https://actualicese.com/rentas-exentas-para-personas-juridicas-periodo-gravable-2020/?referer=L-excel-formato&amp;utm_medium=act_formato_excel&amp;utm_source=act_formato_excel&amp;utm_campaign=act_formato_excel&amp;utm_content=act_formato_excel_link" TargetMode="External"/><Relationship Id="rId749" Type="http://schemas.openxmlformats.org/officeDocument/2006/relationships/hyperlink" Target="https://actualicese.com/certificado-para-modificar-o-suspender-beneficios-extralegales-a-causa-del-covid-19/?referer=L-excel-formato&amp;utm_medium=act_formato_excel&amp;utm_source=act_formato_excel&amp;utm_campaign=act_formato_excel&amp;utm_content=act_formato_excel_link" TargetMode="External"/><Relationship Id="rId1281" Type="http://schemas.openxmlformats.org/officeDocument/2006/relationships/hyperlink" Target="https://actualicese.com/generacion-del-iva-en-operaciones-con-empresas-en-zonas-francas/?referer=L-excel-formato&amp;utm_medium=act_formato_excel&amp;utm_source=act_formato_excel&amp;utm_campaign=act_formato_excel&amp;utm_content=act_formato_excel_link" TargetMode="External"/><Relationship Id="rId1379" Type="http://schemas.openxmlformats.org/officeDocument/2006/relationships/hyperlink" Target="https://actualicese.com/atencion-integral-en-seguridad-y-salud-en-el-trabajo-2015-trabajadores-expuestos-a-organofosforados-o-carbamatos/?referer=L-excel-formato&amp;utm_medium=act_formato_excel&amp;utm_source=act_formato_excel&amp;utm_campaign=act_formato_excel&amp;utm_content=act_formato_excel_link" TargetMode="External"/><Relationship Id="rId1586" Type="http://schemas.openxmlformats.org/officeDocument/2006/relationships/hyperlink" Target="https://actualicese.com/acta-de-constitucion-y-estatutos-de-entidad-sin-animo-de-lucro-fundacion-corporacion-asociacion/?referer=L-excel-formato&amp;utm_medium=act_formato_excel&amp;utm_source=act_formato_excel&amp;utm_campaign=act_formato_excel&amp;utm_content=act_formato_excel_link" TargetMode="External"/><Relationship Id="rId2125" Type="http://schemas.openxmlformats.org/officeDocument/2006/relationships/hyperlink" Target="https://actualicese.com/comprobante-de-pago-intereses-a-las-cesantias/?referer=L-excel-formato&amp;utm_medium=act_formato_excel&amp;utm_source=act_formato_excel&amp;utm_campaign=act_formato_excel&amp;utm_content=act_formato_excel_link" TargetMode="External"/><Relationship Id="rId2332" Type="http://schemas.openxmlformats.org/officeDocument/2006/relationships/hyperlink" Target="https://actualicese.com/notificacion-de-sancion-disciplinaria/?referer=L-excel-formato&amp;utm_medium=act_formato_excel&amp;utm_source=act_formato_excel&amp;utm_campaign=act_formato_excel&amp;utm_content=act_formato_excel_link" TargetMode="External"/><Relationship Id="rId304" Type="http://schemas.openxmlformats.org/officeDocument/2006/relationships/hyperlink" Target="https://actualicese.com/2022-historico-de-salario-minimo-y-auxilio-de-transporte/?referer=L-excel-formato&amp;utm_medium=act_formato_excel&amp;utm_source=act_formato_excel&amp;utm_campaign=act_formato_excel&amp;utm_content=act_formato_excel_link" TargetMode="External"/><Relationship Id="rId511" Type="http://schemas.openxmlformats.org/officeDocument/2006/relationships/hyperlink" Target="https://actualicese.com/lista-de-chequeo-para-trasladarse-de-regimen-de-pensiones/?referer=L-excel-formato&amp;utm_medium=act_formato_excel&amp;utm_source=act_formato_excel&amp;utm_campaign=act_formato_excel&amp;utm_content=act_formato_excel_link" TargetMode="External"/><Relationship Id="rId609" Type="http://schemas.openxmlformats.org/officeDocument/2006/relationships/hyperlink" Target="https://actualicese.com/matriz-de-categorias-de-informantes-de-exogena-por-el-ano-gravable-2020-y-los-formatos-que-deben-usar/?referer=L-excel-formato&amp;utm_medium=act_formato_excel&amp;utm_source=act_formato_excel&amp;utm_campaign=act_formato_excel&amp;utm_content=act_formato_excel_link" TargetMode="External"/><Relationship Id="rId956" Type="http://schemas.openxmlformats.org/officeDocument/2006/relationships/hyperlink" Target="https://actualicese.com/beneficios-tributarios-por-venta-o-herencia-de-bien-inmueble/?referer=L-excel-formato&amp;utm_medium=act_formato_excel&amp;utm_source=act_formato_excel&amp;utm_campaign=act_formato_excel&amp;utm_content=act_formato_excel_link" TargetMode="External"/><Relationship Id="rId1141" Type="http://schemas.openxmlformats.org/officeDocument/2006/relationships/hyperlink" Target="https://actualicese.com/formularios-110-y-140-y-formato-1732-para-personas-juridicas-por-ano-gravable-2016/?referer=L-excel-formato&amp;utm_medium=act_formato_excel&amp;utm_source=act_formato_excel&amp;utm_campaign=act_formato_excel&amp;utm_content=act_formato_excel_link" TargetMode="External"/><Relationship Id="rId1239" Type="http://schemas.openxmlformats.org/officeDocument/2006/relationships/hyperlink" Target="https://actualicese.com/servicios-y-contratos-en-los-cuales-se-puede-aplicar-aiu/?referer=L-excel-formato&amp;utm_medium=act_formato_excel&amp;utm_source=act_formato_excel&amp;utm_campaign=act_formato_excel&amp;utm_content=act_formato_excel_link" TargetMode="External"/><Relationship Id="rId1793"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85" Type="http://schemas.openxmlformats.org/officeDocument/2006/relationships/hyperlink" Target="https://actualicese.com/liquidador-de-politica-de-recaudo-a-clientes-y-plantilla-de-control-de-cuentas-por-cobrar/?referer=L-excel-formato&amp;utm_medium=act_formato_excel&amp;utm_source=act_formato_excel&amp;utm_campaign=act_formato_excel&amp;utm_content=act_formato_excel_link" TargetMode="External"/><Relationship Id="rId816" Type="http://schemas.openxmlformats.org/officeDocument/2006/relationships/hyperlink" Target="https://actualicese.com/recomendaciones-a-la-junta-directiva-emitida-por-empleado-que-renuncia-con-justa-causa/?referer=L-excel-formato&amp;utm_medium=act_formato_excel&amp;utm_source=act_formato_excel&amp;utm_campaign=act_formato_excel&amp;utm_content=act_formato_excel_link" TargetMode="External"/><Relationship Id="rId1001" Type="http://schemas.openxmlformats.org/officeDocument/2006/relationships/hyperlink" Target="https://actualicese.com/formulario-220-certificado-por-rentas-de-trabajo-del-ano-gravable-2017-ejemplo-de-asalariados/?referer=L-excel-formato&amp;utm_medium=act_formato_excel&amp;utm_source=act_formato_excel&amp;utm_campaign=act_formato_excel&amp;utm_content=act_formato_excel_link" TargetMode="External"/><Relationship Id="rId1446" Type="http://schemas.openxmlformats.org/officeDocument/2006/relationships/hyperlink" Target="https://actualicese.com/guia-presentacion-de-solicitud-para-registro-de-contratos-de-importacion-de-tecnologia/?referer=L-excel-formato&amp;utm_medium=act_formato_excel&amp;utm_source=act_formato_excel&amp;utm_campaign=act_formato_excel&amp;utm_content=act_formato_excel_link" TargetMode="External"/><Relationship Id="rId1653" Type="http://schemas.openxmlformats.org/officeDocument/2006/relationships/hyperlink" Target="https://actualicese.com/guia-matriz-en-excel-rentas-exentas-y-descuentos-tributarios-de-las-personas-juridicas-en-2022/?referer=L-excel-formato&amp;utm_medium=act_formato_excel&amp;utm_source=act_formato_excel&amp;utm_campaign=act_formato_excel&amp;utm_content=act_formato_excel_link" TargetMode="External"/><Relationship Id="rId1860" Type="http://schemas.openxmlformats.org/officeDocument/2006/relationships/hyperlink" Target="https://actualicese.com/plantilla-de-los-formatos-1011-1012-y-2275-de-exogena-2022-para-el-reporte-de-otros-datos-en-renta-e-iva/?referer=L-excel-formato&amp;utm_medium=act_formato_excel&amp;utm_source=act_formato_excel&amp;utm_campaign=act_formato_excel&amp;utm_content=act_formato_excel_link" TargetMode="External"/><Relationship Id="rId1306" Type="http://schemas.openxmlformats.org/officeDocument/2006/relationships/hyperlink" Target="https://actualicese.com/formato-1010-reporte-de-socios-cooperados-o-comuneros-a-diciembre-31-del-2015/?referer=L-excel-formato&amp;utm_medium=act_formato_excel&amp;utm_source=act_formato_excel&amp;utm_campaign=act_formato_excel&amp;utm_content=act_formato_excel_link" TargetMode="External"/><Relationship Id="rId1513" Type="http://schemas.openxmlformats.org/officeDocument/2006/relationships/hyperlink" Target="https://actualicese.com/retencion-en-la-fuente-a-titulo-de-los-impuestos-nacionales-durante-el-2015/?referer=L-excel-formato&amp;utm_medium=act_formato_excel&amp;utm_source=act_formato_excel&amp;utm_campaign=act_formato_excel&amp;utm_content=act_formato_excel_link" TargetMode="External"/><Relationship Id="rId1720" Type="http://schemas.openxmlformats.org/officeDocument/2006/relationships/hyperlink" Target="https://actualicese.com/modelo-en-excel-para-calcular-el-valor-en-pesos-del-impuesto-a-las-bebidas-azucaradas-segun-reforma-tributaria-2022/?referer=L-excel-formato&amp;utm_medium=act_formato_excel&amp;utm_source=act_formato_excel&amp;utm_campaign=act_formato_excel&amp;utm_content=act_formato_excel_link" TargetMode="External"/><Relationship Id="rId1958" Type="http://schemas.openxmlformats.org/officeDocument/2006/relationships/hyperlink" Target="https://actualicese.com/liquidador-de-indicadores-financieros/?referer=L-excel-formato&amp;utm_medium=act_formato_excel&amp;utm_source=act_formato_excel&amp;utm_campaign=act_formato_excel&amp;utm_content=act_formato_excel_link" TargetMode="External"/><Relationship Id="rId12" Type="http://schemas.openxmlformats.org/officeDocument/2006/relationships/hyperlink" Target="https://actualicese.com/guia-modelo-de-presentacion-del-estado-de-resultado-integral-por-enfoques/?referer=L-excel-formato&amp;utm_medium=act_formato_excel&amp;utm_source=act_formato_excel&amp;utm_campaign=act_formato_excel&amp;utm_content=act_formato_excel_link" TargetMode="External"/><Relationship Id="rId1818" Type="http://schemas.openxmlformats.org/officeDocument/2006/relationships/hyperlink" Target="https://actualicese.com/formulario-260-ag-2022-declaracion-anual-regimen-simple-personas-naturales-que-no-llevan-contabilidad/?referer=L-excel-formato&amp;utm_medium=act_formato_excel&amp;utm_source=act_formato_excel&amp;utm_campaign=act_formato_excel&amp;utm_content=act_formato_excel_link" TargetMode="External"/><Relationship Id="rId161" Type="http://schemas.openxmlformats.org/officeDocument/2006/relationships/hyperlink" Target="https://actualicese.com/valor-patrimonial-de-acciones-y-aportes-en-la-declaracion-de-renta-de-personas-naturales-ag-2021/?referer=L-excel-formato&amp;utm_medium=act_formato_excel&amp;utm_source=act_formato_excel&amp;utm_campaign=act_formato_excel&amp;utm_content=act_formato_excel_link" TargetMode="External"/><Relationship Id="rId399" Type="http://schemas.openxmlformats.org/officeDocument/2006/relationships/hyperlink" Target="https://actualicese.com/contabilizacion-de-la-nomina-ejemplo-practico/?referer=L-excel-formato&amp;utm_medium=act_formato_excel&amp;utm_source=act_formato_excel&amp;utm_campaign=act_formato_excel&amp;utm_content=act_formato_excel_link" TargetMode="External"/><Relationship Id="rId2287" Type="http://schemas.openxmlformats.org/officeDocument/2006/relationships/hyperlink" Target="https://actualicese.com/modelo-de-carta-para-solicitar-a-la-empresa-de-servicios-publicos-la-suspension-del-contrato-de-telefonia-e-internet/?referer=L-excel-formato&amp;utm_medium=act_formato_excel&amp;utm_source=act_formato_excel&amp;utm_campaign=act_formato_excel&amp;utm_content=act_formato_excel_link" TargetMode="External"/><Relationship Id="rId259" Type="http://schemas.openxmlformats.org/officeDocument/2006/relationships/hyperlink" Target="https://actualicese.com/simulador-renta-liquida-de-la-cedula-general-y-distribucion-de-rentas-exentas-y-deducciones-limitadas/?referer=L-excel-formato&amp;utm_medium=act_formato_excel&amp;utm_source=act_formato_excel&amp;utm_campaign=act_formato_excel&amp;utm_content=act_formato_excel_link" TargetMode="External"/><Relationship Id="rId466" Type="http://schemas.openxmlformats.org/officeDocument/2006/relationships/hyperlink" Target="https://actualicese.com/indicadores-financieros-de-endeudamiento/?referer=L-excel-formato&amp;utm_medium=act_formato_excel&amp;utm_source=act_formato_excel&amp;utm_campaign=act_formato_excel&amp;utm_content=act_formato_excel_link" TargetMode="External"/><Relationship Id="rId673" Type="http://schemas.openxmlformats.org/officeDocument/2006/relationships/hyperlink" Target="https://actualicese.com/nuevos-descuentos-tributarios-para-el-cierre-fiscal-2020-casos-practicos/?referer=L-excel-formato&amp;utm_medium=act_formato_excel&amp;utm_source=act_formato_excel&amp;utm_campaign=act_formato_excel&amp;utm_content=act_formato_excel_link" TargetMode="External"/><Relationship Id="rId880" Type="http://schemas.openxmlformats.org/officeDocument/2006/relationships/hyperlink" Target="https://actualicese.com/depuracion-del-impuesto-de-renta-de-personas-juridicas-en-el-regimen-ordinario-2018-vs-2019/?referer=L-excel-formato&amp;utm_medium=act_formato_excel&amp;utm_source=act_formato_excel&amp;utm_campaign=act_formato_excel&amp;utm_content=act_formato_excel_link" TargetMode="External"/><Relationship Id="rId1096" Type="http://schemas.openxmlformats.org/officeDocument/2006/relationships/hyperlink" Target="https://actualicese.com/contribuyentes-de-monotributo-arl-y-valor-a-pagar-por-cada-componente-por-2017/?referer=L-excel-formato&amp;utm_medium=act_formato_excel&amp;utm_source=act_formato_excel&amp;utm_campaign=act_formato_excel&amp;utm_content=act_formato_excel_link" TargetMode="External"/><Relationship Id="rId2147" Type="http://schemas.openxmlformats.org/officeDocument/2006/relationships/hyperlink" Target="https://actualicese.com/guia-requisitos-para-operar-como-no-responsables-de-iva-durante-el-2024/?referer=L-excel-formato&amp;utm_medium=act_formato_excel&amp;utm_source=act_formato_excel&amp;utm_campaign=act_formato_excel&amp;utm_content=act_formato_excel_link" TargetMode="External"/><Relationship Id="rId2354" Type="http://schemas.openxmlformats.org/officeDocument/2006/relationships/hyperlink" Target="https://actualicese.com/guia-beneficios-tributarios-en-el-impuesto-de-renta-ag-2024/?referer=L-excel-formato&amp;utm_medium=act_formato_excel&amp;utm_source=act_formato_excel&amp;utm_campaign=act_formato_excel&amp;utm_content=act_formato_excel_link" TargetMode="External"/><Relationship Id="rId119" Type="http://schemas.openxmlformats.org/officeDocument/2006/relationships/hyperlink" Target="https://actualicese.com/formato-de-circularizacion-de-clientes-automatizado/?referer=L-excel-formato&amp;utm_medium=act_formato_excel&amp;utm_source=act_formato_excel&amp;utm_campaign=act_formato_excel&amp;utm_content=act_formato_excel_link" TargetMode="External"/><Relationship Id="rId326" Type="http://schemas.openxmlformats.org/officeDocument/2006/relationships/hyperlink" Target="https://actualicese.com/informe-del-revisor-fiscal-al-finalizar-el-encargo/?referer=L-excel-formato&amp;utm_medium=act_formato_excel&amp;utm_source=act_formato_excel&amp;utm_campaign=act_formato_excel&amp;utm_content=act_formato_excel_link" TargetMode="External"/><Relationship Id="rId533" Type="http://schemas.openxmlformats.org/officeDocument/2006/relationships/hyperlink" Target="https://actualicese.com/informe-de-entrega-del-cargo-de-contador-externo-al-finalizar-un-contrato/?referer=L-excel-formato&amp;utm_medium=act_formato_excel&amp;utm_source=act_formato_excel&amp;utm_campaign=act_formato_excel&amp;utm_content=act_formato_excel_link" TargetMode="External"/><Relationship Id="rId978" Type="http://schemas.openxmlformats.org/officeDocument/2006/relationships/hyperlink" Target="https://actualicese.com/certificacion-certificacion-trimestral-de-cumplimiento-total-de-la-circular-156-000005-de-2011/?referer=L-excel-formato&amp;utm_medium=act_formato_excel&amp;utm_source=act_formato_excel&amp;utm_campaign=act_formato_excel&amp;utm_content=act_formato_excel_link" TargetMode="External"/><Relationship Id="rId1163" Type="http://schemas.openxmlformats.org/officeDocument/2006/relationships/hyperlink" Target="https://actualicese.com/demanda-de-divorcio-de-matrimonio-civil/?referer=L-excel-formato&amp;utm_medium=act_formato_excel&amp;utm_source=act_formato_excel&amp;utm_campaign=act_formato_excel&amp;utm_content=act_formato_excel_link" TargetMode="External"/><Relationship Id="rId1370" Type="http://schemas.openxmlformats.org/officeDocument/2006/relationships/hyperlink" Target="https://actualicese.com/basica-de-trabajo-acoso-laboral/?referer=L-excel-formato&amp;utm_medium=act_formato_excel&amp;utm_source=act_formato_excel&amp;utm_campaign=act_formato_excel&amp;utm_content=act_formato_excel_link" TargetMode="External"/><Relationship Id="rId2007" Type="http://schemas.openxmlformats.org/officeDocument/2006/relationships/hyperlink" Target="https://actualicese.com/cuestionario-control-interno-efectivo-y-equivalentes-de-efectivo/?referer=L-excel-formato&amp;utm_medium=act_formato_excel&amp;utm_source=act_formato_excel&amp;utm_campaign=act_formato_excel&amp;utm_content=act_formato_excel_link" TargetMode="External"/><Relationship Id="rId2214" Type="http://schemas.openxmlformats.org/officeDocument/2006/relationships/hyperlink" Target="https://actualicese.com/liquidador-de-topes-de-ingresos-para-presentar-formatos-de-conciliacion-fiscal-2516-y-2517/?referer=L-excel-formato&amp;utm_medium=act_formato_excel&amp;utm_source=act_formato_excel&amp;utm_campaign=act_formato_excel&amp;utm_content=act_formato_excel_link" TargetMode="External"/><Relationship Id="rId740" Type="http://schemas.openxmlformats.org/officeDocument/2006/relationships/hyperlink" Target="https://actualicese.com/plantilla-en-excel-para-diligenciar-el-formulario-350-de-retencion-en-la-fuente-en-2020/?referer=L-excel-formato&amp;utm_medium=act_formato_excel&amp;utm_source=act_formato_excel&amp;utm_campaign=act_formato_excel&amp;utm_content=act_formato_excel_link" TargetMode="External"/><Relationship Id="rId838" Type="http://schemas.openxmlformats.org/officeDocument/2006/relationships/hyperlink" Target="https://actualicese.com/formulario-110-y-formato-2516-declaracion-de-renta-2018-de-personas-naturales-obligadas-a-llevar-contabilidad/?referer=L-excel-formato&amp;utm_medium=act_formato_excel&amp;utm_source=act_formato_excel&amp;utm_campaign=act_formato_excel&amp;utm_content=act_formato_excel_link" TargetMode="External"/><Relationship Id="rId1023" Type="http://schemas.openxmlformats.org/officeDocument/2006/relationships/hyperlink" Target="https://actualicese.com/retencion-en-la-fuente-con-procedimiento-1-sobre-rentas-de-trabajo-durante-el-2018/?referer=L-excel-formato&amp;utm_medium=act_formato_excel&amp;utm_source=act_formato_excel&amp;utm_campaign=act_formato_excel&amp;utm_content=act_formato_excel_link" TargetMode="External"/><Relationship Id="rId1468" Type="http://schemas.openxmlformats.org/officeDocument/2006/relationships/hyperlink" Target="https://actualicese.com/formularios-110-y-140-declaracion-renta-y-cree-personas-juridicas-ano-gravable-2014-version-basica/?referer=L-excel-formato&amp;utm_medium=act_formato_excel&amp;utm_source=act_formato_excel&amp;utm_campaign=act_formato_excel&amp;utm_content=act_formato_excel_link" TargetMode="External"/><Relationship Id="rId1675" Type="http://schemas.openxmlformats.org/officeDocument/2006/relationships/hyperlink" Target="https://actualicese.com/guia-modelo-de-notas-a-los-estados-financieros-estado-de-resultados/?referer=L-excel-formato&amp;utm_medium=act_formato_excel&amp;utm_source=act_formato_excel&amp;utm_campaign=act_formato_excel&amp;utm_content=act_formato_excel_link" TargetMode="External"/><Relationship Id="rId1882" Type="http://schemas.openxmlformats.org/officeDocument/2006/relationships/hyperlink" Target="https://actualicese.com/calendario-para-pago-de-aportes-a-seguridad-social-para-empleadores-e-independientes-2023-2024/?referer=L-excel-formato&amp;utm_medium=act_formato_excel&amp;utm_source=act_formato_excel&amp;utm_campaign=act_formato_excel&amp;utm_content=act_formato_excel_link" TargetMode="External"/><Relationship Id="rId2421" Type="http://schemas.openxmlformats.org/officeDocument/2006/relationships/hyperlink" Target="https://actualicese.com/formulas-para-liquidacion-de-prestaciones-vacaciones-y-horas-extras/?referer=L-excel-formato&amp;utm_medium=act_formato_excel&amp;utm_source=act_formato_excel&amp;utm_campaign=act_formato_excel&amp;utm_content=act_formato_excel_link" TargetMode="External"/><Relationship Id="rId600" Type="http://schemas.openxmlformats.org/officeDocument/2006/relationships/hyperlink" Target="https://actualicese.com/cuentas-en-participacion/?referer=L-excel-formato&amp;utm_medium=act_formato_excel&amp;utm_source=act_formato_excel&amp;utm_campaign=act_formato_excel&amp;utm_content=act_formato_excel_link" TargetMode="External"/><Relationship Id="rId1230" Type="http://schemas.openxmlformats.org/officeDocument/2006/relationships/hyperlink" Target="https://actualicese.com/flujo-de-caja-especial-para-una-microempresa/?referer=L-excel-formato&amp;utm_medium=act_formato_excel&amp;utm_source=act_formato_excel&amp;utm_campaign=act_formato_excel&amp;utm_content=act_formato_excel_link" TargetMode="External"/><Relationship Id="rId1328" Type="http://schemas.openxmlformats.org/officeDocument/2006/relationships/hyperlink" Target="https://actualicese.com/cuestionario-para-la-revision-y-evaluacion-de-los-saldos-movimientos-y-el-control-de-las-cuentas-de-caja-y-bancos/?referer=L-excel-formato&amp;utm_medium=act_formato_excel&amp;utm_source=act_formato_excel&amp;utm_campaign=act_formato_excel&amp;utm_content=act_formato_excel_link" TargetMode="External"/><Relationship Id="rId1535" Type="http://schemas.openxmlformats.org/officeDocument/2006/relationships/hyperlink" Target="https://actualicese.com/oro-diligenciamiento-de-formularios-110-y-240-con-anexos-y-formato-1732-para-la-declaracion-de-renta-de-una-persona-natural-comerciante-ano-gravable-2013/?referer=L-excel-formato&amp;utm_medium=act_formato_excel&amp;utm_source=act_formato_excel&amp;utm_campaign=act_formato_excel&amp;utm_content=act_formato_excel_link" TargetMode="External"/><Relationship Id="rId905" Type="http://schemas.openxmlformats.org/officeDocument/2006/relationships/hyperlink" Target="https://actualicese.com/2019-historico-de-salario-minimo-y-auxilio-de-transporte/?referer=L-excel-formato&amp;utm_medium=act_formato_excel&amp;utm_source=act_formato_excel&amp;utm_campaign=act_formato_excel&amp;utm_content=act_formato_excel_link" TargetMode="External"/><Relationship Id="rId1742" Type="http://schemas.openxmlformats.org/officeDocument/2006/relationships/hyperlink" Target="https://actualicese.com/indicadores-financieros-margenes-de-utilidad-o-rentabilidad/?referer=L-excel-formato&amp;utm_medium=act_formato_excel&amp;utm_source=act_formato_excel&amp;utm_campaign=act_formato_excel&amp;utm_content=act_formato_excel_link" TargetMode="External"/><Relationship Id="rId34" Type="http://schemas.openxmlformats.org/officeDocument/2006/relationships/hyperlink" Target="https://actualicese.com/liquidador-modelos-de-conciliacion-bancaria-individual-y-conjunta-en-excel/?referer=L-excel-formato&amp;utm_medium=act_formato_excel&amp;utm_source=act_formato_excel&amp;utm_campaign=act_formato_excel&amp;utm_content=act_formato_excel_link" TargetMode="External"/><Relationship Id="rId1602" Type="http://schemas.openxmlformats.org/officeDocument/2006/relationships/hyperlink" Target="https://actualicese.com/liquidador-contrato-de-trabajo-a-termino-fijo-fredy-robinson-gil-zea/?referer=L-excel-formato&amp;utm_medium=act_formato_excel&amp;utm_source=act_formato_excel&amp;utm_campaign=act_formato_excel&amp;utm_content=act_formato_excel_link" TargetMode="External"/><Relationship Id="rId183" Type="http://schemas.openxmlformats.org/officeDocument/2006/relationships/hyperlink" Target="https://actualicese.com/retencion-en-la-fuente-sobre-prima-de-servicios-caso-practico/?referer=L-excel-formato&amp;utm_medium=act_formato_excel&amp;utm_source=act_formato_excel&amp;utm_campaign=act_formato_excel&amp;utm_content=act_formato_excel_link" TargetMode="External"/><Relationship Id="rId390" Type="http://schemas.openxmlformats.org/officeDocument/2006/relationships/hyperlink" Target="https://actualicese.com/guia-plantilla-para-clasificar-una-entidad-en-un-grupo-de-aplicacion-de-las-niif-en-colombia/?referer=L-excel-formato&amp;utm_medium=act_formato_excel&amp;utm_source=act_formato_excel&amp;utm_campaign=act_formato_excel&amp;utm_content=act_formato_excel_link" TargetMode="External"/><Relationship Id="rId1907" Type="http://schemas.openxmlformats.org/officeDocument/2006/relationships/hyperlink" Target="https://actualicese.com/liquidador-en-excel-del-porcentaje-fijo-de-retencion-en-la-fuente-sobre-salarios-en-diciembre-de-2023-procedimiento-2/?referer=L-excel-formato&amp;utm_medium=act_formato_excel&amp;utm_source=act_formato_excel&amp;utm_campaign=act_formato_excel&amp;utm_content=act_formato_excel_link" TargetMode="External"/><Relationship Id="rId2071" Type="http://schemas.openxmlformats.org/officeDocument/2006/relationships/hyperlink" Target="https://actualicese.com/impuesto-diferido-por-gastos-de-establecimiento-en-2023-caso-practico-en-excel/?referer=L-excel-formato&amp;utm_medium=act_formato_excel&amp;utm_source=act_formato_excel&amp;utm_campaign=act_formato_excel&amp;utm_content=act_formato_excel_link" TargetMode="External"/><Relationship Id="rId250" Type="http://schemas.openxmlformats.org/officeDocument/2006/relationships/hyperlink" Target="https://actualicese.com/ejercicio-en-excel-de-depreciacion-en-linea-recta-segun-la-limitacion-del-articulo-137-del-et/?referer=L-excel-formato&amp;utm_medium=act_formato_excel&amp;utm_source=act_formato_excel&amp;utm_campaign=act_formato_excel&amp;utm_content=act_formato_excel_link" TargetMode="External"/><Relationship Id="rId488" Type="http://schemas.openxmlformats.org/officeDocument/2006/relationships/hyperlink" Target="https://actualicese.com/matriz-nuevas-condiciones-para-postularse-al-programa-de-apoyo-al-empleo-formal-paef/?referer=L-excel-formato&amp;utm_medium=act_formato_excel&amp;utm_source=act_formato_excel&amp;utm_campaign=act_formato_excel&amp;utm_content=act_formato_excel_link" TargetMode="External"/><Relationship Id="rId695" Type="http://schemas.openxmlformats.org/officeDocument/2006/relationships/hyperlink" Target="https://actualicese.com/contrato-de-concesion-comercial/?referer=L-excel-formato&amp;utm_medium=act_formato_excel&amp;utm_source=act_formato_excel&amp;utm_campaign=act_formato_excel&amp;utm_content=act_formato_excel_link" TargetMode="External"/><Relationship Id="rId2169" Type="http://schemas.openxmlformats.org/officeDocument/2006/relationships/hyperlink" Target="https://actualicese.com/formato-de-calculo-de-horas-extra-y-recargos-mensuales-o-quincenales/?referer=L-excel-formato&amp;utm_medium=act_formato_excel&amp;utm_source=act_formato_excel&amp;utm_campaign=act_formato_excel&amp;utm_content=act_formato_excel_link" TargetMode="External"/><Relationship Id="rId2376"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10" Type="http://schemas.openxmlformats.org/officeDocument/2006/relationships/hyperlink" Target="https://actualicese.com/caso-practico-de-declaracion-de-renta-a-partir-de-informacion-reportada-por-terceros/?referer=L-excel-formato&amp;utm_medium=act_formato_excel&amp;utm_source=act_formato_excel&amp;utm_campaign=act_formato_excel&amp;utm_content=act_formato_excel_link" TargetMode="External"/><Relationship Id="rId348" Type="http://schemas.openxmlformats.org/officeDocument/2006/relationships/hyperlink" Target="https://actualicese.com/informe-de-compilacion-de-estados-financieros-con-fines-especificos/?referer=L-excel-formato&amp;utm_medium=act_formato_excel&amp;utm_source=act_formato_excel&amp;utm_campaign=act_formato_excel&amp;utm_content=act_formato_excel_link" TargetMode="External"/><Relationship Id="rId555" Type="http://schemas.openxmlformats.org/officeDocument/2006/relationships/hyperlink" Target="https://actualicese.com/lista-de-chequeo-de-las-etapas-requeridas-en-el-proceso-presupuestal/?referer=L-excel-formato&amp;utm_medium=act_formato_excel&amp;utm_source=act_formato_excel&amp;utm_campaign=act_formato_excel&amp;utm_content=act_formato_excel_link" TargetMode="External"/><Relationship Id="rId762" Type="http://schemas.openxmlformats.org/officeDocument/2006/relationships/hyperlink" Target="https://actualicese.com/formato-exogena-1010-por-el-ano-gravable-2019-reporte-de-socios-cooperados-o-comuneros/?referer=L-excel-formato&amp;utm_medium=act_formato_excel&amp;utm_source=act_formato_excel&amp;utm_campaign=act_formato_excel&amp;utm_content=act_formato_excel_link" TargetMode="External"/><Relationship Id="rId1185" Type="http://schemas.openxmlformats.org/officeDocument/2006/relationships/hyperlink" Target="https://actualicese.com/matriz-para-definir-la-periodicidad-de-declaracion-y-pago-del-iva-en-2017-segun-reforma-tributaria/?referer=L-excel-formato&amp;utm_medium=act_formato_excel&amp;utm_source=act_formato_excel&amp;utm_campaign=act_formato_excel&amp;utm_content=act_formato_excel_link" TargetMode="External"/><Relationship Id="rId1392" Type="http://schemas.openxmlformats.org/officeDocument/2006/relationships/hyperlink" Target="https://actualicese.com/acuerdos-sobre-promocion-y-proteccion-reciproca-de-inversiones/?referer=L-excel-formato&amp;utm_medium=act_formato_excel&amp;utm_source=act_formato_excel&amp;utm_campaign=act_formato_excel&amp;utm_content=act_formato_excel_link" TargetMode="External"/><Relationship Id="rId2029" Type="http://schemas.openxmlformats.org/officeDocument/2006/relationships/hyperlink" Target="https://actualicese.com/politica-de-pago-a-proveedores-y-plantilla-de-control-de-cuentas-por-pagar/?referer=L-excel-formato&amp;utm_medium=act_formato_excel&amp;utm_source=act_formato_excel&amp;utm_campaign=act_formato_excel&amp;utm_content=act_formato_excel_link" TargetMode="External"/><Relationship Id="rId2236" Type="http://schemas.openxmlformats.org/officeDocument/2006/relationships/hyperlink" Target="https://actualicese.com/liquidador-plantilla-del-formato-1010-de-exogena-2023-informacion-de-socios-cooperados-o-comuneros/" TargetMode="External"/><Relationship Id="rId2443" Type="http://schemas.openxmlformats.org/officeDocument/2006/relationships/hyperlink" Target="https://actualicese.com/comparativo-de-normas-del-dut-1625-de-2016-sobre-el-regimen-simple-afectadas-con-el-decreto-1545-de-2024/?referer=L-excel-formato&amp;utm_medium=act_formato_excel&amp;utm_source=act_formato_excel&amp;utm_campaign=act_formato_excel&amp;utm_content=act_formato_excel_link" TargetMode="External"/><Relationship Id="rId208" Type="http://schemas.openxmlformats.org/officeDocument/2006/relationships/hyperlink" Target="https://actualicese.com/modelo-de-convenio-de-practicas-estudiantiles-profesionales/?referer=L-excel-formato&amp;utm_medium=act_formato_excel&amp;utm_source=act_formato_excel&amp;utm_campaign=act_formato_excel&amp;utm_content=act_formato_excel_link" TargetMode="External"/><Relationship Id="rId415" Type="http://schemas.openxmlformats.org/officeDocument/2006/relationships/hyperlink" Target="https://actualicese.com/guia-sobre-propiedad-horizontal-en-colombia-379-preguntas-resueltas/?referer=L-excel-formato&amp;utm_medium=act_formato_excel&amp;utm_source=act_formato_excel&amp;utm_campaign=act_formato_excel&amp;utm_content=act_formato_excel_link" TargetMode="External"/><Relationship Id="rId622" Type="http://schemas.openxmlformats.org/officeDocument/2006/relationships/hyperlink" Target="https://actualicese.com/modelo-de-contrato-de-maquila/?referer=L-excel-formato&amp;utm_medium=act_formato_excel&amp;utm_source=act_formato_excel&amp;utm_campaign=act_formato_excel&amp;utm_content=act_formato_excel_link" TargetMode="External"/><Relationship Id="rId1045" Type="http://schemas.openxmlformats.org/officeDocument/2006/relationships/hyperlink" Target="https://actualicese.com/conciliacion-contable-y-tributaria-casos-de-descuentos-y-deducciones-parte-iv/?referer=L-excel-formato&amp;utm_medium=act_formato_excel&amp;utm_source=act_formato_excel&amp;utm_campaign=act_formato_excel&amp;utm_content=act_formato_excel_link" TargetMode="External"/><Relationship Id="rId1252" Type="http://schemas.openxmlformats.org/officeDocument/2006/relationships/hyperlink" Target="https://actualicese.com/lista-de-chequeo-de-revelaciones-seccion-10-politicas-contables-estimaciones-y-errores/?referer=L-excel-formato&amp;utm_medium=act_formato_excel&amp;utm_source=act_formato_excel&amp;utm_campaign=act_formato_excel&amp;utm_content=act_formato_excel_link" TargetMode="External"/><Relationship Id="rId1697" Type="http://schemas.openxmlformats.org/officeDocument/2006/relationships/hyperlink" Target="https://actualicese.com/calendario-tributario-2023-version-para-imprimir/?referer=L-excel-formato&amp;utm_medium=act_formato_excel&amp;utm_source=act_formato_excel&amp;utm_campaign=act_formato_excel&amp;utm_content=act_formato_excel_link" TargetMode="External"/><Relationship Id="rId2303" Type="http://schemas.openxmlformats.org/officeDocument/2006/relationships/hyperlink" Target="https://actualicese.com/modelo-aceptacion-de-renuncia/?referer=L-excel-formato&amp;utm_medium=act_formato_excel&amp;utm_source=act_formato_excel&amp;utm_campaign=act_formato_excel&amp;utm_content=act_formato_excel_link" TargetMode="External"/><Relationship Id="rId927" Type="http://schemas.openxmlformats.org/officeDocument/2006/relationships/hyperlink" Target="https://actualicese.com/modelo-recurso-de-apelacion-audiencia-laboral/?referer=L-excel-formato&amp;utm_medium=act_formato_excel&amp;utm_source=act_formato_excel&amp;utm_campaign=act_formato_excel&amp;utm_content=act_formato_excel_link" TargetMode="External"/><Relationship Id="rId1112" Type="http://schemas.openxmlformats.org/officeDocument/2006/relationships/hyperlink" Target="https://actualicese.com/retefuente-con-procedimiento-1-para-quienes-perciban-rentas-de-trabajo/?referer=L-excel-formato&amp;utm_medium=act_formato_excel&amp;utm_source=act_formato_excel&amp;utm_campaign=act_formato_excel&amp;utm_content=act_formato_excel_link" TargetMode="External"/><Relationship Id="rId1557" Type="http://schemas.openxmlformats.org/officeDocument/2006/relationships/hyperlink" Target="https://actualicese.com/cambios-a-los-textos-de-los-decretos-2706-y-2784-de-2012-efectuados-con-decretos-3019-y-3024-de-2013/?referer=L-excel-formato&amp;utm_medium=act_formato_excel&amp;utm_source=act_formato_excel&amp;utm_campaign=act_formato_excel&amp;utm_content=act_formato_excel_link" TargetMode="External"/><Relationship Id="rId1764" Type="http://schemas.openxmlformats.org/officeDocument/2006/relationships/hyperlink" Target="https://actualicese.com/liquidador-de-aportes-a-seguridad-social-de-independientes-por-cuenta-propia-y-rentistas-de-capital/?referer=L-excel-formato&amp;utm_medium=act_formato_excel&amp;utm_source=act_formato_excel&amp;utm_campaign=act_formato_excel&amp;utm_content=act_formato_excel_link" TargetMode="External"/><Relationship Id="rId1971" Type="http://schemas.openxmlformats.org/officeDocument/2006/relationships/hyperlink" Target="https://actualicese.com/guia-modelo-de-presentacion-del-estado-de-resultado-integral-por-enfoques/?referer=L-excel-formato&amp;utm_medium=act_formato_excel&amp;utm_source=act_formato_excel&amp;utm_campaign=act_formato_excel&amp;utm_content=act_formato_excel_link" TargetMode="External"/><Relationship Id="rId56" Type="http://schemas.openxmlformats.org/officeDocument/2006/relationships/hyperlink" Target="https://actualicese.com/modelo-de-politica-base-para-la-preparacion-de-estados-financieros-bajo-estandar-internacional-para-pymes/?referer=L-excel-formato&amp;utm_medium=act_formato_excel&amp;utm_source=act_formato_excel&amp;utm_campaign=act_formato_excel&amp;utm_content=act_formato_excel_link" TargetMode="External"/><Relationship Id="rId1417" Type="http://schemas.openxmlformats.org/officeDocument/2006/relationships/hyperlink" Target="https://actualicese.com/tablas-para-definir-el-impuesto-de-renta-de-empleados-por-el-sistema-ordinario-iman-e-imas/?referer=L-excel-formato&amp;utm_medium=act_formato_excel&amp;utm_source=act_formato_excel&amp;utm_campaign=act_formato_excel&amp;utm_content=act_formato_excel_link" TargetMode="External"/><Relationship Id="rId1624" Type="http://schemas.openxmlformats.org/officeDocument/2006/relationships/hyperlink" Target="https://actualicese.com/word-modelo-de-contrato-de-compraventa-de-carro-o-moto/?referer=L-excel-formato&amp;utm_medium=act_formato_excel&amp;utm_source=act_formato_excel&amp;utm_campaign=act_formato_excel&amp;utm_content=act_formato_excel_link" TargetMode="External"/><Relationship Id="rId1831" Type="http://schemas.openxmlformats.org/officeDocument/2006/relationships/hyperlink" Target="https://actualicese.com/calendario-tributario-2023-version-para-imprimir/?referer=L-excel-formato&amp;utm_medium=act_formato_excel&amp;utm_source=act_formato_excel&amp;utm_campaign=act_formato_excel&amp;utm_content=act_formato_excel_link" TargetMode="External"/><Relationship Id="rId1929" Type="http://schemas.openxmlformats.org/officeDocument/2006/relationships/hyperlink" Target="https://actualicese.com/pack-de-formatos-liquidadores-simuladores-y-guias-para-el-cierre-contable-y-fiscal-del-ano-gravable-2023/?referer=L-excel-formato&amp;utm_medium=act_formato_excel&amp;utm_source=act_formato_excel&amp;utm_campaign=act_formato_excel&amp;utm_content=act_formato_excel_link" TargetMode="External"/><Relationship Id="rId2093" Type="http://schemas.openxmlformats.org/officeDocument/2006/relationships/hyperlink" Target="https://actualicese.com/ejercicios-sobre-la-determinacion-de-la-renta-liquida-de-trabajo-cuando-hay-rentas-laborales-y-honorarios/?referer=L-excel-formato&amp;utm_medium=act_formato_excel&amp;utm_source=act_formato_excel&amp;utm_campaign=act_formato_excel&amp;utm_content=act_formato_excel_link" TargetMode="External"/><Relationship Id="rId2398" Type="http://schemas.openxmlformats.org/officeDocument/2006/relationships/hyperlink" Target="https://actualicese.com/simulador-para-la-clasificacion-de-entidades-en-los-grupos-1-2-o-3-de-estandares-internacionales/?referer=L-excel-formato&amp;utm_medium=act_formato_excel&amp;utm_source=act_formato_excel&amp;utm_campaign=act_formato_excel&amp;utm_content=act_formato_excel_link" TargetMode="External"/><Relationship Id="rId67" Type="http://schemas.openxmlformats.org/officeDocument/2006/relationships/hyperlink" Target="https://actualicese.com/plantilla-para-el-control-de-entrega-de-dotacion-a-empleados/?referer=L-excel-formato&amp;utm_medium=act_formato_excel&amp;utm_source=act_formato_excel&amp;utm_campaign=act_formato_excel&amp;utm_content=act_formato_excel_link" TargetMode="External"/><Relationship Id="rId272" Type="http://schemas.openxmlformats.org/officeDocument/2006/relationships/hyperlink" Target="https://actualicese.com/contrato-modelo-contrato-a-termino-indefinido-de-trabajo/?referer=L-excel-formato&amp;utm_medium=act_formato_excel&amp;utm_source=act_formato_excel&amp;utm_campaign=act_formato_excel&amp;utm_content=act_formato_excel_link" TargetMode="External"/><Relationship Id="rId577" Type="http://schemas.openxmlformats.org/officeDocument/2006/relationships/hyperlink" Target="https://actualicese.com/modelo-en-excel-calculo-de-intereses-presuntivos-sobre-prestamos-entre-socios-y-sociedades-en-2020/?referer=L-excel-formato&amp;utm_medium=act_formato_excel&amp;utm_source=act_formato_excel&amp;utm_campaign=act_formato_excel&amp;utm_content=act_formato_excel_link" TargetMode="External"/><Relationship Id="rId700" Type="http://schemas.openxmlformats.org/officeDocument/2006/relationships/hyperlink" Target="https://actualicese.com/modelo-de-contrato-de-agencia-comercial/?referer=L-excel-formato&amp;utm_medium=act_formato_excel&amp;utm_source=act_formato_excel&amp;utm_campaign=act_formato_excel&amp;utm_content=act_formato_excel_link" TargetMode="External"/><Relationship Id="rId1123" Type="http://schemas.openxmlformats.org/officeDocument/2006/relationships/hyperlink" Target="https://actualicese.com/formato-1647-por-2016-reportes-de-ingresos-recibidos-para-terceros/?referer=L-excel-formato&amp;utm_medium=act_formato_excel&amp;utm_source=act_formato_excel&amp;utm_campaign=act_formato_excel&amp;utm_content=act_formato_excel_link" TargetMode="External"/><Relationship Id="rId1330" Type="http://schemas.openxmlformats.org/officeDocument/2006/relationships/hyperlink" Target="https://actualicese.com/requisitos-para-pertenecer-al-regimen-simplificado-del-iva-en-el-2016/?referer=L-excel-formato&amp;utm_medium=act_formato_excel&amp;utm_source=act_formato_excel&amp;utm_campaign=act_formato_excel&amp;utm_content=act_formato_excel_link" TargetMode="External"/><Relationship Id="rId1428" Type="http://schemas.openxmlformats.org/officeDocument/2006/relationships/hyperlink" Target="https://actualicese.com/modelo-politica-contable-de-instrumentos-financieros-cuentas-por-cobrar/?referer=L-excel-formato&amp;utm_medium=act_formato_excel&amp;utm_source=act_formato_excel&amp;utm_campaign=act_formato_excel&amp;utm_content=act_formato_excel_link" TargetMode="External"/><Relationship Id="rId1635" Type="http://schemas.openxmlformats.org/officeDocument/2006/relationships/hyperlink" Target="https://actualicese.com/ejercicio-practico-en-excel-valuacion-de-inventarios-por-el-metodo-de-identificacion-especifica/?referer=L-excel-formato&amp;utm_medium=act_formato_excel&amp;utm_source=act_formato_excel&amp;utm_campaign=act_formato_excel&amp;utm_content=act_formato_excel_link" TargetMode="External"/><Relationship Id="rId1982" Type="http://schemas.openxmlformats.org/officeDocument/2006/relationships/hyperlink" Target="https://actualicese.com/simulador-de-casos-para-clasificar-instrumentos-financieros-como-pasivos-o-patrimonio/?referer=L-excel-formato&amp;utm_medium=act_formato_excel&amp;utm_source=act_formato_excel&amp;utm_campaign=act_formato_excel&amp;utm_content=act_formato_excel_link" TargetMode="External"/><Relationship Id="rId2160" Type="http://schemas.openxmlformats.org/officeDocument/2006/relationships/hyperlink" Target="https://actualicese.com/calendario-tributario-2024-version-descargable/?referer=L-excel-formato&amp;utm_medium=act_formato_excel&amp;utm_source=act_formato_excel&amp;utm_campaign=act_formato_excel&amp;utm_content=act_formato_excel_link" TargetMode="External"/><Relationship Id="rId2258" Type="http://schemas.openxmlformats.org/officeDocument/2006/relationships/hyperlink" Target="https://actualicese.com/pack-de-formatos-15-herramientas-que-te-facilitaran-la-declaracion-de-renta-de-personas-juridicas-ag-2023/?referer=L-excel-formato&amp;utm_medium=act_formato_excel&amp;utm_source=act_formato_excel&amp;utm_campaign=act_formato_excel&amp;utm_content=act_formato_excel_link" TargetMode="External"/><Relationship Id="rId132" Type="http://schemas.openxmlformats.org/officeDocument/2006/relationships/hyperlink" Target="https://actualicese.com/prestamo-para-vivienda-modalidad-de-cuota-fija-en-pesos/?referer=L-excel-formato&amp;utm_medium=act_formato_excel&amp;utm_source=act_formato_excel&amp;utm_campaign=act_formato_excel&amp;utm_content=act_formato_excel_link" TargetMode="External"/><Relationship Id="rId784" Type="http://schemas.openxmlformats.org/officeDocument/2006/relationships/hyperlink" Target="https://actualicese.com/listado-de-contribuyentes-inscritos-en-el-regimen-simple-con-corte-a-septiembre-30-de-2019/?referer=L-excel-formato&amp;utm_medium=act_formato_excel&amp;utm_source=act_formato_excel&amp;utm_campaign=act_formato_excel&amp;utm_content=act_formato_excel_link" TargetMode="External"/><Relationship Id="rId991" Type="http://schemas.openxmlformats.org/officeDocument/2006/relationships/hyperlink" Target="https://actualicese.com/formato-exogena-1647-por-el-ano-gravable-2017-reporte-de-ingresos-recibidos-para-terceros/?referer=L-excel-formato&amp;utm_medium=act_formato_excel&amp;utm_source=act_formato_excel&amp;utm_campaign=act_formato_excel&amp;utm_content=act_formato_excel_link" TargetMode="External"/><Relationship Id="rId1067" Type="http://schemas.openxmlformats.org/officeDocument/2006/relationships/hyperlink" Target="https://actualicese.com/convenios-para-evitar-la-doble-tributacion-aplicables-al-ano-gravable-2016/?referer=L-excel-formato&amp;utm_medium=act_formato_excel&amp;utm_source=act_formato_excel&amp;utm_campaign=act_formato_excel&amp;utm_content=act_formato_excel_link" TargetMode="External"/><Relationship Id="rId1842" Type="http://schemas.openxmlformats.org/officeDocument/2006/relationships/hyperlink" Target="https://actualicese.com/calendario-tributario-2023-version-automatizada-en-excel/?referer=L-excel-formato&amp;utm_medium=act_formato_excel&amp;utm_source=act_formato_excel&amp;utm_campaign=act_formato_excel&amp;utm_content=act_formato_excel_link" TargetMode="External"/><Relationship Id="rId2020" Type="http://schemas.openxmlformats.org/officeDocument/2006/relationships/hyperlink" Target="https://actualicese.com/liquidador-y-caso-practico-para-calcular-y-contabilizar-horas-extra-y-recargos-con-la-reduccion-de-la-jornada-laboral-en-2023/?referer=L-excel-formato&amp;utm_medium=act_formato_excel&amp;utm_source=act_formato_excel&amp;utm_campaign=act_formato_excel&amp;utm_content=act_formato_excel_link" TargetMode="External"/><Relationship Id="rId437" Type="http://schemas.openxmlformats.org/officeDocument/2006/relationships/hyperlink" Target="https://actualicese.com/pack-de-formatos-guias-para-profundizar-las-novedades-de-la-reforma-tributaria-ley-de-inversion-social-2155-de-2021/?referer=L-excel-formato&amp;utm_medium=act_formato_excel&amp;utm_source=act_formato_excel&amp;utm_campaign=act_formato_excel&amp;utm_content=act_formato_excel_link" TargetMode="External"/><Relationship Id="rId644" Type="http://schemas.openxmlformats.org/officeDocument/2006/relationships/hyperlink" Target="https://actualicese.com/carta-para-comunicarle-a-los-proveedores-las-operaciones-con-facturadores-electronicos/?referer=L-excel-formato&amp;utm_medium=act_formato_excel&amp;utm_source=act_formato_excel&amp;utm_campaign=act_formato_excel&amp;utm_content=act_formato_excel_link" TargetMode="External"/><Relationship Id="rId851" Type="http://schemas.openxmlformats.org/officeDocument/2006/relationships/hyperlink" Target="https://actualicese.com/formatos-de-exogena-por-el-ano-gravable-2018-reportes-de-los-mandatarios/?referer=L-excel-formato&amp;utm_medium=act_formato_excel&amp;utm_source=act_formato_excel&amp;utm_campaign=act_formato_excel&amp;utm_content=act_formato_excel_link" TargetMode="External"/><Relationship Id="rId1274" Type="http://schemas.openxmlformats.org/officeDocument/2006/relationships/hyperlink" Target="https://actualicese.com/lista-de-chequeo-de-revelaciones-nic-26-contabilizacion-e-informacion-financiera-sobre-planes-de-beneficio-por-retiro/?referer=L-excel-formato&amp;utm_medium=act_formato_excel&amp;utm_source=act_formato_excel&amp;utm_campaign=act_formato_excel&amp;utm_content=act_formato_excel_link" TargetMode="External"/><Relationship Id="rId1481" Type="http://schemas.openxmlformats.org/officeDocument/2006/relationships/hyperlink" Target="https://actualicese.com/plantilla-para-elaborar-formulario-empresarial-por-el-ano-2014-a-supersociedades/?referer=L-excel-formato&amp;utm_medium=act_formato_excel&amp;utm_source=act_formato_excel&amp;utm_campaign=act_formato_excel&amp;utm_content=act_formato_excel_link" TargetMode="External"/><Relationship Id="rId1579" Type="http://schemas.openxmlformats.org/officeDocument/2006/relationships/hyperlink" Target="https://actualicese.com/diferencias-entre-contribuyentes-y-no-contribuyentes-del-impuesto-de-renta-y-complementario/?referer=L-excel-formato&amp;utm_medium=act_formato_excel&amp;utm_source=act_formato_excel&amp;utm_campaign=act_formato_excel&amp;utm_content=act_formato_excel_link" TargetMode="External"/><Relationship Id="rId1702" Type="http://schemas.openxmlformats.org/officeDocument/2006/relationships/hyperlink" Target="https://actualicese.com/certificacion-del-contador-o-revisor-fiscal-para-la-inscripcion-de-libros-en-la-camara-de-comercio/?referer=L-excel-formato&amp;utm_medium=act_formato_excel&amp;utm_source=act_formato_excel&amp;utm_campaign=act_formato_excel&amp;utm_content=act_formato_excel_link" TargetMode="External"/><Relationship Id="rId2118" Type="http://schemas.openxmlformats.org/officeDocument/2006/relationships/hyperlink" Target="https://actualicese.com/estados-financieros-consolidados-opinion-con-salvedades-cuando-no-se-obtiene-evidencia/?referer=L-excel-formato&amp;utm_medium=act_formato_excel&amp;utm_source=act_formato_excel&amp;utm_campaign=act_formato_excel&amp;utm_content=act_formato_excel_link" TargetMode="External"/><Relationship Id="rId2325"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83" Type="http://schemas.openxmlformats.org/officeDocument/2006/relationships/hyperlink" Target="https://actualicese.com/plantilla-del-formato-1003-para-el-reporte-de-exogena-2021-retenciones-que-le-practicaron-al-informante/?referer=L-excel-formato&amp;utm_medium=act_formato_excel&amp;utm_source=act_formato_excel&amp;utm_campaign=act_formato_excel&amp;utm_content=act_formato_excel_link" TargetMode="External"/><Relationship Id="rId490" Type="http://schemas.openxmlformats.org/officeDocument/2006/relationships/hyperlink" Target="https://actualicese.com/cuestionario-de-auditoria-para-las-propiedades-planta-y-equipo/?referer=L-excel-formato&amp;utm_medium=act_formato_excel&amp;utm_source=act_formato_excel&amp;utm_campaign=act_formato_excel&amp;utm_content=act_formato_excel_link" TargetMode="External"/><Relationship Id="rId504" Type="http://schemas.openxmlformats.org/officeDocument/2006/relationships/hyperlink" Target="https://actualicese.com/liquidador-de-auxilio-de-incapacidad-aplicado-a-salario-variable-fijo-o-integral/?referer=L-excel-formato&amp;utm_medium=act_formato_excel&amp;utm_source=act_formato_excel&amp;utm_campaign=act_formato_excel&amp;utm_content=act_formato_excel_link" TargetMode="External"/><Relationship Id="rId711" Type="http://schemas.openxmlformats.org/officeDocument/2006/relationships/hyperlink" Target="https://actualicese.com/formato-de-entrega-de-dotacion-elementos-fisicos/?referer=L-excel-formato&amp;utm_medium=act_formato_excel&amp;utm_source=act_formato_excel&amp;utm_campaign=act_formato_excel&amp;utm_content=act_formato_excel_link" TargetMode="External"/><Relationship Id="rId949" Type="http://schemas.openxmlformats.org/officeDocument/2006/relationships/hyperlink" Target="https://actualicese.com/depuracion-a-efectuar-dentro-de-las-5-cedulas-de-la-declaracion-de-renta-de-personas-naturales/?referer=L-excel-formato&amp;utm_medium=act_formato_excel&amp;utm_source=act_formato_excel&amp;utm_campaign=act_formato_excel&amp;utm_content=act_formato_excel_link" TargetMode="External"/><Relationship Id="rId1134" Type="http://schemas.openxmlformats.org/officeDocument/2006/relationships/hyperlink" Target="https://actualicese.com/matriz-para-definir-si-pertenece-al-regimen-simplificado-del-iva/?referer=L-excel-formato&amp;utm_medium=act_formato_excel&amp;utm_source=act_formato_excel&amp;utm_campaign=act_formato_excel&amp;utm_content=act_formato_excel_link" TargetMode="External"/><Relationship Id="rId1341" Type="http://schemas.openxmlformats.org/officeDocument/2006/relationships/hyperlink" Target="https://actualicese.com/lista-de-chequeo-de-revelaciones-nic-21-efectos-de-las-variaciones-en-las-tasas-de-cambio-de-la-moneda-extranjera/?referer=L-excel-formato&amp;utm_medium=act_formato_excel&amp;utm_source=act_formato_excel&amp;utm_campaign=act_formato_excel&amp;utm_content=act_formato_excel_link" TargetMode="External"/><Relationship Id="rId1786" Type="http://schemas.openxmlformats.org/officeDocument/2006/relationships/hyperlink" Target="https://actualicese.com/informe-del-revisor-fiscal-sobre-irregularidades-y-deficiencias-en-el-control-interno/?referer=L-excel-formato&amp;utm_medium=act_formato_excel&amp;utm_source=act_formato_excel&amp;utm_campaign=act_formato_excel&amp;utm_content=act_formato_excel_link" TargetMode="External"/><Relationship Id="rId1993" Type="http://schemas.openxmlformats.org/officeDocument/2006/relationships/hyperlink" Target="https://actualicese.com/indicadores-financieros-de-actividad-y-rentabilidad/?referer=L-excel-formato&amp;utm_medium=act_formato_excel&amp;utm_source=act_formato_excel&amp;utm_campaign=act_formato_excel&amp;utm_content=act_formato_excel_link" TargetMode="External"/><Relationship Id="rId2171" Type="http://schemas.openxmlformats.org/officeDocument/2006/relationships/hyperlink" Target="https://actualicese.com/carta-de-recomendacion/?referer=L-excel-formato&amp;utm_medium=act_formato_excel&amp;utm_source=act_formato_excel&amp;utm_campaign=act_formato_excel&amp;utm_content=act_formato_excel_link" TargetMode="External"/><Relationship Id="rId78" Type="http://schemas.openxmlformats.org/officeDocument/2006/relationships/hyperlink" Target="https://actualicese.com/casos-practicos-de-contabilizacion-de-arrendamientos-financiero-y-operativo/?referer=L-excel-formato&amp;utm_medium=act_formato_excel&amp;utm_source=act_formato_excel&amp;utm_campaign=act_formato_excel&amp;utm_content=act_formato_excel_link" TargetMode="External"/><Relationship Id="rId143" Type="http://schemas.openxmlformats.org/officeDocument/2006/relationships/hyperlink" Target="https://actualicese.com/liquidador-de-sancion-por-inexactitud/?referer=L-excel-formato&amp;utm_medium=act_formato_excel&amp;utm_source=act_formato_excel&amp;utm_campaign=act_formato_excel&amp;utm_content=act_formato_excel_link" TargetMode="External"/><Relationship Id="rId350" Type="http://schemas.openxmlformats.org/officeDocument/2006/relationships/hyperlink" Target="https://actualicese.com/dictamen-de-revisor-fiscal-con-parrafos-de-cuestiones-clave-y-otras-cuestiones/?referer=L-excel-formato&amp;utm_medium=act_formato_excel&amp;utm_source=act_formato_excel&amp;utm_campaign=act_formato_excel&amp;utm_content=act_formato_excel_link" TargetMode="External"/><Relationship Id="rId588" Type="http://schemas.openxmlformats.org/officeDocument/2006/relationships/hyperlink" Target="https://actualicese.com/plantilla-para-elaborar-el-formulario-300-para-las-declaraciones-del-iva-durante-2021/?referer=L-excel-formato&amp;utm_medium=act_formato_excel&amp;utm_source=act_formato_excel&amp;utm_campaign=act_formato_excel&amp;utm_content=act_formato_excel_link" TargetMode="External"/><Relationship Id="rId795" Type="http://schemas.openxmlformats.org/officeDocument/2006/relationships/hyperlink" Target="https://actualicese.com/2020-historico-de-la-variacion-nominal-del-salario-minimo-vs-la-inflacion-1993-2019/?referer=L-excel-formato&amp;utm_medium=act_formato_excel&amp;utm_source=act_formato_excel&amp;utm_campaign=act_formato_excel&amp;utm_content=act_formato_excel_link" TargetMode="External"/><Relationship Id="rId809" Type="http://schemas.openxmlformats.org/officeDocument/2006/relationships/hyperlink" Target="https://actualicese.com/carta-para-notificar-terminacion-de-contrato-mercantil-de-forma-unilateral/?referer=L-excel-formato&amp;utm_medium=act_formato_excel&amp;utm_source=act_formato_excel&amp;utm_campaign=act_formato_excel&amp;utm_content=act_formato_excel_link" TargetMode="External"/><Relationship Id="rId1201" Type="http://schemas.openxmlformats.org/officeDocument/2006/relationships/hyperlink" Target="https://actualicese.com/matriz-para-determinar-el-valor-de-las-perdidas-fiscales-susceptibles-de-ser-compensadas/?referer=L-excel-formato&amp;utm_medium=act_formato_excel&amp;utm_source=act_formato_excel&amp;utm_campaign=act_formato_excel&amp;utm_content=act_formato_excel_link" TargetMode="External"/><Relationship Id="rId1439" Type="http://schemas.openxmlformats.org/officeDocument/2006/relationships/hyperlink" Target="https://actualicese.com/formulario-110-adaptado-para-declaracion-de-renta-2014-de-personas-naturales-version-basica/?referer=L-excel-formato&amp;utm_medium=act_formato_excel&amp;utm_source=act_formato_excel&amp;utm_campaign=act_formato_excel&amp;utm_content=act_formato_excel_link" TargetMode="External"/><Relationship Id="rId1646" Type="http://schemas.openxmlformats.org/officeDocument/2006/relationships/hyperlink" Target="https://actualicese.com/casos-practicos-de-liquidacion-de-seguridad-social-de-independientes-con-contrato-de-prestacion-de-servicios/?referer=L-excel-formato&amp;utm_medium=act_formato_excel&amp;utm_source=act_formato_excel&amp;utm_campaign=act_formato_excel&amp;utm_content=act_formato_excel_link" TargetMode="External"/><Relationship Id="rId1853" Type="http://schemas.openxmlformats.org/officeDocument/2006/relationships/hyperlink" Target="https://actualicese.com/acta-cambio-de-representante-legal/?referer=L-excel-formato&amp;utm_medium=act_formato_excel&amp;utm_source=act_formato_excel&amp;utm_campaign=act_formato_excel&amp;utm_content=act_formato_excel_link" TargetMode="External"/><Relationship Id="rId2031" Type="http://schemas.openxmlformats.org/officeDocument/2006/relationships/hyperlink" Target="https://actualicese.com/casos-practicos-de-retencion-en-la-fuente-por-compras-servicios-y-honorarios/?referer=L-excel-formato&amp;utm_medium=act_formato_excel&amp;utm_source=act_formato_excel&amp;utm_campaign=act_formato_excel&amp;utm_content=act_formato_excel_link" TargetMode="External"/><Relationship Id="rId2269" Type="http://schemas.openxmlformats.org/officeDocument/2006/relationships/hyperlink" Target="https://actualicese.com/liquidador-de-nomina-para-trabajadora-en-licencia-de-maternidad-caso-practico-en-excel/?referer=L-excel-formato&amp;utm_medium=act_formato_excel&amp;utm_source=act_formato_excel&amp;utm_campaign=act_formato_excel&amp;utm_content=act_formato_excel_link" TargetMode="External"/><Relationship Id="rId9" Type="http://schemas.openxmlformats.org/officeDocument/2006/relationships/hyperlink" Target="https://actualicese.com/impuesto-diferido-por-gastos-de-establecimiento-caso-practico-en-excel/?referer=L-excel-formato&amp;utm_medium=act_formato_excel&amp;utm_source=act_formato_excel&amp;utm_campaign=act_formato_excel&amp;utm_content=act_formato_excel_link" TargetMode="External"/><Relationship Id="rId210" Type="http://schemas.openxmlformats.org/officeDocument/2006/relationships/hyperlink" Target="https://actualicese.com/modelo-de-contrato-de-prestacion-de-servicios-de-revisoria-fiscal/?referer=L-excel-formato&amp;utm_medium=act_formato_excel&amp;utm_source=act_formato_excel&amp;utm_campaign=act_formato_excel&amp;utm_content=act_formato_excel_link" TargetMode="External"/><Relationship Id="rId448" Type="http://schemas.openxmlformats.org/officeDocument/2006/relationships/hyperlink" Target="https://actualicese.com/auditoria-de-nomina-informe-de-control-interno/?referer=L-excel-formato&amp;utm_medium=act_formato_excel&amp;utm_source=act_formato_excel&amp;utm_campaign=act_formato_excel&amp;utm_content=act_formato_excel_link" TargetMode="External"/><Relationship Id="rId655" Type="http://schemas.openxmlformats.org/officeDocument/2006/relationships/hyperlink" Target="https://actualicese.com/2021-historico-de-salario-minimo-y-auxilio-de-transporte/?referer=L-excel-formato&amp;utm_medium=act_formato_excel&amp;utm_source=act_formato_excel&amp;utm_campaign=act_formato_excel&amp;utm_content=act_formato_excel_link" TargetMode="External"/><Relationship Id="rId862" Type="http://schemas.openxmlformats.org/officeDocument/2006/relationships/hyperlink" Target="https://actualicese.com/devolucion-del-iva-pagado-en-adquisicion-de-materiales-para-construccion-de-vis/?referer=L-excel-formato&amp;utm_medium=act_formato_excel&amp;utm_source=act_formato_excel&amp;utm_campaign=act_formato_excel&amp;utm_content=act_formato_excel_link" TargetMode="External"/><Relationship Id="rId1078" Type="http://schemas.openxmlformats.org/officeDocument/2006/relationships/hyperlink" Target="https://actualicese.com/calculo-de-la-contribucion-2017-a-la-supersociedades/?referer=L-excel-formato&amp;utm_medium=act_formato_excel&amp;utm_source=act_formato_excel&amp;utm_campaign=act_formato_excel&amp;utm_content=act_formato_excel_link" TargetMode="External"/><Relationship Id="rId1285" Type="http://schemas.openxmlformats.org/officeDocument/2006/relationships/hyperlink" Target="https://actualicese.com/cuentas-a-reportar-en-los-formatos-de-informacion-exogena-ano-gravable-2015/?referer=L-excel-formato&amp;utm_medium=act_formato_excel&amp;utm_source=act_formato_excel&amp;utm_campaign=act_formato_excel&amp;utm_content=act_formato_excel_link" TargetMode="External"/><Relationship Id="rId1492" Type="http://schemas.openxmlformats.org/officeDocument/2006/relationships/hyperlink" Target="https://actualicese.com/formulario-220-certificacion-pagos-y-retenciones-a-empleados-por-el-ano-gravable-2014/?referer=L-excel-formato&amp;utm_medium=act_formato_excel&amp;utm_source=act_formato_excel&amp;utm_campaign=act_formato_excel&amp;utm_content=act_formato_excel_link" TargetMode="External"/><Relationship Id="rId1506" Type="http://schemas.openxmlformats.org/officeDocument/2006/relationships/hyperlink" Target="https://actualicese.com/parametros-claves-en-la-elaboracion-de-declaraciones-tributarias-durante-el-ano-2015/?referer=L-excel-formato&amp;utm_medium=act_formato_excel&amp;utm_source=act_formato_excel&amp;utm_campaign=act_formato_excel&amp;utm_content=act_formato_excel_link" TargetMode="External"/><Relationship Id="rId1713" Type="http://schemas.openxmlformats.org/officeDocument/2006/relationships/hyperlink" Target="https://actualicese.com/informe-sobre-los-hallazgos-obtenidos-en-los-inventarios/?referer=L-excel-formato&amp;utm_medium=act_formato_excel&amp;utm_source=act_formato_excel&amp;utm_campaign=act_formato_excel&amp;utm_content=act_formato_excel_link" TargetMode="External"/><Relationship Id="rId1920" Type="http://schemas.openxmlformats.org/officeDocument/2006/relationships/hyperlink" Target="https://actualicese.com/convocatoria-de-asamblea-general-ordinaria-de-copropietarios/?referer=L-excel-formato&amp;utm_medium=act_formato_excel&amp;utm_source=act_formato_excel&amp;utm_campaign=act_formato_excel&amp;utm_content=act_formato_excel_link" TargetMode="External"/><Relationship Id="rId2129" Type="http://schemas.openxmlformats.org/officeDocument/2006/relationships/hyperlink" Target="https://actualicese.com/costo-de-la-contratacion-de-un-trabajador-que-devenga-un-salario-minimo-caso-practico/?referer=L-excel-formato&amp;utm_medium=act_formato_excel&amp;utm_source=act_formato_excel&amp;utm_campaign=act_formato_excel&amp;utm_content=act_formato_excel_link" TargetMode="External"/><Relationship Id="rId2336" Type="http://schemas.openxmlformats.org/officeDocument/2006/relationships/hyperlink" Target="https://actualicese.com/formato-de-flujo-de-caja-real-y-presupuestado/?referer=L-excel-formato&amp;utm_medium=act_formato_excel&amp;utm_source=act_formato_excel&amp;utm_campaign=act_formato_excel&amp;utm_content=act_formato_excel_link" TargetMode="External"/><Relationship Id="rId294" Type="http://schemas.openxmlformats.org/officeDocument/2006/relationships/hyperlink" Target="https://actualicese.com/liquidador-del-impuesto-sobre-la-renta-liquida-de-las-cedulas-general-y-de-pensiones/?referer=L-excel-formato&amp;utm_medium=act_formato_excel&amp;utm_source=act_formato_excel&amp;utm_campaign=act_formato_excel&amp;utm_content=act_formato_excel_link" TargetMode="External"/><Relationship Id="rId308" Type="http://schemas.openxmlformats.org/officeDocument/2006/relationships/hyperlink" Target="https://actualicese.com/herramienta-en-excel-para-la-consulta-automatica-de-terceros-en-la-dian/?referer=L-excel-formato&amp;utm_medium=act_formato_excel&amp;utm_source=act_formato_excel&amp;utm_campaign=act_formato_excel&amp;utm_content=act_formato_excel_link" TargetMode="External"/><Relationship Id="rId515" Type="http://schemas.openxmlformats.org/officeDocument/2006/relationships/hyperlink" Target="https://actualicese.com/formulario-260-ag-2020-declaracion-anual-regimen-simple-personas-naturales-y-juridicas-que-llevan-contabilidad/?referer=L-excel-formato&amp;utm_medium=act_formato_excel&amp;utm_source=act_formato_excel&amp;utm_campaign=act_formato_excel&amp;utm_content=act_formato_excel_link" TargetMode="External"/><Relationship Id="rId722" Type="http://schemas.openxmlformats.org/officeDocument/2006/relationships/hyperlink" Target="https://actualicese.com/solicitud-de-informacion-sobre-afiliaciones-a-salud-y-riesgos-laborales-en-un-contrato-de-aprendizaje/?referer=L-excel-formato&amp;utm_medium=act_formato_excel&amp;utm_source=act_formato_excel&amp;utm_campaign=act_formato_excel&amp;utm_content=act_formato_excel_link" TargetMode="External"/><Relationship Id="rId1145" Type="http://schemas.openxmlformats.org/officeDocument/2006/relationships/hyperlink" Target="https://actualicese.com/nuevos-conceptos-de-exogena-para-reportar-ingresos-por-operaciones-con-iva/?referer=L-excel-formato&amp;utm_medium=act_formato_excel&amp;utm_source=act_formato_excel&amp;utm_campaign=act_formato_excel&amp;utm_content=act_formato_excel_link" TargetMode="External"/><Relationship Id="rId1352" Type="http://schemas.openxmlformats.org/officeDocument/2006/relationships/hyperlink" Target="https://actualicese.com/acta-constitucion-y-posesion-de-miembros-del-comite-paritario-de-seguridad-y-salud-en-el-trabajo/?referer=L-excel-formato&amp;utm_medium=act_formato_excel&amp;utm_source=act_formato_excel&amp;utm_campaign=act_formato_excel&amp;utm_content=act_formato_excel_link" TargetMode="External"/><Relationship Id="rId1797" Type="http://schemas.openxmlformats.org/officeDocument/2006/relationships/hyperlink" Target="https://actualicese.com/plantilla-del-formato-1004-de-exogena-de-2022-reporte-de-descuentos-al-impuesto-de-renta-y-el-simple/?referer=L-excel-formato&amp;utm_medium=act_formato_excel&amp;utm_source=act_formato_excel&amp;utm_campaign=act_formato_excel&amp;utm_content=act_formato_excel_link" TargetMode="External"/><Relationship Id="rId2182"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403" Type="http://schemas.openxmlformats.org/officeDocument/2006/relationships/hyperlink" Target="https://actualicese.com/casos-practicos-de-deterioro-de-cartera-fiscal-provision-individual-y-general/?referer=L-excel-formato&amp;utm_medium=act_formato_excel&amp;utm_source=act_formato_excel&amp;utm_campaign=act_formato_excel&amp;utm_content=act_formato_excel_link" TargetMode="External"/><Relationship Id="rId89" Type="http://schemas.openxmlformats.org/officeDocument/2006/relationships/hyperlink" Target="https://actualicese.com/certificacion-de-deuda-o-constitucion-de-titulo-ejecutivo-para-cobro-judicial-en-ph/?referer=L-excel-formato&amp;utm_medium=act_formato_excel&amp;utm_source=act_formato_excel&amp;utm_campaign=act_formato_excel&amp;utm_content=act_formato_excel_link" TargetMode="External"/><Relationship Id="rId154" Type="http://schemas.openxmlformats.org/officeDocument/2006/relationships/hyperlink" Target="https://actualicese.com/formato-en-excel-para-la-toma-de-inventario-fisico-con-macros/?referer=L-excel-formato&amp;utm_medium=act_formato_excel&amp;utm_source=act_formato_excel&amp;utm_campaign=act_formato_excel&amp;utm_content=act_formato_excel_link" TargetMode="External"/><Relationship Id="rId361" Type="http://schemas.openxmlformats.org/officeDocument/2006/relationships/hyperlink" Target="https://actualicese.com/informe-de-auditoria-denegacion-abstencion-de-opinion-por-no-obtener-evidencia/?referer=L-excel-formato&amp;utm_medium=act_formato_excel&amp;utm_source=act_formato_excel&amp;utm_campaign=act_formato_excel&amp;utm_content=act_formato_excel_link" TargetMode="External"/><Relationship Id="rId599" Type="http://schemas.openxmlformats.org/officeDocument/2006/relationships/hyperlink" Target="https://actualicese.com/contrato-de-promesa-de-compraventa-de-carro-o-motocicleta/?referer=L-excel-formato&amp;utm_medium=act_formato_excel&amp;utm_source=act_formato_excel&amp;utm_campaign=act_formato_excel&amp;utm_content=act_formato_excel_link" TargetMode="External"/><Relationship Id="rId1005" Type="http://schemas.openxmlformats.org/officeDocument/2006/relationships/hyperlink" Target="https://actualicese.com/amparo-de-pobreza/?referer=L-excel-formato&amp;utm_medium=act_formato_excel&amp;utm_source=act_formato_excel&amp;utm_campaign=act_formato_excel&amp;utm_content=act_formato_excel_link" TargetMode="External"/><Relationship Id="rId1212" Type="http://schemas.openxmlformats.org/officeDocument/2006/relationships/hyperlink" Target="https://actualicese.com/matriz-para-definir-la-periodicidad-de-declaracion-y-pago-del-impuesto-sobre-las-ventas/?referer=L-excel-formato&amp;utm_medium=act_formato_excel&amp;utm_source=act_formato_excel&amp;utm_campaign=act_formato_excel&amp;utm_content=act_formato_excel_link" TargetMode="External"/><Relationship Id="rId1657" Type="http://schemas.openxmlformats.org/officeDocument/2006/relationships/hyperlink" Target="https://actualicese.com/casos-practicos-en-excel-sobre-la-distribucion-de-los-cif-costos-indirectos-de-fabricacion/?referer=L-excel-formato&amp;utm_medium=act_formato_excel&amp;utm_source=act_formato_excel&amp;utm_campaign=act_formato_excel&amp;utm_content=act_formato_excel_link" TargetMode="External"/><Relationship Id="rId1864" Type="http://schemas.openxmlformats.org/officeDocument/2006/relationships/hyperlink" Target="https://actualicese.com/herramienta-con-macros-en-excel-para-elaborar-y-analizar-estados-financieros/?referer=L-excel-formato&amp;utm_medium=act_formato_excel&amp;utm_source=act_formato_excel&amp;utm_campaign=act_formato_excel&amp;utm_content=act_formato_excel_link" TargetMode="External"/><Relationship Id="rId2042" Type="http://schemas.openxmlformats.org/officeDocument/2006/relationships/hyperlink" Target="https://actualicese.com/matriz-y-ejemplos-sobre-la-determinacion-de-la-residencia-fiscal-de-las-personas-naturales/?referer=L-excel-formato&amp;utm_medium=act_formato_excel&amp;utm_source=act_formato_excel&amp;utm_campaign=act_formato_excel&amp;utm_content=act_formato_excel_link" TargetMode="External"/><Relationship Id="rId459" Type="http://schemas.openxmlformats.org/officeDocument/2006/relationships/hyperlink" Target="https://actualicese.com/certificacion-del-contador-o-revisor-fiscal-para-la-inscripcion-de-libros-en-la-camara-de-comercio/?referer=L-excel-formato&amp;utm_medium=act_formato_excel&amp;utm_source=act_formato_excel&amp;utm_campaign=act_formato_excel&amp;utm_content=act_formato_excel_link" TargetMode="External"/><Relationship Id="rId666" Type="http://schemas.openxmlformats.org/officeDocument/2006/relationships/hyperlink" Target="https://actualicese.com/liquidadores-de-sanciones-relacionadas-con-la-informacion-exogena-resueltas-en-2022/?referer=L-excel-formato&amp;utm_medium=act_formato_excel&amp;utm_source=act_formato_excel&amp;utm_campaign=act_formato_excel&amp;utm_content=act_formato_excel_link" TargetMode="External"/><Relationship Id="rId873" Type="http://schemas.openxmlformats.org/officeDocument/2006/relationships/hyperlink" Target="https://actualicese.com/comunicacion-de-deficiencias-en-el-proceso-de-inspeccion-seguimiento-del-control-de-calidad/?referer=L-excel-formato&amp;utm_medium=act_formato_excel&amp;utm_source=act_formato_excel&amp;utm_campaign=act_formato_excel&amp;utm_content=act_formato_excel_link" TargetMode="External"/><Relationship Id="rId1089" Type="http://schemas.openxmlformats.org/officeDocument/2006/relationships/hyperlink" Target="https://actualicese.com/cuestionario-de-auditoria-para-area-de-sistemas/?referer=L-excel-formato&amp;utm_medium=act_formato_excel&amp;utm_source=act_formato_excel&amp;utm_campaign=act_formato_excel&amp;utm_content=act_formato_excel_link" TargetMode="External"/><Relationship Id="rId1296" Type="http://schemas.openxmlformats.org/officeDocument/2006/relationships/hyperlink" Target="https://actualicese.com/poder-especial-para-compraventa-de-inmueble/?referer=L-excel-formato&amp;utm_medium=act_formato_excel&amp;utm_source=act_formato_excel&amp;utm_campaign=act_formato_excel&amp;utm_content=act_formato_excel_link" TargetMode="External"/><Relationship Id="rId1517" Type="http://schemas.openxmlformats.org/officeDocument/2006/relationships/hyperlink" Target="https://actualicese.com/estructura-del-contenido-de-la-resolucion-dian-000220-de-oct-31-de-2014/?referer=L-excel-formato&amp;utm_medium=act_formato_excel&amp;utm_source=act_formato_excel&amp;utm_campaign=act_formato_excel&amp;utm_content=act_formato_excel_link" TargetMode="External"/><Relationship Id="rId1724" Type="http://schemas.openxmlformats.org/officeDocument/2006/relationships/hyperlink" Target="https://actualicese.com/metodos-de-medicion-de-activos-y-pasivos-segun-el-estandar-para-pymes/?referer=L-excel-formato&amp;utm_medium=act_formato_excel&amp;utm_source=act_formato_excel&amp;utm_campaign=act_formato_excel&amp;utm_content=act_formato_excel_link" TargetMode="External"/><Relationship Id="rId2347" Type="http://schemas.openxmlformats.org/officeDocument/2006/relationships/hyperlink" Target="https://actualicese.com/formato-de-circularizacion-de-clientes-automatizado/?referer=L-excel-formato&amp;utm_medium=act_formato_excel&amp;utm_source=act_formato_excel&amp;utm_campaign=act_formato_excel&amp;utm_content=act_formato_excel_link" TargetMode="External"/><Relationship Id="rId16" Type="http://schemas.openxmlformats.org/officeDocument/2006/relationships/hyperlink" Target="https://actualicese.com/certificacion-del-contador-sobre-los-ingresos-percibidos-por-una-persona-natural/?referer=L-excel-formato&amp;utm_medium=act_formato_excel&amp;utm_source=act_formato_excel&amp;utm_campaign=act_formato_excel&amp;utm_content=act_formato_excel_link" TargetMode="External"/><Relationship Id="rId221" Type="http://schemas.openxmlformats.org/officeDocument/2006/relationships/hyperlink" Target="https://actualicese.com/contrato-de-trabajo-de-servicio-domestico-al-dia/?referer=L-excel-formato&amp;utm_medium=act_formato_excel&amp;utm_source=act_formato_excel&amp;utm_campaign=act_formato_excel&amp;utm_content=act_formato_excel_link" TargetMode="External"/><Relationship Id="rId319" Type="http://schemas.openxmlformats.org/officeDocument/2006/relationships/hyperlink" Target="https://actualicese.com/carta-para-notificar-un-incremento-de-salario/?referer=L-excel-formato&amp;utm_medium=act_formato_excel&amp;utm_source=act_formato_excel&amp;utm_campaign=act_formato_excel&amp;utm_content=act_formato_excel_link" TargetMode="External"/><Relationship Id="rId526" Type="http://schemas.openxmlformats.org/officeDocument/2006/relationships/hyperlink" Target="https://actualicese.com/lista-de-chequeo-planeacion-de-la-ejecucion-de-un-encargo-nicc-1/?referer=L-excel-formato&amp;utm_medium=act_formato_excel&amp;utm_source=act_formato_excel&amp;utm_campaign=act_formato_excel&amp;utm_content=act_formato_excel_link" TargetMode="External"/><Relationship Id="rId1156" Type="http://schemas.openxmlformats.org/officeDocument/2006/relationships/hyperlink" Target="https://actualicese.com/sintesis-de-las-modificaciones-de-la-ley-1819-de-2016-a-rentas-exentas-del-articulo-2017-2/?referer=L-excel-formato&amp;utm_medium=act_formato_excel&amp;utm_source=act_formato_excel&amp;utm_campaign=act_formato_excel&amp;utm_content=act_formato_excel_link" TargetMode="External"/><Relationship Id="rId1363" Type="http://schemas.openxmlformats.org/officeDocument/2006/relationships/hyperlink" Target="https://actualicese.com/documentos-sobre-activos-y-pasivos-financieros-orientaciones-tecnicas-008-y-009-del-ctcp/?referer=L-excel-formato&amp;utm_medium=act_formato_excel&amp;utm_source=act_formato_excel&amp;utm_campaign=act_formato_excel&amp;utm_content=act_formato_excel_link" TargetMode="External"/><Relationship Id="rId1931" Type="http://schemas.openxmlformats.org/officeDocument/2006/relationships/hyperlink" Target="https://actualicese.com/respuesta-a-solicitud-de-un-servicio/?referer=L-excel-formato&amp;utm_medium=act_formato_excel&amp;utm_source=act_formato_excel&amp;utm_campaign=act_formato_excel&amp;utm_content=act_formato_excel_link" TargetMode="External"/><Relationship Id="rId2207" Type="http://schemas.openxmlformats.org/officeDocument/2006/relationships/hyperlink" Target="https://actualicese.com/modelo-de-autorizacion-para-el-tratamiento-y-la-proteccion-de-datos-personales/?referer=L-excel-formato&amp;utm_medium=act_formato_excel&amp;utm_source=act_formato_excel&amp;utm_campaign=act_formato_excel&amp;utm_content=act_formato_excel_link" TargetMode="External"/><Relationship Id="rId733" Type="http://schemas.openxmlformats.org/officeDocument/2006/relationships/hyperlink" Target="https://actualicese.com/certificacion-de-contador-para-acceder-al-subsidio-de-la-prima-de-servicios/?referer=L-excel-formato&amp;utm_medium=act_formato_excel&amp;utm_source=act_formato_excel&amp;utm_campaign=act_formato_excel&amp;utm_content=act_formato_excel_link" TargetMode="External"/><Relationship Id="rId940" Type="http://schemas.openxmlformats.org/officeDocument/2006/relationships/hyperlink" Target="https://actualicese.com/porcentaje-fijo-de-retencion-en-la-fuente-sobre-salarios-en-junio-de-2018-procedimiento-2/?referer=L-excel-formato&amp;utm_medium=act_formato_excel&amp;utm_source=act_formato_excel&amp;utm_campaign=act_formato_excel&amp;utm_content=act_formato_excel_link" TargetMode="External"/><Relationship Id="rId1016" Type="http://schemas.openxmlformats.org/officeDocument/2006/relationships/hyperlink" Target="https://actualicese.com/demanda-para-fijacion-de-nuevo-valor-de-arrendamiento-de-local-comercial/?referer=L-excel-formato&amp;utm_medium=act_formato_excel&amp;utm_source=act_formato_excel&amp;utm_campaign=act_formato_excel&amp;utm_content=act_formato_excel_link" TargetMode="External"/><Relationship Id="rId1570" Type="http://schemas.openxmlformats.org/officeDocument/2006/relationships/hyperlink" Target="https://actualicese.com/glosario-basico-para-aplicacion-de-estandares-internacionales-de-informacion-financiera/?referer=L-excel-formato&amp;utm_medium=act_formato_excel&amp;utm_source=act_formato_excel&amp;utm_campaign=act_formato_excel&amp;utm_content=act_formato_excel_link" TargetMode="External"/><Relationship Id="rId1668" Type="http://schemas.openxmlformats.org/officeDocument/2006/relationships/hyperlink" Target="https://actualicese.com/liquidador-casos-practicos-en-excel-de-liquidacion-de-aportes-a-seguridad-social-de-independientes-del-transporte-de-carga/?referer=L-excel-formato&amp;utm_medium=act_formato_excel&amp;utm_source=act_formato_excel&amp;utm_campaign=act_formato_excel&amp;utm_content=act_formato_excel_link" TargetMode="External"/><Relationship Id="rId1875" Type="http://schemas.openxmlformats.org/officeDocument/2006/relationships/hyperlink" Target="https://actualicese.com/modelo-para-definir-si-una-persona-natural-esta-obligada-a-declarar-renta/?referer=L-excel-formato&amp;utm_medium=act_formato_excel&amp;utm_source=act_formato_excel&amp;utm_campaign=act_formato_excel&amp;utm_content=act_formato_excel_link" TargetMode="External"/><Relationship Id="rId2193" Type="http://schemas.openxmlformats.org/officeDocument/2006/relationships/hyperlink" Target="https://actualicese.com/lista-de-chequeo-estandares-minimos-de-seguridad-para-pequenas-empresas/?referer=L-excel-formato&amp;utm_medium=act_formato_excel&amp;utm_source=act_formato_excel&amp;utm_campaign=act_formato_excel&amp;utm_content=act_formato_excel_link" TargetMode="External"/><Relationship Id="rId2414" Type="http://schemas.openxmlformats.org/officeDocument/2006/relationships/hyperlink" Target="https://actualicese.com/ejercicios-para-el-calculo-del-impuesto-diferido-al-cierre-del-ejercicio-2023-y-2024/?referer=L-excel-formato&amp;utm_medium=act_formato_excel&amp;utm_source=act_formato_excel&amp;utm_campaign=act_formato_excel&amp;utm_content=act_formato_excel_link" TargetMode="External"/><Relationship Id="rId165" Type="http://schemas.openxmlformats.org/officeDocument/2006/relationships/hyperlink" Target="https://actualicese.com/carta-de-terminacion-del-contrato-por-dificultades-economicas-del-empleador/?referer=L-excel-formato&amp;utm_medium=act_formato_excel&amp;utm_source=act_formato_excel&amp;utm_campaign=act_formato_excel&amp;utm_content=act_formato_excel_link" TargetMode="External"/><Relationship Id="rId372" Type="http://schemas.openxmlformats.org/officeDocument/2006/relationships/hyperlink" Target="https://actualicese.com/convocatoria-de-asamblea-general-ordinaria-de-copropietarios/?referer=L-excel-formato&amp;utm_medium=act_formato_excel&amp;utm_source=act_formato_excel&amp;utm_campaign=act_formato_excel&amp;utm_content=act_formato_excel_link" TargetMode="External"/><Relationship Id="rId677" Type="http://schemas.openxmlformats.org/officeDocument/2006/relationships/hyperlink" Target="https://actualicese.com/nota-sobre-la-determinacion-de-valores-razonables/?referer=L-excel-formato&amp;utm_medium=act_formato_excel&amp;utm_source=act_formato_excel&amp;utm_campaign=act_formato_excel&amp;utm_content=act_formato_excel_link" TargetMode="External"/><Relationship Id="rId800" Type="http://schemas.openxmlformats.org/officeDocument/2006/relationships/hyperlink" Target="https://actualicese.com/informacion-laboral-2020/?referer=L-excel-formato&amp;utm_medium=act_formato_excel&amp;utm_source=act_formato_excel&amp;utm_campaign=act_formato_excel&amp;utm_content=act_formato_excel_link" TargetMode="External"/><Relationship Id="rId1223" Type="http://schemas.openxmlformats.org/officeDocument/2006/relationships/hyperlink" Target="https://actualicese.com/matriz-para-definir-el-sistema-mediante-el-cual-puede-declarar-un-trabajador-por-cuenta-propia/?referer=L-excel-formato&amp;utm_medium=act_formato_excel&amp;utm_source=act_formato_excel&amp;utm_campaign=act_formato_excel&amp;utm_content=act_formato_excel_link" TargetMode="External"/><Relationship Id="rId1430" Type="http://schemas.openxmlformats.org/officeDocument/2006/relationships/hyperlink" Target="https://actualicese.com/formularios-210-y-230-con-anexos-de-persona-natural-para-declaracion-de-renta-ano-gravable-2014/?referer=L-excel-formato&amp;utm_medium=act_formato_excel&amp;utm_source=act_formato_excel&amp;utm_campaign=act_formato_excel&amp;utm_content=act_formato_excel_link" TargetMode="External"/><Relationship Id="rId1528" Type="http://schemas.openxmlformats.org/officeDocument/2006/relationships/hyperlink" Target="https://actualicese.com/modelo-certificacion-de-contador-para-actualizar-el-rut-por-cese-de-actividades-gravadas-con-iva/?referer=L-excel-formato&amp;utm_medium=act_formato_excel&amp;utm_source=act_formato_excel&amp;utm_campaign=act_formato_excel&amp;utm_content=act_formato_excel_link" TargetMode="External"/><Relationship Id="rId2053" Type="http://schemas.openxmlformats.org/officeDocument/2006/relationships/hyperlink" Target="https://actualicese.com/guia-modelo-de-notas-a-los-estados-financieros-estado-de-situacion-financiera/?referer=L-excel-formato&amp;utm_medium=act_formato_excel&amp;utm_source=act_formato_excel&amp;utm_campaign=act_formato_excel&amp;utm_content=act_formato_excel_link" TargetMode="External"/><Relationship Id="rId2260" Type="http://schemas.openxmlformats.org/officeDocument/2006/relationships/hyperlink" Target="https://actualicese.com/liquidador-de-indemnizacion-por-despido-sin-justa-causa-contrato-indefinido/?referer=L-excel-formato&amp;utm_medium=act_formato_excel&amp;utm_source=act_formato_excel&amp;utm_campaign=act_formato_excel&amp;utm_content=act_formato_excel_link" TargetMode="External"/><Relationship Id="rId2358" Type="http://schemas.openxmlformats.org/officeDocument/2006/relationships/hyperlink" Target="https://actualicese.com/casos-practicos-de-contabilizacion-de-compras-e-impuestos-asumidos/?referer=L-excel-formato&amp;utm_medium=act_formato_excel&amp;utm_source=act_formato_excel&amp;utm_campaign=act_formato_excel&amp;utm_content=act_formato_excel_link" TargetMode="External"/><Relationship Id="rId232" Type="http://schemas.openxmlformats.org/officeDocument/2006/relationships/hyperlink" Target="https://actualicese.com/declaracion-de-renta-de-personas-naturales-documentos-necesarios-para-su-elaboracion/?referer=L-excel-formato&amp;utm_medium=act_formato_excel&amp;utm_source=act_formato_excel&amp;utm_campaign=act_formato_excel&amp;utm_content=act_formato_excel_link" TargetMode="External"/><Relationship Id="rId884" Type="http://schemas.openxmlformats.org/officeDocument/2006/relationships/hyperlink" Target="https://actualicese.com/impuesto-de-renta-ordinario-vs-impuesto-simple-cual-es-la-decision-mas-conveniente/?referer=L-excel-formato&amp;utm_medium=act_formato_excel&amp;utm_source=act_formato_excel&amp;utm_campaign=act_formato_excel&amp;utm_content=act_formato_excel_link" TargetMode="External"/><Relationship Id="rId1735" Type="http://schemas.openxmlformats.org/officeDocument/2006/relationships/hyperlink" Target="https://actualicese.com/dupont-indice-de-rentabilidad/?referer=L-excel-formato&amp;utm_medium=act_formato_excel&amp;utm_source=act_formato_excel&amp;utm_campaign=act_formato_excel&amp;utm_content=act_formato_excel_link" TargetMode="External"/><Relationship Id="rId1942" Type="http://schemas.openxmlformats.org/officeDocument/2006/relationships/hyperlink" Target="https://actualicese.com/ejemplos-sobre-hechos-posteriores-al-cierre-que-implican-o-no-ajustes/?referer=L-excel-formato&amp;utm_medium=act_formato_excel&amp;utm_source=act_formato_excel&amp;utm_campaign=act_formato_excel&amp;utm_content=act_formato_excel_link" TargetMode="External"/><Relationship Id="rId2120" Type="http://schemas.openxmlformats.org/officeDocument/2006/relationships/hyperlink" Target="https://actualicese.com/informe-de-compilacion-de-estados-financieros-con-fines-especificos/?referer=L-excel-formato&amp;utm_medium=act_formato_excel&amp;utm_source=act_formato_excel&amp;utm_campaign=act_formato_excel&amp;utm_content=act_formato_excel_link" TargetMode="External"/><Relationship Id="rId27" Type="http://schemas.openxmlformats.org/officeDocument/2006/relationships/hyperlink" Target="https://actualicese.com/ejemplos-sobre-hechos-posteriores-al-cierre-que-implican-o-no-ajustes/?referer=L-excel-formato&amp;utm_medium=act_formato_excel&amp;utm_source=act_formato_excel&amp;utm_campaign=act_formato_excel&amp;utm_content=act_formato_excel_link" TargetMode="External"/><Relationship Id="rId537" Type="http://schemas.openxmlformats.org/officeDocument/2006/relationships/hyperlink" Target="https://actualicese.com/licencias-de-maternidad-y-paternidad-tipos-y-caracteristicas/?referer=L-excel-formato&amp;utm_medium=act_formato_excel&amp;utm_source=act_formato_excel&amp;utm_campaign=act_formato_excel&amp;utm_content=act_formato_excel_link" TargetMode="External"/><Relationship Id="rId744" Type="http://schemas.openxmlformats.org/officeDocument/2006/relationships/hyperlink" Target="https://actualicese.com/liquidador-del-numero-de-trabajadores-por-los-cuales-se-tiene-derecho-al-subsidio-de-nomina-del-paef/?referer=L-excel-formato&amp;utm_medium=act_formato_excel&amp;utm_source=act_formato_excel&amp;utm_campaign=act_formato_excel&amp;utm_content=act_formato_excel_link" TargetMode="External"/><Relationship Id="rId951" Type="http://schemas.openxmlformats.org/officeDocument/2006/relationships/hyperlink" Target="https://actualicese.com/solicitud-de-deposito-de-recursos-a-cuenta-afc-para-que-no-se-practique-retefuente/?referer=L-excel-formato&amp;utm_medium=act_formato_excel&amp;utm_source=act_formato_excel&amp;utm_campaign=act_formato_excel&amp;utm_content=act_formato_excel_link" TargetMode="External"/><Relationship Id="rId1167" Type="http://schemas.openxmlformats.org/officeDocument/2006/relationships/hyperlink" Target="https://actualicese.com/tabla-de-retencion-en-la-fuente-sobre-ingresos-laborales/?referer=L-excel-formato&amp;utm_medium=act_formato_excel&amp;utm_source=act_formato_excel&amp;utm_campaign=act_formato_excel&amp;utm_content=act_formato_excel_link" TargetMode="External"/><Relationship Id="rId1374" Type="http://schemas.openxmlformats.org/officeDocument/2006/relationships/hyperlink" Target="https://actualicese.com/basica-de-trabajo-salario-y-jornada-laboral/?referer=L-excel-formato&amp;utm_medium=act_formato_excel&amp;utm_source=act_formato_excel&amp;utm_campaign=act_formato_excel&amp;utm_content=act_formato_excel_link" TargetMode="External"/><Relationship Id="rId1581" Type="http://schemas.openxmlformats.org/officeDocument/2006/relationships/hyperlink" Target="https://actualicese.com/guia-consejos-practicos-sobre-el-nuevo-estatuto-del-consumidor-superindustria-y-comercio/?referer=L-excel-formato&amp;utm_medium=act_formato_excel&amp;utm_source=act_formato_excel&amp;utm_campaign=act_formato_excel&amp;utm_content=act_formato_excel_link" TargetMode="External"/><Relationship Id="rId1679" Type="http://schemas.openxmlformats.org/officeDocument/2006/relationships/hyperlink" Target="https://actualicese.com/analisis-de-informacion-de-ventas-utilizando-el-metodo-del-indice-de-estacionalidad/?referer=L-excel-formato&amp;utm_medium=act_formato_excel&amp;utm_source=act_formato_excel&amp;utm_campaign=act_formato_excel&amp;utm_content=act_formato_excel_link" TargetMode="External"/><Relationship Id="rId1802" Type="http://schemas.openxmlformats.org/officeDocument/2006/relationships/hyperlink" Target="https://actualicese.com/guia-en-excel-para-auditar-el-formato-2516-conciliacion-fiscal-de-las-personas-juridicas/?referer=L-excel-formato&amp;utm_medium=act_formato_excel&amp;utm_source=act_formato_excel&amp;utm_campaign=act_formato_excel&amp;utm_content=act_formato_excel_link" TargetMode="External"/><Relationship Id="rId2218" Type="http://schemas.openxmlformats.org/officeDocument/2006/relationships/hyperlink" Target="https://actualicese.com/liquidador-plantilla-de-los-formatos-2276-2280-y-2743-para-el-reporte-de-informacion-exogena-de-2023/?referer=L-excel-formato&amp;utm_medium=act_formato_excel&amp;utm_source=act_formato_excel&amp;utm_campaign=act_formato_excel&amp;utm_content=act_formato_excel_link" TargetMode="External"/><Relationship Id="rId2425" Type="http://schemas.openxmlformats.org/officeDocument/2006/relationships/hyperlink" Target="https://actualicese.com/guia-en-word-con-las-revelaciones-de-la-informacion-financiera-a-presentar-segun-el-estandar-para-pymes/?referer=L-excel-formato&amp;utm_medium=act_formato_excel&amp;utm_source=act_formato_excel&amp;utm_campaign=act_formato_excel&amp;utm_content=act_formato_excel_link" TargetMode="External"/><Relationship Id="rId80" Type="http://schemas.openxmlformats.org/officeDocument/2006/relationships/hyperlink" Target="https://actualicese.com/arqueo-caja-menor/?referer=L-excel-formato&amp;utm_medium=act_formato_excel&amp;utm_source=act_formato_excel&amp;utm_campaign=act_formato_excel&amp;utm_content=act_formato_excel_link" TargetMode="External"/><Relationship Id="rId176" Type="http://schemas.openxmlformats.org/officeDocument/2006/relationships/hyperlink" Target="https://actualicese.com/control-de-disfrute-del-dia-de-la-familia-planilla-en-excel/?referer=L-excel-formato&amp;utm_medium=act_formato_excel&amp;utm_source=act_formato_excel&amp;utm_campaign=act_formato_excel&amp;utm_content=act_formato_excel_link" TargetMode="External"/><Relationship Id="rId383" Type="http://schemas.openxmlformats.org/officeDocument/2006/relationships/hyperlink" Target="https://actualicese.com/simulador-del-limite-de-costos-y-gastos-no-soportados-en-factura-electronica/?referer=L-excel-formato&amp;utm_medium=act_formato_excel&amp;utm_source=act_formato_excel&amp;utm_campaign=act_formato_excel&amp;utm_content=act_formato_excel_link" TargetMode="External"/><Relationship Id="rId590" Type="http://schemas.openxmlformats.org/officeDocument/2006/relationships/hyperlink" Target="https://actualicese.com/carta-para-designar-al-responsable-del-seguimiento-del-sistema-de-control-de-calidad-nicc-1/?referer=L-excel-formato&amp;utm_medium=act_formato_excel&amp;utm_source=act_formato_excel&amp;utm_campaign=act_formato_excel&amp;utm_content=act_formato_excel_link" TargetMode="External"/><Relationship Id="rId604" Type="http://schemas.openxmlformats.org/officeDocument/2006/relationships/hyperlink" Target="https://actualicese.com/word-contrato-de-prestacion-de-servicios-para-la-organizacion-contable/?referer=L-excel-formato&amp;utm_medium=act_formato_excel&amp;utm_source=act_formato_excel&amp;utm_campaign=act_formato_excel&amp;utm_content=act_formato_excel_link" TargetMode="External"/><Relationship Id="rId811" Type="http://schemas.openxmlformats.org/officeDocument/2006/relationships/hyperlink" Target="https://actualicese.com/formulario-350-plantilla-para-elaborar-su-borrador/?referer=L-excel-formato&amp;utm_medium=act_formato_excel&amp;utm_source=act_formato_excel&amp;utm_campaign=act_formato_excel&amp;utm_content=act_formato_excel_link" TargetMode="External"/><Relationship Id="rId1027" Type="http://schemas.openxmlformats.org/officeDocument/2006/relationships/hyperlink" Target="https://actualicese.com/2018-historico-de-salario-minimo-y-auxilio-de-transporte/?referer=L-excel-formato&amp;utm_medium=act_formato_excel&amp;utm_source=act_formato_excel&amp;utm_campaign=act_formato_excel&amp;utm_content=act_formato_excel_link" TargetMode="External"/><Relationship Id="rId1234" Type="http://schemas.openxmlformats.org/officeDocument/2006/relationships/hyperlink" Target="https://actualicese.com/modelo-simple-de-programa-de-auditoria-a-inversiones-en-pymes/?referer=L-excel-formato&amp;utm_medium=act_formato_excel&amp;utm_source=act_formato_excel&amp;utm_campaign=act_formato_excel&amp;utm_content=act_formato_excel_link" TargetMode="External"/><Relationship Id="rId1441" Type="http://schemas.openxmlformats.org/officeDocument/2006/relationships/hyperlink" Target="https://actualicese.com/derecho-de-peticion-requiriendo-visita-para-inspeccion-de-sanidad/?referer=L-excel-formato&amp;utm_medium=act_formato_excel&amp;utm_source=act_formato_excel&amp;utm_campaign=act_formato_excel&amp;utm_content=act_formato_excel_link" TargetMode="External"/><Relationship Id="rId1886" Type="http://schemas.openxmlformats.org/officeDocument/2006/relationships/hyperlink" Target="https://actualicese.com/liquidador-del-auxilio-de-incapacidad-de-origen-comun-para-trabajador-independiente/?referer=L-excel-formato&amp;utm_medium=act_formato_excel&amp;utm_source=act_formato_excel&amp;utm_campaign=act_formato_excel&amp;utm_content=act_formato_excel_link" TargetMode="External"/><Relationship Id="rId2064" Type="http://schemas.openxmlformats.org/officeDocument/2006/relationships/hyperlink" Target="https://actualicese.com/pack-de-formatos-para-profundizar-en-las-novedades-de-la-ley-de-reforma-tributaria-2277-de-2022/?referer=L-excel-formato&amp;utm_medium=act_formato_excel&amp;utm_source=act_formato_excel&amp;utm_campaign=act_formato_excel&amp;utm_content=act_formato_excel_link" TargetMode="External"/><Relationship Id="rId2271" Type="http://schemas.openxmlformats.org/officeDocument/2006/relationships/hyperlink" Target="https://actualicese.com/declaracion-de-renta-de-personas-naturales-documentos-necesarios-para-su-elaboracion/?referer=L-excel-formato&amp;utm_medium=act_formato_excel&amp;utm_source=act_formato_excel&amp;utm_campaign=act_formato_excel&amp;utm_content=act_formato_excel_link" TargetMode="External"/><Relationship Id="rId243" Type="http://schemas.openxmlformats.org/officeDocument/2006/relationships/hyperlink" Target="https://actualicese.com/10-simuladores-de-sanciones-por-no-declarar/?referer=L-excel-formato&amp;utm_medium=act_formato_excel&amp;utm_source=act_formato_excel&amp;utm_campaign=act_formato_excel&amp;utm_content=act_formato_excel_link" TargetMode="External"/><Relationship Id="rId450" Type="http://schemas.openxmlformats.org/officeDocument/2006/relationships/hyperlink" Target="https://actualicese.com/ejemplos-de-aplicacion-de-los-beneficios-de-la-ley-de-borron-y-cuenta-nueva/?referer=L-excel-formato&amp;utm_medium=act_formato_excel&amp;utm_source=act_formato_excel&amp;utm_campaign=act_formato_excel&amp;utm_content=act_formato_excel_link" TargetMode="External"/><Relationship Id="rId688" Type="http://schemas.openxmlformats.org/officeDocument/2006/relationships/hyperlink" Target="https://actualicese.com/depreciacion-y-valor-maximo-a-deducir-en-impuesto-de-renta/?referer=L-excel-formato&amp;utm_medium=act_formato_excel&amp;utm_source=act_formato_excel&amp;utm_campaign=act_formato_excel&amp;utm_content=act_formato_excel_link" TargetMode="External"/><Relationship Id="rId895" Type="http://schemas.openxmlformats.org/officeDocument/2006/relationships/hyperlink" Target="https://actualicese.com/radicacion-de-licencia-de-maternidad-ante-eps-al-no-cotizar-todo-el-periodo-de-gestacion/?referer=L-excel-formato&amp;utm_medium=act_formato_excel&amp;utm_source=act_formato_excel&amp;utm_campaign=act_formato_excel&amp;utm_content=act_formato_excel_link" TargetMode="External"/><Relationship Id="rId909" Type="http://schemas.openxmlformats.org/officeDocument/2006/relationships/hyperlink" Target="https://actualicese.com/anuncio-de-modificacion-a-terminos-de-descuento-por-pronto-pago/?referer=L-excel-formato&amp;utm_medium=act_formato_excel&amp;utm_source=act_formato_excel&amp;utm_campaign=act_formato_excel&amp;utm_content=act_formato_excel_link" TargetMode="External"/><Relationship Id="rId1080" Type="http://schemas.openxmlformats.org/officeDocument/2006/relationships/hyperlink" Target="https://actualicese.com/clasificacion-tributaria-de-una-persona-natural-segun-decreto-3032-de-2013/?referer=L-excel-formato&amp;utm_medium=act_formato_excel&amp;utm_source=act_formato_excel&amp;utm_campaign=act_formato_excel&amp;utm_content=act_formato_excel_link" TargetMode="External"/><Relationship Id="rId1301" Type="http://schemas.openxmlformats.org/officeDocument/2006/relationships/hyperlink" Target="https://actualicese.com/promesa-de-compraventa-de-apartamento-con-usufructo-para-cancelar/?referer=L-excel-formato&amp;utm_medium=act_formato_excel&amp;utm_source=act_formato_excel&amp;utm_campaign=act_formato_excel&amp;utm_content=act_formato_excel_link" TargetMode="External"/><Relationship Id="rId1539" Type="http://schemas.openxmlformats.org/officeDocument/2006/relationships/hyperlink" Target="https://actualicese.com/plantilla-para-elaborar-informe-de-practicas-empresariales-por-el-2013/?referer=L-excel-formato&amp;utm_medium=act_formato_excel&amp;utm_source=act_formato_excel&amp;utm_campaign=act_formato_excel&amp;utm_content=act_formato_excel_link" TargetMode="External"/><Relationship Id="rId1746" Type="http://schemas.openxmlformats.org/officeDocument/2006/relationships/hyperlink" Target="https://actualicese.com/modelo-basico-en-excel-para-proyectar-el-impuesto-al-patrimonio-anos-2023-y-siguientes/?referer=L-excel-formato&amp;utm_medium=act_formato_excel&amp;utm_source=act_formato_excel&amp;utm_campaign=act_formato_excel&amp;utm_content=act_formato_excel_link" TargetMode="External"/><Relationship Id="rId1953" Type="http://schemas.openxmlformats.org/officeDocument/2006/relationships/hyperlink" Target="https://actualicese.com/modelo-calculo-intereses-de-mora-y-su-iva-en-cuentas-por-cobrar-vencidas/?referer=L-excel-formato&amp;utm_medium=act_formato_excel&amp;utm_source=act_formato_excel&amp;utm_campaign=act_formato_excel&amp;utm_content=act_formato_excel_link" TargetMode="External"/><Relationship Id="rId2131" Type="http://schemas.openxmlformats.org/officeDocument/2006/relationships/hyperlink" Target="https://actualicese.com/liquidador-de-sanciones-por-incumplir-con-la-obligacion-de-inscribirse-al-rut/?referer=L-excel-formato&amp;utm_medium=act_formato_excel&amp;utm_source=act_formato_excel&amp;utm_campaign=act_formato_excel&amp;utm_content=act_formato_excel_link" TargetMode="External"/><Relationship Id="rId2369" Type="http://schemas.openxmlformats.org/officeDocument/2006/relationships/hyperlink" Target="https://actualicese.com/modelo-de-certificacion-del-tamano-de-una-empresa-en-colombia/?referer=L-excel-formato&amp;utm_medium=act_formato_excel&amp;utm_source=act_formato_excel&amp;utm_campaign=act_formato_excel&amp;utm_content=act_formato_excel_link" TargetMode="External"/><Relationship Id="rId38" Type="http://schemas.openxmlformats.org/officeDocument/2006/relationships/hyperlink" Target="https://actualicese.com/clasificacion-de-arrendamientos-segun-la-seccion-20-del-estandar-para-pymes-casos-practicos-en-excel/?referer=L-excel-formato&amp;utm_medium=act_formato_excel&amp;utm_source=act_formato_excel&amp;utm_campaign=act_formato_excel&amp;utm_content=act_formato_excel_link" TargetMode="External"/><Relationship Id="rId103" Type="http://schemas.openxmlformats.org/officeDocument/2006/relationships/hyperlink" Target="https://actualicese.com/casos-practicos-de-contabilizacion-de-ventas-de-contado-y-a-credito/?referer=L-excel-formato&amp;utm_medium=act_formato_excel&amp;utm_source=act_formato_excel&amp;utm_campaign=act_formato_excel&amp;utm_content=act_formato_excel_link" TargetMode="External"/><Relationship Id="rId310" Type="http://schemas.openxmlformats.org/officeDocument/2006/relationships/hyperlink" Target="https://actualicese.com/liquidador-del-formulario-110-y-formato-2516-declaracion-de-renta-de-personas-juridicas-ag-2021/?referer=L-excel-formato&amp;utm_medium=act_formato_excel&amp;utm_source=act_formato_excel&amp;utm_campaign=act_formato_excel&amp;utm_content=act_formato_excel_link" TargetMode="External"/><Relationship Id="rId548" Type="http://schemas.openxmlformats.org/officeDocument/2006/relationships/hyperlink" Target="https://actualicese.com/liquidador-del-auxilio-de-incapacidad-de-origen-comun-para-trabajador-independiente/?referer=L-excel-formato&amp;utm_medium=act_formato_excel&amp;utm_source=act_formato_excel&amp;utm_campaign=act_formato_excel&amp;utm_content=act_formato_excel_link" TargetMode="External"/><Relationship Id="rId755" Type="http://schemas.openxmlformats.org/officeDocument/2006/relationships/hyperlink" Target="https://actualicese.com/certificado-de-licencia-remunerada-compensable-proteccion-al-empleo-ante-el-covid-19/?referer=L-excel-formato&amp;utm_medium=act_formato_excel&amp;utm_source=act_formato_excel&amp;utm_campaign=act_formato_excel&amp;utm_content=act_formato_excel_link" TargetMode="External"/><Relationship Id="rId962" Type="http://schemas.openxmlformats.org/officeDocument/2006/relationships/hyperlink" Target="https://actualicese.com/notificacion-de-ultimo-cobro-extrajudicial/?referer=L-excel-formato&amp;utm_medium=act_formato_excel&amp;utm_source=act_formato_excel&amp;utm_campaign=act_formato_excel&amp;utm_content=act_formato_excel_link" TargetMode="External"/><Relationship Id="rId1178" Type="http://schemas.openxmlformats.org/officeDocument/2006/relationships/hyperlink" Target="https://actualicese.com/matriz-para-definir-quien-puede-acogerse-al-monotributo-por-el-ano-2017-segun-reforma-tributaria/?referer=L-excel-formato&amp;utm_medium=act_formato_excel&amp;utm_source=act_formato_excel&amp;utm_campaign=act_formato_excel&amp;utm_content=act_formato_excel_link" TargetMode="External"/><Relationship Id="rId1385" Type="http://schemas.openxmlformats.org/officeDocument/2006/relationships/hyperlink" Target="https://actualicese.com/contratacion-del-servicio-domestico/?referer=L-excel-formato&amp;utm_medium=act_formato_excel&amp;utm_source=act_formato_excel&amp;utm_campaign=act_formato_excel&amp;utm_content=act_formato_excel_link" TargetMode="External"/><Relationship Id="rId1592" Type="http://schemas.openxmlformats.org/officeDocument/2006/relationships/hyperlink" Target="https://actualicese.com/devolucion-de-pagares-o-letras-pagadas/?referer=L-excel-formato&amp;utm_medium=act_formato_excel&amp;utm_source=act_formato_excel&amp;utm_campaign=act_formato_excel&amp;utm_content=act_formato_excel_link" TargetMode="External"/><Relationship Id="rId1606" Type="http://schemas.openxmlformats.org/officeDocument/2006/relationships/hyperlink" Target="https://actualicese.com/word-minuta-de-comodato-o-prestamo-de-uso/?referer=L-excel-formato&amp;utm_medium=act_formato_excel&amp;utm_source=act_formato_excel&amp;utm_campaign=act_formato_excel&amp;utm_content=act_formato_excel_link" TargetMode="External"/><Relationship Id="rId1813" Type="http://schemas.openxmlformats.org/officeDocument/2006/relationships/hyperlink" Target="https://actualicese.com/liquidador-certificado-de-ingresos-y-retenciones-plantilla-del-formulario-220-y-del-formato-2ag-2022/?referer=L-excel-formato&amp;utm_medium=act_formato_excel&amp;utm_source=act_formato_excel&amp;utm_campaign=act_formato_excel&amp;utm_content=act_formato_excel_link" TargetMode="External"/><Relationship Id="rId2229" Type="http://schemas.openxmlformats.org/officeDocument/2006/relationships/hyperlink" Target="https://actualicese.com/liquidador-plantilla-del-formato-1008-de-exogena-2023-informacion-de-cuentas-por-cobrar/?referer=L-excel-formato&amp;utm_medium=act_formato_excel&amp;utm_source=act_formato_excel&amp;utm_campaign=act_formato_excel&amp;utm_content=act_formato_excel_link" TargetMode="External"/><Relationship Id="rId2436" Type="http://schemas.openxmlformats.org/officeDocument/2006/relationships/hyperlink" Target="https://actualicese.com/tablas-en-word-de-retencion-en-la-fuente-a-titulo-de-impuestos-nacionales-durante-el-ano-fiscal-2025/?referer=L-excel-formato&amp;utm_medium=act_formato_excel&amp;utm_source=act_formato_excel&amp;utm_campaign=act_formato_excel&amp;utm_content=act_formato_excel_link" TargetMode="External"/><Relationship Id="rId91" Type="http://schemas.openxmlformats.org/officeDocument/2006/relationships/hyperlink" Target="https://actualicese.com/comparativo-de-pagos-a-trabajador-contrato-de-trabajo-vs-contrato-de-prestacion-de-servicios/?referer=L-excel-formato&amp;utm_medium=act_formato_excel&amp;utm_source=act_formato_excel&amp;utm_campaign=act_formato_excel&amp;utm_content=act_formato_excel_link" TargetMode="External"/><Relationship Id="rId187" Type="http://schemas.openxmlformats.org/officeDocument/2006/relationships/hyperlink" Target="https://actualicese.com/liquidador-automatizado-de-la-prima-de-servicios-con-comprobante-de-pago/?referer=L-excel-formato&amp;utm_medium=act_formato_excel&amp;utm_source=act_formato_excel&amp;utm_campaign=act_formato_excel&amp;utm_content=act_formato_excel_link" TargetMode="External"/><Relationship Id="rId394" Type="http://schemas.openxmlformats.org/officeDocument/2006/relationships/hyperlink" Target="https://actualicese.com/pack-de-formatos-formatos-para-la-liquidacion-de-nomina-paso-a-paso/?referer=L-excel-formato&amp;utm_medium=act_formato_excel&amp;utm_source=act_formato_excel&amp;utm_campaign=act_formato_excel&amp;utm_content=act_formato_excel_link" TargetMode="External"/><Relationship Id="rId408" Type="http://schemas.openxmlformats.org/officeDocument/2006/relationships/hyperlink" Target="https://actualicese.com/carta-de-finalizacion-del-contrato-individual-de-trabajo-por-justa-causa/?referer=L-excel-formato&amp;utm_medium=act_formato_excel&amp;utm_source=act_formato_excel&amp;utm_campaign=act_formato_excel&amp;utm_content=act_formato_excel_link" TargetMode="External"/><Relationship Id="rId615" Type="http://schemas.openxmlformats.org/officeDocument/2006/relationships/hyperlink" Target="https://actualicese.com/plantilla-del-formato-exogena-1008-por-el-ano-gravable-2020-reporte-de-cuentas-por-cobrar/?referer=L-excel-formato&amp;utm_medium=act_formato_excel&amp;utm_source=act_formato_excel&amp;utm_campaign=act_formato_excel&amp;utm_content=act_formato_excel_link" TargetMode="External"/><Relationship Id="rId822" Type="http://schemas.openxmlformats.org/officeDocument/2006/relationships/hyperlink" Target="https://actualicese.com/tablas-para-el-calculo-del-tiempo-entre-dos-fechas/?referer=L-excel-formato&amp;utm_medium=act_formato_excel&amp;utm_source=act_formato_excel&amp;utm_campaign=act_formato_excel&amp;utm_content=act_formato_excel_link" TargetMode="External"/><Relationship Id="rId1038" Type="http://schemas.openxmlformats.org/officeDocument/2006/relationships/hyperlink" Target="https://actualicese.com/categorias-de-informantes-de-exogena-por-el-ano-gravable-2017-y-formatos-que-deben-usar/?referer=L-excel-formato&amp;utm_medium=act_formato_excel&amp;utm_source=act_formato_excel&amp;utm_campaign=act_formato_excel&amp;utm_content=act_formato_excel_link" TargetMode="External"/><Relationship Id="rId1245" Type="http://schemas.openxmlformats.org/officeDocument/2006/relationships/hyperlink" Target="https://actualicese.com/modelo-de-renuncia-por-falta-de-pago-de-salarios/?referer=L-excel-formato&amp;utm_medium=act_formato_excel&amp;utm_source=act_formato_excel&amp;utm_campaign=act_formato_excel&amp;utm_content=act_formato_excel_link" TargetMode="External"/><Relationship Id="rId1452" Type="http://schemas.openxmlformats.org/officeDocument/2006/relationships/hyperlink" Target="https://actualicese.com/derecho-de-peticion-informando-apertura-de-establecimiento-de-comercio/?referer=L-excel-formato&amp;utm_medium=act_formato_excel&amp;utm_source=act_formato_excel&amp;utm_campaign=act_formato_excel&amp;utm_content=act_formato_excel_link" TargetMode="External"/><Relationship Id="rId1897" Type="http://schemas.openxmlformats.org/officeDocument/2006/relationships/hyperlink" Target="https://actualicese.com/presencia-economica-significativa-pes-comparativo-en-word-de-las-normas-del-dut-1625-de-2016-afectadas-con-el-decreto-2039-de-2023/?referer=L-excel-formato&amp;utm_medium=act_formato_excel&amp;utm_source=act_formato_excel&amp;utm_campaign=act_formato_excel&amp;utm_content=act_formato_excel_link" TargetMode="External"/><Relationship Id="rId2075" Type="http://schemas.openxmlformats.org/officeDocument/2006/relationships/hyperlink" Target="https://actualicese.com/simulador-del-impuesto-para-dividendos-y-participaciones-no-gravados-de-2017-y-siguientes/?referer=L-excel-formato&amp;utm_medium=act_formato_excel&amp;utm_source=act_formato_excel&amp;utm_campaign=act_formato_excel&amp;utm_content=act_formato_excel_link" TargetMode="External"/><Relationship Id="rId2282" Type="http://schemas.openxmlformats.org/officeDocument/2006/relationships/hyperlink" Target="https://actualicese.com/liquidador-en-excel-del-porcentaje-fijo-de-retencion-en-la-fuente-sobre-salarios-en-junio-de-2024-procedimiento-2/?referer=L-excel-formato&amp;utm_medium=act_formato_excel&amp;utm_source=act_formato_excel&amp;utm_campaign=act_formato_excel&amp;utm_content=act_formato_excel_link" TargetMode="External"/><Relationship Id="rId254" Type="http://schemas.openxmlformats.org/officeDocument/2006/relationships/hyperlink" Target="https://actualicese.com/lista-de-chequeo-de-documentos-para-contratacion-laboral-a-solicitar-al-trabajador/?referer=L-excel-formato&amp;utm_medium=act_formato_excel&amp;utm_source=act_formato_excel&amp;utm_campaign=act_formato_excel&amp;utm_content=act_formato_excel_link" TargetMode="External"/><Relationship Id="rId699" Type="http://schemas.openxmlformats.org/officeDocument/2006/relationships/hyperlink" Target="https://actualicese.com/contrato-de-preposicion/?referer=L-excel-formato&amp;utm_medium=act_formato_excel&amp;utm_source=act_formato_excel&amp;utm_campaign=act_formato_excel&amp;utm_content=act_formato_excel_link" TargetMode="External"/><Relationship Id="rId1091" Type="http://schemas.openxmlformats.org/officeDocument/2006/relationships/hyperlink" Target="https://actualicese.com/renta-presuntiva-y-las-novedades-de-la-reforma-tributaria-en-su-determinacion/?referer=L-excel-formato&amp;utm_medium=act_formato_excel&amp;utm_source=act_formato_excel&amp;utm_campaign=act_formato_excel&amp;utm_content=act_formato_excel_link" TargetMode="External"/><Relationship Id="rId1105" Type="http://schemas.openxmlformats.org/officeDocument/2006/relationships/hyperlink" Target="https://actualicese.com/aprobacion-de-disolucion-de-sociedad-de-responsabilidad-limitada/?referer=L-excel-formato&amp;utm_medium=act_formato_excel&amp;utm_source=act_formato_excel&amp;utm_campaign=act_formato_excel&amp;utm_content=act_formato_excel_link" TargetMode="External"/><Relationship Id="rId1312" Type="http://schemas.openxmlformats.org/officeDocument/2006/relationships/hyperlink" Target="https://actualicese.com/convocatoria-para-asamblea-general-de-copropietarios/?referer=L-excel-formato&amp;utm_medium=act_formato_excel&amp;utm_source=act_formato_excel&amp;utm_campaign=act_formato_excel&amp;utm_content=act_formato_excel_link" TargetMode="External"/><Relationship Id="rId1757" Type="http://schemas.openxmlformats.org/officeDocument/2006/relationships/hyperlink" Target="https://actualicese.com/liquidador-de-prestaciones-sociales/?referer=L-excel-formato&amp;utm_medium=act_formato_excel&amp;utm_source=act_formato_excel&amp;utm_campaign=act_formato_excel&amp;utm_content=act_formato_excel_link" TargetMode="External"/><Relationship Id="rId1964" Type="http://schemas.openxmlformats.org/officeDocument/2006/relationships/hyperlink" Target="https://actualicese.com/modelo-de-estructura-del-estado-de-resultados-y-ganancias-acumuladas/?referer=L-excel-formato&amp;utm_medium=act_formato_excel&amp;utm_source=act_formato_excel&amp;utm_campaign=act_formato_excel&amp;utm_content=act_formato_excel_link" TargetMode="External"/><Relationship Id="rId49" Type="http://schemas.openxmlformats.org/officeDocument/2006/relationships/hyperlink" Target="https://actualicese.com/modelo-para-la-elaboracion-del-estado-de-cambios-en-el-patrimonio/?referer=L-excel-formato&amp;utm_medium=act_formato_excel&amp;utm_source=act_formato_excel&amp;utm_campaign=act_formato_excel&amp;utm_content=act_formato_excel_link" TargetMode="External"/><Relationship Id="rId114" Type="http://schemas.openxmlformats.org/officeDocument/2006/relationships/hyperlink" Target="https://actualicese.com/caso-practico-de-contabilizacion-de-prestaciones-sociales-y-vacaciones/?referer=L-excel-formato&amp;utm_medium=act_formato_excel&amp;utm_source=act_formato_excel&amp;utm_campaign=act_formato_excel&amp;utm_content=act_formato_excel_link" TargetMode="External"/><Relationship Id="rId461" Type="http://schemas.openxmlformats.org/officeDocument/2006/relationships/hyperlink" Target="https://actualicese.com/modelo-de-certificado-para-acceder-al-incentivo-a-la-creacion-de-nuevos-empleos/?referer=L-excel-formato&amp;utm_medium=act_formato_excel&amp;utm_source=act_formato_excel&amp;utm_campaign=act_formato_excel&amp;utm_content=act_formato_excel_link" TargetMode="External"/><Relationship Id="rId559" Type="http://schemas.openxmlformats.org/officeDocument/2006/relationships/hyperlink" Target="https://actualicese.com/lista-de-chequeo-para-evaluar-la-aceptacion-o-continuidad-de-la-relacion-con-clientes/?referer=L-excel-formato&amp;utm_medium=act_formato_excel&amp;utm_source=act_formato_excel&amp;utm_campaign=act_formato_excel&amp;utm_content=act_formato_excel_link" TargetMode="External"/><Relationship Id="rId766" Type="http://schemas.openxmlformats.org/officeDocument/2006/relationships/hyperlink" Target="https://actualicese.com/formato-exogena-1647-por-el-ano-gravable-2019-reporte-de-ingresos-recibidos-para-terceros/?referer=L-excel-formato&amp;utm_medium=act_formato_excel&amp;utm_source=act_formato_excel&amp;utm_campaign=act_formato_excel&amp;utm_content=act_formato_excel_link" TargetMode="External"/><Relationship Id="rId1189" Type="http://schemas.openxmlformats.org/officeDocument/2006/relationships/hyperlink" Target="https://actualicese.com/modelo-de-carta-para-solicitar-a-la-empresa-de-servicios-publicos-la-suspension-del-contrato-de-telefonia-e-internet/?referer=L-excel-formato&amp;utm_medium=act_formato_excel&amp;utm_source=act_formato_excel&amp;utm_campaign=act_formato_excel&amp;utm_content=act_formato_excel_link" TargetMode="External"/><Relationship Id="rId1396" Type="http://schemas.openxmlformats.org/officeDocument/2006/relationships/hyperlink" Target="https://actualicese.com/convenios-para-evitar-la-doble-tributacion-de-las-empresas-de-navegacion/?referer=L-excel-formato&amp;utm_medium=act_formato_excel&amp;utm_source=act_formato_excel&amp;utm_campaign=act_formato_excel&amp;utm_content=act_formato_excel_link" TargetMode="External"/><Relationship Id="rId1617" Type="http://schemas.openxmlformats.org/officeDocument/2006/relationships/hyperlink" Target="https://actualicese.com/word-segunda-convocatoria-a-asamblea-general-ordinaria-de-socios/?referer=L-excel-formato&amp;utm_medium=act_formato_excel&amp;utm_source=act_formato_excel&amp;utm_campaign=act_formato_excel&amp;utm_content=act_formato_excel_link" TargetMode="External"/><Relationship Id="rId1824" Type="http://schemas.openxmlformats.org/officeDocument/2006/relationships/hyperlink" Target="https://actualicese.com/pack-de-formatos-formatos-para-la-liquidacion-de-nomina-paso-a-paso/?referer=L-excel-formato&amp;utm_medium=act_formato_excel&amp;utm_source=act_formato_excel&amp;utm_campaign=act_formato_excel&amp;utm_content=act_formato_excel_link" TargetMode="External"/><Relationship Id="rId2142" Type="http://schemas.openxmlformats.org/officeDocument/2006/relationships/hyperlink" Target="https://actualicese.com/aportes-a-seguridad-social-para-trabajadores-independientes/?referer=L-excel-formato&amp;utm_medium=act_formato_excel&amp;utm_source=act_formato_excel&amp;utm_campaign=act_formato_excel&amp;utm_content=act_formato_excel_link" TargetMode="External"/><Relationship Id="rId2447" Type="http://schemas.openxmlformats.org/officeDocument/2006/relationships/hyperlink" Target="https://actualicese.com/guia-requisitos-para-operar-como-no-responsables-de-iva-inc-ibua-e-icui-durante-el-2025/?referer=L-excel-formato&amp;utm_medium=act_formato_excel&amp;utm_source=act_formato_excel&amp;utm_campaign=act_formato_excel&amp;utm_content=act_formato_excel_link" TargetMode="External"/><Relationship Id="rId198" Type="http://schemas.openxmlformats.org/officeDocument/2006/relationships/hyperlink" Target="https://actualicese.com/carta-de-renuncia-de-revisor-fiscal/?referer=L-excel-formato&amp;utm_medium=act_formato_excel&amp;utm_source=act_formato_excel&amp;utm_campaign=act_formato_excel&amp;utm_content=act_formato_excel_link" TargetMode="External"/><Relationship Id="rId321" Type="http://schemas.openxmlformats.org/officeDocument/2006/relationships/hyperlink" Target="https://actualicese.com/dictamenes-e-informes-del-revisor-fiscal-actualizados-al-2022/?referer=L-excel-formato&amp;utm_medium=act_formato_excel&amp;utm_source=act_formato_excel&amp;utm_campaign=act_formato_excel&amp;utm_content=act_formato_excel_link" TargetMode="External"/><Relationship Id="rId419" Type="http://schemas.openxmlformats.org/officeDocument/2006/relationships/hyperlink" Target="https://actualicese.com/sancion-por-no-consignar-las-cesantias-y-no-pagar-los-intereses/?referer=L-excel-formato&amp;utm_medium=act_formato_excel&amp;utm_source=act_formato_excel&amp;utm_campaign=act_formato_excel&amp;utm_content=act_formato_excel_link" TargetMode="External"/><Relationship Id="rId626" Type="http://schemas.openxmlformats.org/officeDocument/2006/relationships/hyperlink" Target="https://actualicese.com/contrato-de-arrendamiento-vivienda-urbana/?referer=L-excel-formato&amp;utm_medium=act_formato_excel&amp;utm_source=act_formato_excel&amp;utm_campaign=act_formato_excel&amp;utm_content=act_formato_excel_link" TargetMode="External"/><Relationship Id="rId973" Type="http://schemas.openxmlformats.org/officeDocument/2006/relationships/hyperlink" Target="https://actualicese.com/incorporacion-de-procesos-ejecutivos-en-proceso-de-reorganizacion-empresarial/?referer=L-excel-formato&amp;utm_medium=act_formato_excel&amp;utm_source=act_formato_excel&amp;utm_campaign=act_formato_excel&amp;utm_content=act_formato_excel_link" TargetMode="External"/><Relationship Id="rId1049" Type="http://schemas.openxmlformats.org/officeDocument/2006/relationships/hyperlink" Target="https://actualicese.com/descuentos-tributarios-para-personas-juridicas-y-sus-limites-al-momento-de-aplicarlos/?referer=L-excel-formato&amp;utm_medium=act_formato_excel&amp;utm_source=act_formato_excel&amp;utm_campaign=act_formato_excel&amp;utm_content=act_formato_excel_link" TargetMode="External"/><Relationship Id="rId1256" Type="http://schemas.openxmlformats.org/officeDocument/2006/relationships/hyperlink" Target="https://actualicese.com/solicitud-de-autorizacion-para-venta-de-propiedad-de-un-menor-de-edad/?referer=L-excel-formato&amp;utm_medium=act_formato_excel&amp;utm_source=act_formato_excel&amp;utm_campaign=act_formato_excel&amp;utm_content=act_formato_excel_link" TargetMode="External"/><Relationship Id="rId2002" Type="http://schemas.openxmlformats.org/officeDocument/2006/relationships/hyperlink" Target="https://actualicese.com/guia-modelo-de-notas-a-los-estados-financieros-estado-de-resultados/?referer=L-excel-formato&amp;utm_medium=act_formato_excel&amp;utm_source=act_formato_excel&amp;utm_campaign=act_formato_excel&amp;utm_content=act_formato_excel_link" TargetMode="External"/><Relationship Id="rId2086" Type="http://schemas.openxmlformats.org/officeDocument/2006/relationships/hyperlink" Target="https://actualicese.com/simulador-del-beneficio-de-auditoria-para-2021-2022-y-2023-con-las-novedades-de-la-ley-de-inversion-social/?referer=L-excel-formato&amp;utm_medium=act_formato_excel&amp;utm_source=act_formato_excel&amp;utm_campaign=act_formato_excel&amp;utm_content=act_formato_excel_link" TargetMode="External"/><Relationship Id="rId2307" Type="http://schemas.openxmlformats.org/officeDocument/2006/relationships/hyperlink" Target="https://actualicese.com/valor-patrimonial-de-acciones-y-aportes-en-la-declaracion-de-renta-de-personas-naturales-por-el-ag-2023/?referer=L-excel-formato&amp;utm_medium=act_formato_excel&amp;utm_source=act_formato_excel&amp;utm_campaign=act_formato_excel&amp;utm_content=act_formato_excel_link" TargetMode="External"/><Relationship Id="rId833" Type="http://schemas.openxmlformats.org/officeDocument/2006/relationships/hyperlink" Target="https://actualicese.com/certificacion-del-socio-gestor-en-contratos-de-cuentas-en-participacion/?referer=L-excel-formato&amp;utm_medium=act_formato_excel&amp;utm_source=act_formato_excel&amp;utm_campaign=act_formato_excel&amp;utm_content=act_formato_excel_link" TargetMode="External"/><Relationship Id="rId1116" Type="http://schemas.openxmlformats.org/officeDocument/2006/relationships/hyperlink" Target="https://actualicese.com/escrituras-de-venta-de-inmueble-ubicado-en-propiedad-horizontal/?referer=L-excel-formato&amp;utm_medium=act_formato_excel&amp;utm_source=act_formato_excel&amp;utm_campaign=act_formato_excel&amp;utm_content=act_formato_excel_link" TargetMode="External"/><Relationship Id="rId1463" Type="http://schemas.openxmlformats.org/officeDocument/2006/relationships/hyperlink" Target="https://actualicese.com/comparativo-de-las-partidas-con-que-se-depura-el-impuesto-de-renta-y-complementarios-y-el-impuesto-sobre-la-renta-para-la-equidad-cree/?referer=L-excel-formato&amp;utm_medium=act_formato_excel&amp;utm_source=act_formato_excel&amp;utm_campaign=act_formato_excel&amp;utm_content=act_formato_excel_link" TargetMode="External"/><Relationship Id="rId1670" Type="http://schemas.openxmlformats.org/officeDocument/2006/relationships/hyperlink" Target="https://actualicese.com/informe-de-auditoria-denegacion-abstencion-de-opinion-por-no-obtener-evidencia/?referer=L-excel-formato&amp;utm_medium=act_formato_excel&amp;utm_source=act_formato_excel&amp;utm_campaign=act_formato_excel&amp;utm_content=act_formato_excel_link" TargetMode="External"/><Relationship Id="rId1768" Type="http://schemas.openxmlformats.org/officeDocument/2006/relationships/hyperlink" Target="https://actualicese.com/historico-de-indice-de-precios-al-consumidor-ipc/?referer=L-excel-formato&amp;utm_medium=act_formato_excel&amp;utm_source=act_formato_excel&amp;utm_campaign=act_formato_excel&amp;utm_content=act_formato_excel_link" TargetMode="External"/><Relationship Id="rId2293" Type="http://schemas.openxmlformats.org/officeDocument/2006/relationships/hyperlink" Target="https://actualicese.com/evolucion-normativa-cuadro-tematico-con-las-normas-afectadas-por-la-ley-2277-de-2022-concepto-unificado-dian-087-de-2024/?referer=L-excel-formato&amp;utm_medium=act_formato_excel&amp;utm_source=act_formato_excel&amp;utm_campaign=act_formato_excel&amp;utm_content=act_formato_excel_link" TargetMode="External"/><Relationship Id="rId265" Type="http://schemas.openxmlformats.org/officeDocument/2006/relationships/hyperlink" Target="https://actualicese.com/carta-para-autorizar-descuento-en-salario-por-libranza/?referer=L-excel-formato&amp;utm_medium=act_formato_excel&amp;utm_source=act_formato_excel&amp;utm_campaign=act_formato_excel&amp;utm_content=act_formato_excel_link" TargetMode="External"/><Relationship Id="rId472" Type="http://schemas.openxmlformats.org/officeDocument/2006/relationships/hyperlink" Target="https://actualicese.com/modelo-para-analizar-el-valor-presente-y-el-valor-presente-neto-de-una-inversion/?referer=L-excel-formato&amp;utm_medium=act_formato_excel&amp;utm_source=act_formato_excel&amp;utm_campaign=act_formato_excel&amp;utm_content=act_formato_excel_link" TargetMode="External"/><Relationship Id="rId900" Type="http://schemas.openxmlformats.org/officeDocument/2006/relationships/hyperlink" Target="https://actualicese.com/calendario-tributario-distrital-2019/?referer=L-excel-formato&amp;utm_medium=act_formato_excel&amp;utm_source=act_formato_excel&amp;utm_campaign=act_formato_excel&amp;utm_content=act_formato_excel_link" TargetMode="External"/><Relationship Id="rId1323" Type="http://schemas.openxmlformats.org/officeDocument/2006/relationships/hyperlink" Target="https://actualicese.com/calendario-tributario-para-personas-naturales/?referer=L-excel-formato&amp;utm_medium=act_formato_excel&amp;utm_source=act_formato_excel&amp;utm_campaign=act_formato_excel&amp;utm_content=act_formato_excel_link" TargetMode="External"/><Relationship Id="rId1530" Type="http://schemas.openxmlformats.org/officeDocument/2006/relationships/hyperlink" Target="https://actualicese.com/modelo-para-definir-porcentaje-fijo-de-retencion-en-la-fuente-sobre-salarios-en-junio-de-2014-procedimiento-2/?referer=L-excel-formato&amp;utm_medium=act_formato_excel&amp;utm_source=act_formato_excel&amp;utm_campaign=act_formato_excel&amp;utm_content=act_formato_excel_link" TargetMode="External"/><Relationship Id="rId1628" Type="http://schemas.openxmlformats.org/officeDocument/2006/relationships/hyperlink" Target="https://actualicese.com/modelo-para-la-elaboracion-de-un-reglamento-interno-de-trabajo/?referer=L-excel-formato&amp;utm_medium=act_formato_excel&amp;utm_source=act_formato_excel&amp;utm_campaign=act_formato_excel&amp;utm_content=act_formato_excel_link" TargetMode="External"/><Relationship Id="rId1975" Type="http://schemas.openxmlformats.org/officeDocument/2006/relationships/hyperlink" Target="https://actualicese.com/casos-practicos-para-comprender-la-contabilizacion-de-pasivos-en-el-cierre-contable/?referer=L-excel-formato&amp;utm_medium=act_formato_excel&amp;utm_source=act_formato_excel&amp;utm_campaign=act_formato_excel&amp;utm_content=act_formato_excel_link" TargetMode="External"/><Relationship Id="rId2153" Type="http://schemas.openxmlformats.org/officeDocument/2006/relationships/hyperlink" Target="https://actualicese.com/category/formatos/" TargetMode="External"/><Relationship Id="rId2360" Type="http://schemas.openxmlformats.org/officeDocument/2006/relationships/hyperlink" Target="https://actualicese.com/liquidador-de-aportes-a-seguridad-social-de-independientes-bajo-el-esquema-de-presuncion-de-costos-resolucion-ugpp-532-de-2024/?referer=L-excel-formato&amp;utm_medium=act_formato_excel&amp;utm_source=act_formato_excel&amp;utm_campaign=act_formato_excel&amp;utm_content=act_formato_excel_link" TargetMode="External"/><Relationship Id="rId125" Type="http://schemas.openxmlformats.org/officeDocument/2006/relationships/hyperlink" Target="https://actualicese.com/modelo-para-calcular-cuota-variable-de-un-credito-con-abonos-a-capital-iguales/?referer=L-excel-formato&amp;utm_medium=act_formato_excel&amp;utm_source=act_formato_excel&amp;utm_campaign=act_formato_excel&amp;utm_content=act_formato_excel_link" TargetMode="External"/><Relationship Id="rId332" Type="http://schemas.openxmlformats.org/officeDocument/2006/relationships/hyperlink" Target="https://actualicese.com/informe-nisr-4400-de-revision-de-ingresos-para-acceder-al-apoyo-a-empresas-afectadas-por-el-paro-nacional/?referer=L-excel-formato&amp;utm_medium=act_formato_excel&amp;utm_source=act_formato_excel&amp;utm_campaign=act_formato_excel&amp;utm_content=act_formato_excel_link" TargetMode="External"/><Relationship Id="rId777" Type="http://schemas.openxmlformats.org/officeDocument/2006/relationships/hyperlink" Target="https://actualicese.com/dictamenes-e-informes-del-revisor-fiscal-actualizados-al-2022/?referer=L-excel-formato&amp;utm_medium=act_formato_excel&amp;utm_source=act_formato_excel&amp;utm_campaign=act_formato_excel&amp;utm_content=act_formato_excel_link" TargetMode="External"/><Relationship Id="rId984" Type="http://schemas.openxmlformats.org/officeDocument/2006/relationships/hyperlink" Target="https://actualicese.com/formato-exogena-1008-por-el-ano-gravable-2017-reporte-de-cuentas-por-cobrar/?referer=L-excel-formato&amp;utm_medium=act_formato_excel&amp;utm_source=act_formato_excel&amp;utm_campaign=act_formato_excel&amp;utm_content=act_formato_excel_link" TargetMode="External"/><Relationship Id="rId1835" Type="http://schemas.openxmlformats.org/officeDocument/2006/relationships/hyperlink" Target="https://actualicese.com/excel-interactivo-resultados-de-la-encuesta-actualicese-como-estan-realmente-los-honorarios-profesionales-del-contador-publico/?referer=L-excel-formato&amp;utm_medium=act_formato_excel&amp;utm_source=act_formato_excel&amp;utm_campaign=act_formato_excel&amp;utm_content=act_formato_excel_link" TargetMode="External"/><Relationship Id="rId2013" Type="http://schemas.openxmlformats.org/officeDocument/2006/relationships/hyperlink" Target="https://actualicese.com/casos-practicos-sobre-metodos-para-determinar-la-naturaleza-del-impuesto-diferido/?referer=L-excel-formato&amp;utm_medium=act_formato_excel&amp;utm_source=act_formato_excel&amp;utm_campaign=act_formato_excel&amp;utm_content=act_formato_excel_link" TargetMode="External"/><Relationship Id="rId2220" Type="http://schemas.openxmlformats.org/officeDocument/2006/relationships/hyperlink" Target="https://actualicese.com/liquidador-plantilla-de-los-formatos-1005-y-1006-de-exogena-2023-reporte-del-inc-e-iva-descontable-y-generados/?referer=L-excel-formato&amp;utm_medium=act_formato_excel&amp;utm_source=act_formato_excel&amp;utm_campaign=act_formato_excel&amp;utm_content=act_formato_excel_link" TargetMode="External"/><Relationship Id="rId2458" Type="http://schemas.openxmlformats.org/officeDocument/2006/relationships/hyperlink" Target="https://actualicese.com/guia-clasificacion-de-las-personas-juridicas-frente-al-impuesto-de-renta-y-el-simple-ag-2024/?referer=L-excel-formato&amp;utm_medium=act_formato_excel&amp;utm_source=act_formato_excel&amp;utm_campaign=act_formato_excel&amp;utm_content=act_formato_excel_link" TargetMode="External"/><Relationship Id="rId637" Type="http://schemas.openxmlformats.org/officeDocument/2006/relationships/hyperlink" Target="https://actualicese.com/contrato-de-obra-civil/?referer=L-excel-formato&amp;utm_medium=act_formato_excel&amp;utm_source=act_formato_excel&amp;utm_campaign=act_formato_excel&amp;utm_content=act_formato_excel_link" TargetMode="External"/><Relationship Id="rId844" Type="http://schemas.openxmlformats.org/officeDocument/2006/relationships/hyperlink" Target="https://actualicese.com/plantilla-para-elaborar-el-formulario-300-para-las-declaraciones-del-iva-durante-2019/?referer=L-excel-formato&amp;utm_medium=act_formato_excel&amp;utm_source=act_formato_excel&amp;utm_campaign=act_formato_excel&amp;utm_content=act_formato_excel_link" TargetMode="External"/><Relationship Id="rId1267" Type="http://schemas.openxmlformats.org/officeDocument/2006/relationships/hyperlink" Target="https://actualicese.com/calculo-de-la-sancion-por-extemporaneidad-despues-del-emplazamiento-por-no-declarar/?referer=L-excel-formato&amp;utm_medium=act_formato_excel&amp;utm_source=act_formato_excel&amp;utm_campaign=act_formato_excel&amp;utm_content=act_formato_excel_link" TargetMode="External"/><Relationship Id="rId1474" Type="http://schemas.openxmlformats.org/officeDocument/2006/relationships/hyperlink" Target="https://actualicese.com/calendario-tributario-automatizado-para-el-2015/?referer=L-excel-formato&amp;utm_medium=act_formato_excel&amp;utm_source=act_formato_excel&amp;utm_campaign=act_formato_excel&amp;utm_content=act_formato_excel_link" TargetMode="External"/><Relationship Id="rId1681" Type="http://schemas.openxmlformats.org/officeDocument/2006/relationships/hyperlink" Target="https://actualicese.com/modelo-en-excel-del-documento-soporte-para-operaciones-con-no-obligados-a-facturar/?referer=L-excel-formato&amp;utm_medium=act_formato_excel&amp;utm_source=act_formato_excel&amp;utm_campaign=act_formato_excel&amp;utm_content=act_formato_excel_link" TargetMode="External"/><Relationship Id="rId1902" Type="http://schemas.openxmlformats.org/officeDocument/2006/relationships/hyperlink" Target="https://actualicese.com/dictamen-de-revisor-fiscal-que-incluye-opinion-con-salvedades/?referer=L-excel-formato&amp;utm_medium=act_formato_excel&amp;utm_source=act_formato_excel&amp;utm_campaign=act_formato_excel&amp;utm_content=act_formato_excel_link" TargetMode="External"/><Relationship Id="rId2097" Type="http://schemas.openxmlformats.org/officeDocument/2006/relationships/hyperlink" Target="https://actualicese.com/notificacion-de-embargo-de-la-prima-de-servicios/?referer=L-excel-formato&amp;utm_medium=act_formato_excel&amp;utm_source=act_formato_excel&amp;utm_campaign=act_formato_excel&amp;utm_content=act_formato_excel_link" TargetMode="External"/><Relationship Id="rId2318" Type="http://schemas.openxmlformats.org/officeDocument/2006/relationships/hyperlink" Target="https://actualicese.com/convenio-de-pago-o-acuerdo-de-pago/?referer=L-excel-formato&amp;utm_medium=act_formato_excel&amp;utm_source=act_formato_excel&amp;utm_campaign=act_formato_excel&amp;utm_content=act_formato_excel_link" TargetMode="External"/><Relationship Id="rId276" Type="http://schemas.openxmlformats.org/officeDocument/2006/relationships/hyperlink" Target="https://actualicese.com/formulario-260-ag-2021-declaracion-anual-regimen-simple-personas-naturales-y-juridicas-que-llevan-contabilidad/?referer=L-excel-formato&amp;utm_medium=act_formato_excel&amp;utm_source=act_formato_excel&amp;utm_campaign=act_formato_excel&amp;utm_content=act_formato_excel_link" TargetMode="External"/><Relationship Id="rId483" Type="http://schemas.openxmlformats.org/officeDocument/2006/relationships/hyperlink" Target="https://actualicese.com/lista-de-chequeo-de-revelaciones-nic-38-activos-intangibles/?referer=L-excel-formato&amp;utm_medium=act_formato_excel&amp;utm_source=act_formato_excel&amp;utm_campaign=act_formato_excel&amp;utm_content=act_formato_excel_link" TargetMode="External"/><Relationship Id="rId690" Type="http://schemas.openxmlformats.org/officeDocument/2006/relationships/hyperlink" Target="https://actualicese.com/carta-de-terminacion-de-contrato-de-arrendamiento-conforme-a-la-ley-820-del-2003/?referer=L-excel-formato&amp;utm_medium=act_formato_excel&amp;utm_source=act_formato_excel&amp;utm_campaign=act_formato_excel&amp;utm_content=act_formato_excel_link" TargetMode="External"/><Relationship Id="rId704" Type="http://schemas.openxmlformats.org/officeDocument/2006/relationships/hyperlink" Target="https://actualicese.com/formulario-260-ag-2019-regimen-simple-personas-naturales-y-juridicas-que-llevan-contabilidad/?referer=L-excel-formato&amp;utm_medium=act_formato_excel&amp;utm_source=act_formato_excel&amp;utm_campaign=act_formato_excel&amp;utm_content=act_formato_excel_link" TargetMode="External"/><Relationship Id="rId911" Type="http://schemas.openxmlformats.org/officeDocument/2006/relationships/hyperlink" Target="https://actualicese.com/proveedores-tecnologicos-autorizados-para-prestar-servicios-de-facturacion-electronica/?referer=L-excel-formato&amp;utm_medium=act_formato_excel&amp;utm_source=act_formato_excel&amp;utm_campaign=act_formato_excel&amp;utm_content=act_formato_excel_link" TargetMode="External"/><Relationship Id="rId1127" Type="http://schemas.openxmlformats.org/officeDocument/2006/relationships/hyperlink" Target="https://actualicese.com/formatos-1005-y-1006-por-2016-reportes-de-iva-generados-y-descontables/?referer=L-excel-formato&amp;utm_medium=act_formato_excel&amp;utm_source=act_formato_excel&amp;utm_campaign=act_formato_excel&amp;utm_content=act_formato_excel_link" TargetMode="External"/><Relationship Id="rId1334" Type="http://schemas.openxmlformats.org/officeDocument/2006/relationships/hyperlink" Target="https://actualicese.com/parametros-claves-en-la-elaboracion-de-declaraciones-tributarias-durante-el-ano-2016/?referer=L-excel-formato&amp;utm_medium=act_formato_excel&amp;utm_source=act_formato_excel&amp;utm_campaign=act_formato_excel&amp;utm_content=act_formato_excel_link" TargetMode="External"/><Relationship Id="rId1541" Type="http://schemas.openxmlformats.org/officeDocument/2006/relationships/hyperlink" Target="https://actualicese.com/oro-reportes-de-informacion-exogena-tributaria-a-la-dian-ano-gravable-2013/?referer=L-excel-formato&amp;utm_medium=act_formato_excel&amp;utm_source=act_formato_excel&amp;utm_campaign=act_formato_excel&amp;utm_content=act_formato_excel_link" TargetMode="External"/><Relationship Id="rId1779" Type="http://schemas.openxmlformats.org/officeDocument/2006/relationships/hyperlink" Target="https://actualicese.com/historico-de-la-trm-en-2022/?referer=L-excel-formato&amp;utm_medium=act_formato_excel&amp;utm_source=act_formato_excel&amp;utm_campaign=act_formato_excel&amp;utm_content=act_formato_excel_link" TargetMode="External"/><Relationship Id="rId1986" Type="http://schemas.openxmlformats.org/officeDocument/2006/relationships/hyperlink" Target="https://actualicese.com/ejercicio-practico-en-excel-valuacion-de-inventarios-por-el-metodo-de-identificacion-especifica/?referer=L-excel-formato&amp;utm_medium=act_formato_excel&amp;utm_source=act_formato_excel&amp;utm_campaign=act_formato_excel&amp;utm_content=act_formato_excel_link" TargetMode="External"/><Relationship Id="rId2164" Type="http://schemas.openxmlformats.org/officeDocument/2006/relationships/hyperlink" Target="https://actualicese.com/modelo-en-word-de-documento-de-otorgamiento-de-viaticos-permanentes/?referer=L-excel-formato&amp;utm_medium=act_formato_excel&amp;utm_source=act_formato_excel&amp;utm_campaign=act_formato_excel&amp;utm_content=act_formato_excel_link" TargetMode="External"/><Relationship Id="rId2371" Type="http://schemas.openxmlformats.org/officeDocument/2006/relationships/hyperlink" Target="https://actualicese.com/guia-en-excel-con-los-principales-indices-de-coherencia-tributaria-para-las-personas-juridicas/?referer=L-excel-formato&amp;utm_medium=act_formato_excel&amp;utm_source=act_formato_excel&amp;utm_campaign=act_formato_excel&amp;utm_content=act_formato_excel_link" TargetMode="External"/><Relationship Id="rId40" Type="http://schemas.openxmlformats.org/officeDocument/2006/relationships/hyperlink" Target="https://actualicese.com/modelo-para-solicitud-de-reembolso-de-caja-menor/?referer=L-excel-formato&amp;utm_medium=act_formato_excel&amp;utm_source=act_formato_excel&amp;utm_campaign=act_formato_excel&amp;utm_content=act_formato_excel_link" TargetMode="External"/><Relationship Id="rId136" Type="http://schemas.openxmlformats.org/officeDocument/2006/relationships/hyperlink" Target="https://actualicese.com/modelo-para-elaborar-el-presupuesto-de-consumo-o-de-uso-de-materiales-costos-variables/?referer=L-excel-formato&amp;utm_medium=act_formato_excel&amp;utm_source=act_formato_excel&amp;utm_campaign=act_formato_excel&amp;utm_content=act_formato_excel_link" TargetMode="External"/><Relationship Id="rId343" Type="http://schemas.openxmlformats.org/officeDocument/2006/relationships/hyperlink" Target="https://actualicese.com/informe-de-revision-de-informacion-financiera-intermedia-con-salvedades/?referer=L-excel-formato&amp;utm_medium=act_formato_excel&amp;utm_source=act_formato_excel&amp;utm_campaign=act_formato_excel&amp;utm_content=act_formato_excel_link" TargetMode="External"/><Relationship Id="rId550" Type="http://schemas.openxmlformats.org/officeDocument/2006/relationships/hyperlink" Target="https://actualicese.com/clasificacion-de-pasivos-entre-corrientes-y-no-corrientes-caso-practico-en-excel/?referer=L-excel-formato&amp;utm_medium=act_formato_excel&amp;utm_source=act_formato_excel&amp;utm_campaign=act_formato_excel&amp;utm_content=act_formato_excel_link" TargetMode="External"/><Relationship Id="rId788" Type="http://schemas.openxmlformats.org/officeDocument/2006/relationships/hyperlink" Target="https://actualicese.com/comparativo-de-normas-afectadas-con-la-ley-de-crecimiento-economico-2010-de-diciembre-27-de-2019/?referer=L-excel-formato&amp;utm_medium=act_formato_excel&amp;utm_source=act_formato_excel&amp;utm_campaign=act_formato_excel&amp;utm_content=act_formato_excel_link" TargetMode="External"/><Relationship Id="rId995" Type="http://schemas.openxmlformats.org/officeDocument/2006/relationships/hyperlink" Target="https://actualicese.com/formulario-110-y-formato-2516-para-declaracion-de-renta-o-ingresos-y-patrimonio-2017/?referer=L-excel-formato&amp;utm_medium=act_formato_excel&amp;utm_source=act_formato_excel&amp;utm_campaign=act_formato_excel&amp;utm_content=act_formato_excel_link" TargetMode="External"/><Relationship Id="rId1180" Type="http://schemas.openxmlformats.org/officeDocument/2006/relationships/hyperlink" Target="https://actualicese.com/poder-especial-otorgado-por-representante-legal-de-persona-juridica/?referer=L-excel-formato&amp;utm_medium=act_formato_excel&amp;utm_source=act_formato_excel&amp;utm_campaign=act_formato_excel&amp;utm_content=act_formato_excel_link" TargetMode="External"/><Relationship Id="rId1401" Type="http://schemas.openxmlformats.org/officeDocument/2006/relationships/hyperlink" Target="https://actualicese.com/modelo-de-circularizacion-cartera/?referer=L-excel-formato&amp;utm_medium=act_formato_excel&amp;utm_source=act_formato_excel&amp;utm_campaign=act_formato_excel&amp;utm_content=act_formato_excel_link" TargetMode="External"/><Relationship Id="rId1639" Type="http://schemas.openxmlformats.org/officeDocument/2006/relationships/hyperlink" Target="https://actualicese.com/caso-practico-en-excel-contabilizacion-de-beneficios-a-empleados-por-terminacion/?referer=L-excel-formato&amp;utm_medium=act_formato_excel&amp;utm_source=act_formato_excel&amp;utm_campaign=act_formato_excel&amp;utm_content=act_formato_excel_link" TargetMode="External"/><Relationship Id="rId1846" Type="http://schemas.openxmlformats.org/officeDocument/2006/relationships/hyperlink" Target="https://actualicese.com/liquidador-de-aportes-en-el-piso-de-proteccion-social-trabajadores-dependientes-e-independientes/?referer=L-excel-formato&amp;utm_medium=act_formato_excel&amp;utm_source=act_formato_excel&amp;utm_campaign=act_formato_excel&amp;utm_content=act_formato_excel_link" TargetMode="External"/><Relationship Id="rId2024" Type="http://schemas.openxmlformats.org/officeDocument/2006/relationships/hyperlink" Target="https://actualicese.com/caso-practico-de-contabilizacion-de-un-prestamo-bancario-en-pymes-y-microempresas/?referer=L-excel-formato&amp;utm_medium=act_formato_excel&amp;utm_source=act_formato_excel&amp;utm_campaign=act_formato_excel&amp;utm_content=act_formato_excel_link" TargetMode="External"/><Relationship Id="rId2231" Type="http://schemas.openxmlformats.org/officeDocument/2006/relationships/hyperlink" Target="https://actualicese.com/calculo-retencion-en-la-fuente-a-titulo-de-renta-por-concepto-de-pensiones/?referer=L-excel-formato&amp;utm_medium=act_formato_excel&amp;utm_source=act_formato_excel&amp;utm_campaign=act_formato_excel&amp;utm_content=act_formato_excel_link" TargetMode="External"/><Relationship Id="rId203" Type="http://schemas.openxmlformats.org/officeDocument/2006/relationships/hyperlink" Target="https://actualicese.com/liquidador-de-topes-de-ingresos-para-presentar-formatos-de-conciliacion-fiscal-2516-y-2517/?referer=L-excel-formato&amp;utm_medium=act_formato_excel&amp;utm_source=act_formato_excel&amp;utm_campaign=act_formato_excel&amp;utm_content=act_formato_excel_link" TargetMode="External"/><Relationship Id="rId648" Type="http://schemas.openxmlformats.org/officeDocument/2006/relationships/hyperlink" Target="https://actualicese.com/modelo-de-accion-de-tutela-contra-entidades-financieras/?referer=L-excel-formato&amp;utm_medium=act_formato_excel&amp;utm_source=act_formato_excel&amp;utm_campaign=act_formato_excel&amp;utm_content=act_formato_excel_link" TargetMode="External"/><Relationship Id="rId855" Type="http://schemas.openxmlformats.org/officeDocument/2006/relationships/hyperlink" Target="https://actualicese.com/formato-exogena-1008-por-el-ano-gravable-2018-reporte-de-cuentas-por-cobrar/?referer=L-excel-formato&amp;utm_medium=act_formato_excel&amp;utm_source=act_formato_excel&amp;utm_campaign=act_formato_excel&amp;utm_content=act_formato_excel_link" TargetMode="External"/><Relationship Id="rId1040" Type="http://schemas.openxmlformats.org/officeDocument/2006/relationships/hyperlink" Target="https://actualicese.com/confirmacion-del-auditor-de-un-componente/?referer=L-excel-formato&amp;utm_medium=act_formato_excel&amp;utm_source=act_formato_excel&amp;utm_campaign=act_formato_excel&amp;utm_content=act_formato_excel_link" TargetMode="External"/><Relationship Id="rId1278" Type="http://schemas.openxmlformats.org/officeDocument/2006/relationships/hyperlink" Target="https://actualicese.com/formato-para-presentar-quejas-sobre-situaciones-que-puedan-constituir-acoso-laboral/?referer=L-excel-formato&amp;utm_medium=act_formato_excel&amp;utm_source=act_formato_excel&amp;utm_campaign=act_formato_excel&amp;utm_content=act_formato_excel_link" TargetMode="External"/><Relationship Id="rId1485" Type="http://schemas.openxmlformats.org/officeDocument/2006/relationships/hyperlink" Target="https://actualicese.com/plan-de-implementacion-niif-para-empresas-del-grupo-2/?referer=L-excel-formato&amp;utm_medium=act_formato_excel&amp;utm_source=act_formato_excel&amp;utm_campaign=act_formato_excel&amp;utm_content=act_formato_excel_link" TargetMode="External"/><Relationship Id="rId1692" Type="http://schemas.openxmlformats.org/officeDocument/2006/relationships/hyperlink" Target="https://actualicese.com/lista-de-convenios-internacionales-para-evitar-la-doble-tributacion-ano-gravable-2021/?referer=L-excel-formato&amp;utm_medium=act_formato_excel&amp;utm_source=act_formato_excel&amp;utm_campaign=act_formato_excel&amp;utm_content=act_formato_excel_link" TargetMode="External"/><Relationship Id="rId1706" Type="http://schemas.openxmlformats.org/officeDocument/2006/relationships/hyperlink" Target="https://actualicese.com/informe-del-revisor-fiscal-dirigido-a-la-asamblea-de-accionistas-o-junta-de-socios/?referer=L-excel-formato&amp;utm_medium=act_formato_excel&amp;utm_source=act_formato_excel&amp;utm_campaign=act_formato_excel&amp;utm_content=act_formato_excel_link" TargetMode="External"/><Relationship Id="rId1913" Type="http://schemas.openxmlformats.org/officeDocument/2006/relationships/hyperlink" Target="https://actualicese.com/acta-asamblea-o-junta-extraordinaria-por-cambio-de-revisor-fiscal-renuncia-o-revocatoria/?referer=L-excel-formato&amp;utm_medium=act_formato_excel&amp;utm_source=act_formato_excel&amp;utm_campaign=act_formato_excel&amp;utm_content=act_formato_excel_link" TargetMode="External"/><Relationship Id="rId2329" Type="http://schemas.openxmlformats.org/officeDocument/2006/relationships/hyperlink" Target="https://actualicese.com/ejercicio-para-la-distribucion-de-las-rentas-exentas-y-deducciones-imputables-limitadas-en-las-personas-naturales-residentes-resolucion-000120-de-2024/?referer=L-excel-formato&amp;utm_medium=act_formato_excel&amp;utm_source=act_formato_excel&amp;utm_campaign=act_formato_excel&amp;utm_content=act_formato_excel_link" TargetMode="External"/><Relationship Id="rId287" Type="http://schemas.openxmlformats.org/officeDocument/2006/relationships/hyperlink" Target="https://actualicese.com/plantilla-del-formato-1008-para-el-reporte-de-exogena-2021-informacion-de-cuentas-por-cobrar/?referer=L-excel-formato&amp;utm_medium=act_formato_excel&amp;utm_source=act_formato_excel&amp;utm_campaign=act_formato_excel&amp;utm_content=act_formato_excel_link" TargetMode="External"/><Relationship Id="rId410" Type="http://schemas.openxmlformats.org/officeDocument/2006/relationships/hyperlink" Target="https://actualicese.com/liquidacion-de-nomina-cuando-hay-incapacidad-caso-practico/?referer=L-excel-formato&amp;utm_medium=act_formato_excel&amp;utm_source=act_formato_excel&amp;utm_campaign=act_formato_excel&amp;utm_content=act_formato_excel_link" TargetMode="External"/><Relationship Id="rId494" Type="http://schemas.openxmlformats.org/officeDocument/2006/relationships/hyperlink" Target="https://actualicese.com/lista-de-chequeo-de-revelaciones-seccion-28-beneficios-a-los-empleados/?referer=L-excel-formato&amp;utm_medium=act_formato_excel&amp;utm_source=act_formato_excel&amp;utm_campaign=act_formato_excel&amp;utm_content=act_formato_excel_link" TargetMode="External"/><Relationship Id="rId508" Type="http://schemas.openxmlformats.org/officeDocument/2006/relationships/hyperlink" Target="https://actualicese.com/valorizacion-de-activos-intangibles-caso-de-impuesto-diferido-en-2021/?referer=L-excel-formato&amp;utm_medium=act_formato_excel&amp;utm_source=act_formato_excel&amp;utm_campaign=act_formato_excel&amp;utm_content=act_formato_excel_link" TargetMode="External"/><Relationship Id="rId715" Type="http://schemas.openxmlformats.org/officeDocument/2006/relationships/hyperlink" Target="https://actualicese.com/aportes-al-fondo-de-solidaridad-pensional-por-parte-de-un-empleado/?referer=L-excel-formato&amp;utm_medium=act_formato_excel&amp;utm_source=act_formato_excel&amp;utm_campaign=act_formato_excel&amp;utm_content=act_formato_excel_link" TargetMode="External"/><Relationship Id="rId922" Type="http://schemas.openxmlformats.org/officeDocument/2006/relationships/hyperlink" Target="https://actualicese.com/acuerdo-de-terminacion-voluntaria-del-contrato-de-trabajo-con-bonificacion-por-servicios-prestados/?referer=L-excel-formato&amp;utm_medium=act_formato_excel&amp;utm_source=act_formato_excel&amp;utm_campaign=act_formato_excel&amp;utm_content=act_formato_excel_link" TargetMode="External"/><Relationship Id="rId1138" Type="http://schemas.openxmlformats.org/officeDocument/2006/relationships/hyperlink" Target="https://actualicese.com/arrendamiento-de-oficina-local-o-bodega/?referer=L-excel-formato&amp;utm_medium=act_formato_excel&amp;utm_source=act_formato_excel&amp;utm_campaign=act_formato_excel&amp;utm_content=act_formato_excel_link" TargetMode="External"/><Relationship Id="rId1345" Type="http://schemas.openxmlformats.org/officeDocument/2006/relationships/hyperlink" Target="https://actualicese.com/calendario-tributario-2016/?referer=L-excel-formato&amp;utm_medium=act_formato_excel&amp;utm_source=act_formato_excel&amp;utm_campaign=act_formato_excel&amp;utm_content=act_formato_excel_link" TargetMode="External"/><Relationship Id="rId1552" Type="http://schemas.openxmlformats.org/officeDocument/2006/relationships/hyperlink" Target="https://actualicese.com/formulario-220-certificacion-pagos-y-retenciones-a-empleados-por-el-ano-gravable-2013/?referer=L-excel-formato&amp;utm_medium=act_formato_excel&amp;utm_source=act_formato_excel&amp;utm_campaign=act_formato_excel&amp;utm_content=act_formato_excel_link" TargetMode="External"/><Relationship Id="rId1997" Type="http://schemas.openxmlformats.org/officeDocument/2006/relationships/hyperlink" Target="https://actualicese.com/indicadores-financieros-de-mercado/?referer=L-excel-formato&amp;utm_medium=act_formato_excel&amp;utm_source=act_formato_excel&amp;utm_campaign=act_formato_excel&amp;utm_content=act_formato_excel_link" TargetMode="External"/><Relationship Id="rId2175" Type="http://schemas.openxmlformats.org/officeDocument/2006/relationships/hyperlink" Target="https://actualicese.com/liquidador-formulario-160-ag-2024-para-la-declaracion-de-activos-en-el-exterior/?referer=L-excel-formato&amp;utm_medium=act_formato_excel&amp;utm_source=act_formato_excel&amp;utm_campaign=act_formato_excel&amp;utm_content=act_formato_excel_link" TargetMode="External"/><Relationship Id="rId2382" Type="http://schemas.openxmlformats.org/officeDocument/2006/relationships/hyperlink" Target="https://actualicese.com/guia-en-excel-para-revisiones-pertinentes-en-la-propiedad-planta-y-equipo-en-el-proceso-de-cierre-contable/?referer=L-excel-formato&amp;utm_medium=act_formato_excel&amp;utm_source=act_formato_excel&amp;utm_campaign=act_formato_excel&amp;utm_content=act_formato_excel_link" TargetMode="External"/><Relationship Id="rId147" Type="http://schemas.openxmlformats.org/officeDocument/2006/relationships/hyperlink" Target="https://actualicese.com/liquidador-de-actualizacion-de-sanciones-tributarias/?referer=L-excel-formato&amp;utm_medium=act_formato_excel&amp;utm_source=act_formato_excel&amp;utm_campaign=act_formato_excel&amp;utm_content=act_formato_excel_link" TargetMode="External"/><Relationship Id="rId354" Type="http://schemas.openxmlformats.org/officeDocument/2006/relationships/hyperlink" Target="https://actualicese.com/liquidador-del-impuesto-de-normalizacion-tributaria-2022-y-su-anticipo-para-2021/?referer=L-excel-formato&amp;utm_medium=act_formato_excel&amp;utm_source=act_formato_excel&amp;utm_campaign=act_formato_excel&amp;utm_content=act_formato_excel_link" TargetMode="External"/><Relationship Id="rId799" Type="http://schemas.openxmlformats.org/officeDocument/2006/relationships/hyperlink" Target="https://actualicese.com/2020-historico-de-salario-minimo-y-auxilio-de-transporte/?referer=L-excel-formato&amp;utm_medium=act_formato_excel&amp;utm_source=act_formato_excel&amp;utm_campaign=act_formato_excel&amp;utm_content=act_formato_excel_link" TargetMode="External"/><Relationship Id="rId1191" Type="http://schemas.openxmlformats.org/officeDocument/2006/relationships/hyperlink" Target="https://actualicese.com/calendario-tributario-2017/?referer=L-excel-formato&amp;utm_medium=act_formato_excel&amp;utm_source=act_formato_excel&amp;utm_campaign=act_formato_excel&amp;utm_content=act_formato_excel_link" TargetMode="External"/><Relationship Id="rId1205" Type="http://schemas.openxmlformats.org/officeDocument/2006/relationships/hyperlink" Target="https://actualicese.com/dictamen-de-modelo-limpio-o-sin-salvedades-del-revisor-fiscal/?referer=L-excel-formato&amp;utm_medium=act_formato_excel&amp;utm_source=act_formato_excel&amp;utm_campaign=act_formato_excel&amp;utm_content=act_formato_excel_link" TargetMode="External"/><Relationship Id="rId1857" Type="http://schemas.openxmlformats.org/officeDocument/2006/relationships/hyperlink" Target="https://actualicese.com/facturacion-electronica-comparativo-de-normas-del-dut-1625-de-2016-afectadas-con-el-decreto-442-de-2023/" TargetMode="External"/><Relationship Id="rId2035" Type="http://schemas.openxmlformats.org/officeDocument/2006/relationships/hyperlink" Target="https://actualicese.com/liquidador-en-excel-con-macros-del-porcentaje-de-retencion-en-la-fuente-sobre-salarios-procedimiento-1-2023/?referer=L-excel-formato&amp;utm_medium=act_formato_excel&amp;utm_source=act_formato_excel&amp;utm_campaign=act_formato_excel&amp;utm_content=act_formato_excel_link" TargetMode="External"/><Relationship Id="rId51" Type="http://schemas.openxmlformats.org/officeDocument/2006/relationships/hyperlink" Target="https://actualicese.com/estado-de-resultados-con-enfoque-de-gastos-por-naturaleza-o-por-funcion/?referer=L-excel-formato&amp;utm_medium=act_formato_excel&amp;utm_source=act_formato_excel&amp;utm_campaign=act_formato_excel&amp;utm_content=act_formato_excel_link" TargetMode="External"/><Relationship Id="rId561" Type="http://schemas.openxmlformats.org/officeDocument/2006/relationships/hyperlink" Target="https://actualicese.com/listado-de-codigos-para-diligenciar-casilla-51-del-rut-ocupacion-de-personas-naturales/?referer=L-excel-formato&amp;utm_medium=act_formato_excel&amp;utm_source=act_formato_excel&amp;utm_campaign=act_formato_excel&amp;utm_content=act_formato_excel_link" TargetMode="External"/><Relationship Id="rId659" Type="http://schemas.openxmlformats.org/officeDocument/2006/relationships/hyperlink" Target="https://actualicese.com/2021-historico-de-la-variacion-nominal-del-salario-minimo-vs-la-inflacion-1993-2020/?referer=L-excel-formato&amp;utm_medium=act_formato_excel&amp;utm_source=act_formato_excel&amp;utm_campaign=act_formato_excel&amp;utm_content=act_formato_excel_link" TargetMode="External"/><Relationship Id="rId866" Type="http://schemas.openxmlformats.org/officeDocument/2006/relationships/hyperlink" Target="https://actualicese.com/formulario-110-y-formato-2516-para-declaracion-de-renta-o-ingresos-y-patrimonio-2018/?referer=L-excel-formato&amp;utm_medium=act_formato_excel&amp;utm_source=act_formato_excel&amp;utm_campaign=act_formato_excel&amp;utm_content=act_formato_excel_link" TargetMode="External"/><Relationship Id="rId1289" Type="http://schemas.openxmlformats.org/officeDocument/2006/relationships/hyperlink" Target="https://actualicese.com/calendario-tributario-automatizado-para-el-2016/?referer=L-excel-formato&amp;utm_medium=act_formato_excel&amp;utm_source=act_formato_excel&amp;utm_campaign=act_formato_excel&amp;utm_content=act_formato_excel_link" TargetMode="External"/><Relationship Id="rId1412" Type="http://schemas.openxmlformats.org/officeDocument/2006/relationships/hyperlink" Target="https://actualicese.com/cesion-de-derechos-patrimoniales-de-autor/?referer=L-excel-formato&amp;utm_medium=act_formato_excel&amp;utm_source=act_formato_excel&amp;utm_campaign=act_formato_excel&amp;utm_content=act_formato_excel_link" TargetMode="External"/><Relationship Id="rId1496" Type="http://schemas.openxmlformats.org/officeDocument/2006/relationships/hyperlink" Target="https://actualicese.com/politica-contable-de-presentacion-de-estados-financieros/?referer=L-excel-formato&amp;utm_medium=act_formato_excel&amp;utm_source=act_formato_excel&amp;utm_campaign=act_formato_excel&amp;utm_content=act_formato_excel_link" TargetMode="External"/><Relationship Id="rId1717" Type="http://schemas.openxmlformats.org/officeDocument/2006/relationships/hyperlink" Target="https://actualicese.com/guia-en-word-con-los-principales-cambios-en-el-impuesto-de-renta-de-las-personas-juridicas-segun-la-reforma-tributaria-2022/?referer=L-excel-formato&amp;utm_medium=act_formato_excel&amp;utm_source=act_formato_excel&amp;utm_campaign=act_formato_excel&amp;utm_content=act_formato_excel_link" TargetMode="External"/><Relationship Id="rId1924" Type="http://schemas.openxmlformats.org/officeDocument/2006/relationships/hyperlink" Target="https://actualicese.com/convocatoria-a-asamblea-general-ordinaria-de-sociosaccionistas/?referer=L-excel-formato&amp;utm_medium=act_formato_excel&amp;utm_source=act_formato_excel&amp;utm_campaign=act_formato_excel&amp;utm_content=act_formato_excel_link" TargetMode="External"/><Relationship Id="rId2242"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14" Type="http://schemas.openxmlformats.org/officeDocument/2006/relationships/hyperlink" Target="https://actualicese.com/modelo-en-excel-del-documento-soporte-para-operaciones-con-no-obligados-a-facturar/?referer=L-excel-formato&amp;utm_medium=act_formato_excel&amp;utm_source=act_formato_excel&amp;utm_campaign=act_formato_excel&amp;utm_content=act_formato_excel_link" TargetMode="External"/><Relationship Id="rId298" Type="http://schemas.openxmlformats.org/officeDocument/2006/relationships/hyperlink" Target="https://actualicese.com/guia-en-excel-para-evitar-errores-en-la-presentacion-de-informacion-exogena/?referer=L-excel-formato&amp;utm_medium=act_formato_excel&amp;utm_source=act_formato_excel&amp;utm_campaign=act_formato_excel&amp;utm_content=act_formato_excel_link" TargetMode="External"/><Relationship Id="rId421" Type="http://schemas.openxmlformats.org/officeDocument/2006/relationships/hyperlink" Target="https://actualicese.com/guia-para-elaborar-la-hoja-de-vida-de-un-contador-publico/?referer=L-excel-formato&amp;utm_medium=act_formato_excel&amp;utm_source=act_formato_excel&amp;utm_campaign=act_formato_excel&amp;utm_content=act_formato_excel_link" TargetMode="External"/><Relationship Id="rId519" Type="http://schemas.openxmlformats.org/officeDocument/2006/relationships/hyperlink" Target="https://actualicese.com/liquidador-para-calcular-la-contribucion-2021-a-la-supersociedades/?referer=L-excel-formato&amp;utm_medium=act_formato_excel&amp;utm_source=act_formato_excel&amp;utm_campaign=act_formato_excel&amp;utm_content=act_formato_excel_link" TargetMode="External"/><Relationship Id="rId1051" Type="http://schemas.openxmlformats.org/officeDocument/2006/relationships/hyperlink" Target="https://actualicese.com/conciliacion-contable-y-tributaria-casos-costos-y-deducciones-parte-i/?referer=L-excel-formato&amp;utm_medium=act_formato_excel&amp;utm_source=act_formato_excel&amp;utm_campaign=act_formato_excel&amp;utm_content=act_formato_excel_link" TargetMode="External"/><Relationship Id="rId1149" Type="http://schemas.openxmlformats.org/officeDocument/2006/relationships/hyperlink" Target="https://actualicese.com/iniciacion-de-arreglo-directo/?referer=L-excel-formato&amp;utm_medium=act_formato_excel&amp;utm_source=act_formato_excel&amp;utm_campaign=act_formato_excel&amp;utm_content=act_formato_excel_link" TargetMode="External"/><Relationship Id="rId1356" Type="http://schemas.openxmlformats.org/officeDocument/2006/relationships/hyperlink" Target="https://actualicese.com/exogena-estructura-final-del-contenido-de-la-resolucion-dian-000220-de-octubre-31-del-2014/?referer=L-excel-formato&amp;utm_medium=act_formato_excel&amp;utm_source=act_formato_excel&amp;utm_campaign=act_formato_excel&amp;utm_content=act_formato_excel_link" TargetMode="External"/><Relationship Id="rId2102" Type="http://schemas.openxmlformats.org/officeDocument/2006/relationships/hyperlink" Target="https://actualicese.com/excel-del-formulario-2593-ag-2023-declaracion-de-anticipos-bimestrales-regimen-simple/?referer=L-excel-formato&amp;utm_medium=act_formato_excel&amp;utm_source=act_formato_excel&amp;utm_campaign=act_formato_excel&amp;utm_content=act_formato_excel_link" TargetMode="External"/><Relationship Id="rId158" Type="http://schemas.openxmlformats.org/officeDocument/2006/relationships/hyperlink" Target="https://actualicese.com/guias-laborales-para-notificaciones-por-parte-del-empleador/?referer=L-excel-formato&amp;utm_medium=act_formato_excel&amp;utm_source=act_formato_excel&amp;utm_campaign=act_formato_excel&amp;utm_content=act_formato_excel_link" TargetMode="External"/><Relationship Id="rId726" Type="http://schemas.openxmlformats.org/officeDocument/2006/relationships/hyperlink" Target="https://actualicese.com/formulario-420-declaracion-de-impuesto-al-patrimonio-2020/?referer=L-excel-formato&amp;utm_medium=act_formato_excel&amp;utm_source=act_formato_excel&amp;utm_campaign=act_formato_excel&amp;utm_content=act_formato_excel_link" TargetMode="External"/><Relationship Id="rId933" Type="http://schemas.openxmlformats.org/officeDocument/2006/relationships/hyperlink" Target="https://actualicese.com/residencia-fiscal-y-sus-implicaciones-fiscales/?referer=L-excel-formato&amp;utm_medium=act_formato_excel&amp;utm_source=act_formato_excel&amp;utm_campaign=act_formato_excel&amp;utm_content=act_formato_excel_link" TargetMode="External"/><Relationship Id="rId1009" Type="http://schemas.openxmlformats.org/officeDocument/2006/relationships/hyperlink" Target="https://actualicese.com/conversion-de-tasas-de-interes/?referer=L-excel-formato&amp;utm_medium=act_formato_excel&amp;utm_source=act_formato_excel&amp;utm_campaign=act_formato_excel&amp;utm_content=act_formato_excel_link" TargetMode="External"/><Relationship Id="rId1563" Type="http://schemas.openxmlformats.org/officeDocument/2006/relationships/hyperlink" Target="https://actualicese.com/abc-de-la-afiliacion-a-riesgos-laborales-de-independientes-decreto-723-de-2013/?referer=L-excel-formato&amp;utm_medium=act_formato_excel&amp;utm_source=act_formato_excel&amp;utm_campaign=act_formato_excel&amp;utm_content=act_formato_excel_link" TargetMode="External"/><Relationship Id="rId1770" Type="http://schemas.openxmlformats.org/officeDocument/2006/relationships/hyperlink" Target="https://actualicese.com/notificacion-a-trabajadores-que-no-tienen-derecho-a-la-prima-de-servicios/?referer=L-excel-formato&amp;utm_medium=act_formato_excel&amp;utm_source=act_formato_excel&amp;utm_campaign=act_formato_excel&amp;utm_content=act_formato_excel_link" TargetMode="External"/><Relationship Id="rId1868" Type="http://schemas.openxmlformats.org/officeDocument/2006/relationships/hyperlink" Target="https://actualicese.com/sancion-por-extemporaneidad-antes-del-emplazamiento/?referer=L-excel-formato&amp;utm_medium=act_formato_excel&amp;utm_source=act_formato_excel&amp;utm_campaign=act_formato_excel&amp;utm_content=act_formato_excel_link" TargetMode="External"/><Relationship Id="rId2186" Type="http://schemas.openxmlformats.org/officeDocument/2006/relationships/hyperlink" Target="https://actualicese.com/lista-de-chequeo-para-efectuar-el-cierre-contable-y-fiscal-de-una-entidad/?referer=L-excel-formato&amp;utm_medium=act_formato_excel&amp;utm_source=act_formato_excel&amp;utm_campaign=act_formato_excel&amp;utm_content=act_formato_excel_link" TargetMode="External"/><Relationship Id="rId2393" Type="http://schemas.openxmlformats.org/officeDocument/2006/relationships/hyperlink" Target="https://actualicese.com/carta-de-finalizacion-del-contrato-individual-de-trabajo-por-justa-causa/?referer=L-excel-formato&amp;utm_medium=act_formato_excel&amp;utm_source=act_formato_excel&amp;utm_campaign=act_formato_excel&amp;utm_content=act_formato_excel_link" TargetMode="External"/><Relationship Id="rId2407" Type="http://schemas.openxmlformats.org/officeDocument/2006/relationships/hyperlink" Target="https://actualicese.com/estado-de-resultados-con-enfoque-de-gastos-por-naturaleza-o-por-funcion/?referer=L-excel-formato&amp;utm_medium=act_formato_excel&amp;utm_source=act_formato_excel&amp;utm_campaign=act_formato_excel&amp;utm_content=act_formato_excel_link" TargetMode="External"/><Relationship Id="rId62" Type="http://schemas.openxmlformats.org/officeDocument/2006/relationships/hyperlink" Target="https://actualicese.com/simulador-en-excel-de-firmeza-de-las-declaraciones-de-renta-del-ano-gravable-2021/?referer=L-excel-formato&amp;utm_medium=act_formato_excel&amp;utm_source=act_formato_excel&amp;utm_campaign=act_formato_excel&amp;utm_content=act_formato_excel_link" TargetMode="External"/><Relationship Id="rId365" Type="http://schemas.openxmlformats.org/officeDocument/2006/relationships/hyperlink" Target="https://actualicese.com/ampliacion-del-termino-de-duracion-de-una-sociedad/?referer=L-excel-formato&amp;utm_medium=act_formato_excel&amp;utm_source=act_formato_excel&amp;utm_campaign=act_formato_excel&amp;utm_content=act_formato_excel_link" TargetMode="External"/><Relationship Id="rId572" Type="http://schemas.openxmlformats.org/officeDocument/2006/relationships/hyperlink" Target="https://actualicese.com/modelos-para-elaborar-contratos-comerciales-en-colombia/?referer=L-excel-formato&amp;utm_medium=act_formato_excel&amp;utm_source=act_formato_excel&amp;utm_campaign=act_formato_excel&amp;utm_content=act_formato_excel_link" TargetMode="External"/><Relationship Id="rId1216" Type="http://schemas.openxmlformats.org/officeDocument/2006/relationships/hyperlink" Target="https://actualicese.com/formato-especificaciones-del-elemento-equipo-yo-maquinaria-para-acceder-a-incentivos-de-la-ley-1715/?referer=L-excel-formato&amp;utm_medium=act_formato_excel&amp;utm_source=act_formato_excel&amp;utm_campaign=act_formato_excel&amp;utm_content=act_formato_excel_link" TargetMode="External"/><Relationship Id="rId1423" Type="http://schemas.openxmlformats.org/officeDocument/2006/relationships/hyperlink" Target="https://actualicese.com/derecho-de-peticion-reliquidacion-de-pension/?referer=L-excel-formato&amp;utm_medium=act_formato_excel&amp;utm_source=act_formato_excel&amp;utm_campaign=act_formato_excel&amp;utm_content=act_formato_excel_link" TargetMode="External"/><Relationship Id="rId1630" Type="http://schemas.openxmlformats.org/officeDocument/2006/relationships/hyperlink" Target="https://actualicese.com/informacion-necesaria-para-efectos-contables-laborales-y-tributarios-tanto-en-el-cierre-contable-como-para-la-declaracion-de-renta-del-ano-gravable/?referer=L-excel-formato&amp;utm_medium=act_formato_excel&amp;utm_source=act_formato_excel&amp;utm_campaign=act_formato_excel&amp;utm_content=act_formato_excel_link" TargetMode="External"/><Relationship Id="rId2046" Type="http://schemas.openxmlformats.org/officeDocument/2006/relationships/hyperlink" Target="https://actualicese.com/liquidador-caso-practico-en-excel-impuesto-diferido-por-provisiones-no-aceptadas-fiscalmente/?referer=L-excel-formato&amp;utm_medium=act_formato_excel&amp;utm_source=act_formato_excel&amp;utm_campaign=act_formato_excel&amp;utm_content=act_formato_excel_link" TargetMode="External"/><Relationship Id="rId2253" Type="http://schemas.openxmlformats.org/officeDocument/2006/relationships/hyperlink" Target="https://actualicese.com/caso-practico-de-liquidacion-de-nomina-cuando-hay-salario-integral/?referer=L-excel-formato&amp;utm_medium=act_formato_excel&amp;utm_source=act_formato_excel&amp;utm_campaign=act_formato_excel&amp;utm_content=act_formato_excel_link" TargetMode="External"/><Relationship Id="rId2460" Type="http://schemas.openxmlformats.org/officeDocument/2006/relationships/drawing" Target="../drawings/drawing16.xml"/><Relationship Id="rId225" Type="http://schemas.openxmlformats.org/officeDocument/2006/relationships/hyperlink" Target="https://actualicese.com/acuerdo-de-suspension-temporal-de-contrato/?referer=L-excel-formato&amp;utm_medium=act_formato_excel&amp;utm_source=act_formato_excel&amp;utm_campaign=act_formato_excel&amp;utm_content=act_formato_excel_link" TargetMode="External"/><Relationship Id="rId432" Type="http://schemas.openxmlformats.org/officeDocument/2006/relationships/hyperlink" Target="https://actualicese.com/liquidador-de-sancion-por-inexactitud/?referer=L-excel-formato&amp;utm_medium=act_formato_excel&amp;utm_source=act_formato_excel&amp;utm_campaign=act_formato_excel&amp;utm_content=act_formato_excel_link" TargetMode="External"/><Relationship Id="rId877" Type="http://schemas.openxmlformats.org/officeDocument/2006/relationships/hyperlink" Target="https://actualicese.com/proyeccion-del-impuesto-al-patrimonio-y-calculo-del-de-normalizacion-y-o-saneamiento-2019/?referer=L-excel-formato&amp;utm_medium=act_formato_excel&amp;utm_source=act_formato_excel&amp;utm_campaign=act_formato_excel&amp;utm_content=act_formato_excel_link" TargetMode="External"/><Relationship Id="rId1062" Type="http://schemas.openxmlformats.org/officeDocument/2006/relationships/hyperlink" Target="https://actualicese.com/requisitos-para-no-estar-obligado-a-declarar-renta-por-el-ano-gravable-2016/?referer=L-excel-formato&amp;utm_medium=act_formato_excel&amp;utm_source=act_formato_excel&amp;utm_campaign=act_formato_excel&amp;utm_content=act_formato_excel_link" TargetMode="External"/><Relationship Id="rId1728" Type="http://schemas.openxmlformats.org/officeDocument/2006/relationships/hyperlink" Target="https://actualicese.com/liquidador-y-desprendible-de-nomina-basico-en-excel/?referer=L-excel-formato&amp;utm_medium=act_formato_excel&amp;utm_source=act_formato_excel&amp;utm_campaign=act_formato_excel&amp;utm_content=act_formato_excel_link" TargetMode="External"/><Relationship Id="rId1935" Type="http://schemas.openxmlformats.org/officeDocument/2006/relationships/hyperlink" Target="https://actualicese.com/cuestionario-de-auditoria-para-las-propiedades-planta-y-equipo/?referer=L-excel-formato&amp;utm_medium=act_formato_excel&amp;utm_source=act_formato_excel&amp;utm_campaign=act_formato_excel&amp;utm_content=act_formato_excel_link" TargetMode="External"/><Relationship Id="rId2113" Type="http://schemas.openxmlformats.org/officeDocument/2006/relationships/hyperlink" Target="https://actualicese.com/liquidador-de-sancion-por-inexactitud/?referer=L-excel-formato&amp;utm_medium=act_formato_excel&amp;utm_source=act_formato_excel&amp;utm_campaign=act_formato_excel&amp;utm_content=act_formato_excel_link" TargetMode="External"/><Relationship Id="rId2320" Type="http://schemas.openxmlformats.org/officeDocument/2006/relationships/hyperlink" Target="https://actualicese.com/modelo-de-citacion-a-descargos/?referer=L-excel-formato&amp;utm_medium=act_formato_excel&amp;utm_source=act_formato_excel&amp;utm_campaign=act_formato_excel&amp;utm_content=act_formato_excel_link" TargetMode="External"/><Relationship Id="rId737" Type="http://schemas.openxmlformats.org/officeDocument/2006/relationships/hyperlink" Target="https://actualicese.com/formulario-110-de-declaracion-de-renta-de-personas-naturales-ag-2019-no-obligados-a-llevar-contabilidad/?referer=L-excel-formato&amp;utm_medium=act_formato_excel&amp;utm_source=act_formato_excel&amp;utm_campaign=act_formato_excel&amp;utm_content=act_formato_excel_link" TargetMode="External"/><Relationship Id="rId944" Type="http://schemas.openxmlformats.org/officeDocument/2006/relationships/hyperlink" Target="https://actualicese.com/recurso-de-reposicion-proceso-laboral/?referer=L-excel-formato&amp;utm_medium=act_formato_excel&amp;utm_source=act_formato_excel&amp;utm_campaign=act_formato_excel&amp;utm_content=act_formato_excel_link" TargetMode="External"/><Relationship Id="rId1367" Type="http://schemas.openxmlformats.org/officeDocument/2006/relationships/hyperlink" Target="https://actualicese.com/documento-de-orientacion-tecnica-001-contabilidad-bajo-los-nuevos-marcos-tecnicos-normativos/?referer=L-excel-formato&amp;utm_medium=act_formato_excel&amp;utm_source=act_formato_excel&amp;utm_campaign=act_formato_excel&amp;utm_content=act_formato_excel_link" TargetMode="External"/><Relationship Id="rId1574" Type="http://schemas.openxmlformats.org/officeDocument/2006/relationships/hyperlink" Target="https://actualicese.com/convertir-tasa-efectiva-a-nominal-jhony-jose-duran/?referer=L-excel-formato&amp;utm_medium=act_formato_excel&amp;utm_source=act_formato_excel&amp;utm_campaign=act_formato_excel&amp;utm_content=act_formato_excel_link" TargetMode="External"/><Relationship Id="rId1781" Type="http://schemas.openxmlformats.org/officeDocument/2006/relationships/hyperlink" Target="https://actualicese.com/liquidador-historico-de-porcentajes-de-reajuste-fiscal/?referer=L-excel-formato&amp;utm_medium=act_formato_excel&amp;utm_source=act_formato_excel&amp;utm_campaign=act_formato_excel&amp;utm_content=act_formato_excel_link" TargetMode="External"/><Relationship Id="rId2197" Type="http://schemas.openxmlformats.org/officeDocument/2006/relationships/hyperlink" Target="https://actualicese.com/liquidador-y-desprendible-de-nomina-basico-en-excel/?referer=L-excel-formato&amp;utm_medium=act_formato_excel&amp;utm_source=act_formato_excel&amp;utm_campaign=act_formato_excel&amp;utm_content=act_formato_excel_link" TargetMode="External"/><Relationship Id="rId2418" Type="http://schemas.openxmlformats.org/officeDocument/2006/relationships/hyperlink" Target="https://actualicese.com/guia-modelo-en-excel-de-la-estructura-del-balance-de-comprobacion/?referer=L-excel-formato&amp;utm_medium=act_formato_excel&amp;utm_source=act_formato_excel&amp;utm_campaign=act_formato_excel&amp;utm_content=act_formato_excel_link" TargetMode="External"/><Relationship Id="rId73" Type="http://schemas.openxmlformats.org/officeDocument/2006/relationships/hyperlink" Target="https://actualicese.com/casos-practicos-de-contabilizacion-de-inversiones-en-criptomonedas/?referer=L-excel-formato&amp;utm_medium=act_formato_excel&amp;utm_source=act_formato_excel&amp;utm_campaign=act_formato_excel&amp;utm_content=act_formato_excel_link" TargetMode="External"/><Relationship Id="rId169" Type="http://schemas.openxmlformats.org/officeDocument/2006/relationships/hyperlink" Target="https://actualicese.com/carta-para-retiro-de-cesantias-por-terminacion-del-contrato-laboral/?referer=L-excel-formato&amp;utm_medium=act_formato_excel&amp;utm_source=act_formato_excel&amp;utm_campaign=act_formato_excel&amp;utm_content=act_formato_excel_link" TargetMode="External"/><Relationship Id="rId376" Type="http://schemas.openxmlformats.org/officeDocument/2006/relationships/hyperlink" Target="https://actualicese.com/acta-de-asamblea-general/?referer=L-excel-formato&amp;utm_medium=act_formato_excel&amp;utm_source=act_formato_excel&amp;utm_campaign=act_formato_excel&amp;utm_content=act_formato_excel_link" TargetMode="External"/><Relationship Id="rId583" Type="http://schemas.openxmlformats.org/officeDocument/2006/relationships/hyperlink" Target="https://actualicese.com/contrato-de-comision-o-corretaje/?referer=L-excel-formato&amp;utm_medium=act_formato_excel&amp;utm_source=act_formato_excel&amp;utm_campaign=act_formato_excel&amp;utm_content=act_formato_excel_link" TargetMode="External"/><Relationship Id="rId790" Type="http://schemas.openxmlformats.org/officeDocument/2006/relationships/hyperlink" Target="https://actualicese.com/carta-para-solicitar-un-incremento-de-salario-al-empleador/?referer=L-excel-formato&amp;utm_medium=act_formato_excel&amp;utm_source=act_formato_excel&amp;utm_campaign=act_formato_excel&amp;utm_content=act_formato_excel_link" TargetMode="External"/><Relationship Id="rId804" Type="http://schemas.openxmlformats.org/officeDocument/2006/relationships/hyperlink" Target="https://actualicese.com/lista-de-chequeo-informacion-esf-patrimonio-formato-de-conciliacion-fiscal-2516-version-3-ag-2019/?referer=L-excel-formato&amp;utm_medium=act_formato_excel&amp;utm_source=act_formato_excel&amp;utm_campaign=act_formato_excel&amp;utm_content=act_formato_excel_link" TargetMode="External"/><Relationship Id="rId1227" Type="http://schemas.openxmlformats.org/officeDocument/2006/relationships/hyperlink" Target="https://actualicese.com/matriz-para-definir-el-sistema-mediante-el-cual-puede-declarar-un-empleado-por-el-ano-gravable-2015/?referer=L-excel-formato&amp;utm_medium=act_formato_excel&amp;utm_source=act_formato_excel&amp;utm_campaign=act_formato_excel&amp;utm_content=act_formato_excel_link" TargetMode="External"/><Relationship Id="rId1434" Type="http://schemas.openxmlformats.org/officeDocument/2006/relationships/hyperlink" Target="https://actualicese.com/arrendamiento-de-local-comercial/?referer=L-excel-formato&amp;utm_medium=act_formato_excel&amp;utm_source=act_formato_excel&amp;utm_campaign=act_formato_excel&amp;utm_content=act_formato_excel_link" TargetMode="External"/><Relationship Id="rId1641" Type="http://schemas.openxmlformats.org/officeDocument/2006/relationships/hyperlink" Target="https://actualicese.com/guia-modelo-de-notas-a-los-estados-financieros-estado-de-situacion-financiera/?referer=L-excel-formato&amp;utm_medium=act_formato_excel&amp;utm_source=act_formato_excel&amp;utm_campaign=act_formato_excel&amp;utm_content=act_formato_excel_link" TargetMode="External"/><Relationship Id="rId1879" Type="http://schemas.openxmlformats.org/officeDocument/2006/relationships/hyperlink" Target="https://actualicese.com/carta-para-solicitar-el-certificado-de-donacion-para-efectuar-descuento-tributario/?referer=L-excel-formato&amp;utm_medium=act_formato_excel&amp;utm_source=act_formato_excel&amp;utm_campaign=act_formato_excel&amp;utm_content=act_formato_excel_link" TargetMode="External"/><Relationship Id="rId2057" Type="http://schemas.openxmlformats.org/officeDocument/2006/relationships/hyperlink" Target="https://actualicese.com/caso-practico-deducciones-y-descuentos-tributarios-para-personas-juridicas-con-los-cambios-de-la-ley-2277-de-2022/?referer=L-excel-formato&amp;utm_medium=act_formato_excel&amp;utm_source=act_formato_excel&amp;utm_campaign=act_formato_excel&amp;utm_content=act_formato_excel_link" TargetMode="External"/><Relationship Id="rId2264" Type="http://schemas.openxmlformats.org/officeDocument/2006/relationships/hyperlink" Target="https://actualicese.com/simulador-del-impuesto-para-dividendos-y-participaciones-gravados-de-2017-y-siguientes-luego-de-la-ley-2277-de-2022/?referer=L-excel-formato&amp;utm_medium=act_formato_excel&amp;utm_source=act_formato_excel&amp;utm_campaign=act_formato_excel&amp;utm_content=act_formato_excel_link" TargetMode="External"/><Relationship Id="rId4" Type="http://schemas.openxmlformats.org/officeDocument/2006/relationships/hyperlink" Target="https://actualicese.com/formato-de-circularizacion-de-proveedores-automatizado/?referer=L-excel-formato&amp;utm_medium=act_formato_excel&amp;utm_source=act_formato_excel&amp;utm_campaign=act_formato_excel&amp;utm_content=act_formato_excel_link" TargetMode="External"/><Relationship Id="rId236" Type="http://schemas.openxmlformats.org/officeDocument/2006/relationships/hyperlink" Target="https://actualicese.com/modelo-de-comunicacion-para-la-habilitacion-del-trabajo-en-casa/?referer=L-excel-formato&amp;utm_medium=act_formato_excel&amp;utm_source=act_formato_excel&amp;utm_campaign=act_formato_excel&amp;utm_content=act_formato_excel_link" TargetMode="External"/><Relationship Id="rId443" Type="http://schemas.openxmlformats.org/officeDocument/2006/relationships/hyperlink" Target="https://actualicese.com/casos-practicos-de-reduccion-de-sancion-por-correccion-reforma-tributaria-2021/?referer=L-excel-formato&amp;utm_medium=act_formato_excel&amp;utm_source=act_formato_excel&amp;utm_campaign=act_formato_excel&amp;utm_content=act_formato_excel_link" TargetMode="External"/><Relationship Id="rId650" Type="http://schemas.openxmlformats.org/officeDocument/2006/relationships/hyperlink" Target="https://actualicese.com/pack-de-formatos-formatos-para-la-liquidacion-de-nomina-paso-a-paso-2/?referer=L-excel-formato&amp;utm_medium=act_formato_excel&amp;utm_source=act_formato_excel&amp;utm_campaign=act_formato_excel&amp;utm_content=act_formato_excel_link" TargetMode="External"/><Relationship Id="rId888" Type="http://schemas.openxmlformats.org/officeDocument/2006/relationships/hyperlink" Target="https://actualicese.com/novedades-en-clasificacion-de-bienes-y-servicios-frente-a-iva-e-inc/?referer=L-excel-formato&amp;utm_medium=act_formato_excel&amp;utm_source=act_formato_excel&amp;utm_campaign=act_formato_excel&amp;utm_content=act_formato_excel_link" TargetMode="External"/><Relationship Id="rId1073" Type="http://schemas.openxmlformats.org/officeDocument/2006/relationships/hyperlink" Target="https://actualicese.com/conducta-sancionable-comision-de-la-misma-conducta-no-permite-liquidar-sancion-reducida/?referer=L-excel-formato&amp;utm_medium=act_formato_excel&amp;utm_source=act_formato_excel&amp;utm_campaign=act_formato_excel&amp;utm_content=act_formato_excel_link" TargetMode="External"/><Relationship Id="rId1280" Type="http://schemas.openxmlformats.org/officeDocument/2006/relationships/hyperlink" Target="https://actualicese.com/plantilla-para-elaborar-el-informe-de-practicas-empresariales-por-el-2015/?referer=L-excel-formato&amp;utm_medium=act_formato_excel&amp;utm_source=act_formato_excel&amp;utm_campaign=act_formato_excel&amp;utm_content=act_formato_excel_link" TargetMode="External"/><Relationship Id="rId1501" Type="http://schemas.openxmlformats.org/officeDocument/2006/relationships/hyperlink" Target="https://actualicese.com/concordancias-entre-las-niif-y-los-pcga/?referer=L-excel-formato&amp;utm_medium=act_formato_excel&amp;utm_source=act_formato_excel&amp;utm_campaign=act_formato_excel&amp;utm_content=act_formato_excel_link" TargetMode="External"/><Relationship Id="rId1739" Type="http://schemas.openxmlformats.org/officeDocument/2006/relationships/hyperlink" Target="https://actualicese.com/guia-en-excel-y-casos-practicos-de-tributacion-en-el-impuesto-de-renta-de-los-dividendos-y-participaciones-2022/?referer=L-excel-formato&amp;utm_medium=act_formato_excel&amp;utm_source=act_formato_excel&amp;utm_campaign=act_formato_excel&amp;utm_content=act_formato_excel_link" TargetMode="External"/><Relationship Id="rId1946" Type="http://schemas.openxmlformats.org/officeDocument/2006/relationships/hyperlink" Target="https://actualicese.com/guia-en-excel-y-casos-practicos-de-tributacion-en-el-impuesto-de-renta-de-los-dividendos-y-participaciones-ag-2023/?referer=L-excel-formato&amp;utm_medium=act_formato_excel&amp;utm_source=act_formato_excel&amp;utm_campaign=act_formato_excel&amp;utm_content=act_formato_excel_link" TargetMode="External"/><Relationship Id="rId2124" Type="http://schemas.openxmlformats.org/officeDocument/2006/relationships/hyperlink" Target="https://actualicese.com/modelo-calculo-de-intereses-sobre-las-cesantias/?referer=L-excel-formato&amp;utm_medium=act_formato_excel&amp;utm_source=act_formato_excel&amp;utm_campaign=act_formato_excel&amp;utm_content=act_formato_excel_link" TargetMode="External"/><Relationship Id="rId2331" Type="http://schemas.openxmlformats.org/officeDocument/2006/relationships/hyperlink" Target="https://actualicese.com/modelo-certificacion-de-disminucion-de-inventarios-por-obsolescencia/?referer=L-excel-formato&amp;utm_medium=act_formato_excel&amp;utm_source=act_formato_excel&amp;utm_campaign=act_formato_excel&amp;utm_content=act_formato_excel_link" TargetMode="External"/><Relationship Id="rId303" Type="http://schemas.openxmlformats.org/officeDocument/2006/relationships/hyperlink" Target="https://actualicese.com/listado-de-codigos-de-usuario-aduanero-para-diligenciar-la-casilla-54-del-rut/?referer=L-excel-formato&amp;utm_medium=act_formato_excel&amp;utm_source=act_formato_excel&amp;utm_campaign=act_formato_excel&amp;utm_content=act_formato_excel_link" TargetMode="External"/><Relationship Id="rId748" Type="http://schemas.openxmlformats.org/officeDocument/2006/relationships/hyperlink" Target="https://actualicese.com/informe-del-contador-o-revisor-fiscal-para-que-una-entidad-acceda-al-subsidio-de-nomina/?referer=L-excel-formato&amp;utm_medium=act_formato_excel&amp;utm_source=act_formato_excel&amp;utm_campaign=act_formato_excel&amp;utm_content=act_formato_excel_link" TargetMode="External"/><Relationship Id="rId955" Type="http://schemas.openxmlformats.org/officeDocument/2006/relationships/hyperlink" Target="https://actualicese.com/informe-sobre-los-hallazgos-obtenidos-en-las-cuentas-por-cobrar-en-una-pyme/?referer=L-excel-formato&amp;utm_medium=act_formato_excel&amp;utm_source=act_formato_excel&amp;utm_campaign=act_formato_excel&amp;utm_content=act_formato_excel_link" TargetMode="External"/><Relationship Id="rId1140" Type="http://schemas.openxmlformats.org/officeDocument/2006/relationships/hyperlink" Target="https://actualicese.com/cambios-en-conceptos-de-exogena-para-reportar-descuentos-tributarios-solicitados/?referer=L-excel-formato&amp;utm_medium=act_formato_excel&amp;utm_source=act_formato_excel&amp;utm_campaign=act_formato_excel&amp;utm_content=act_formato_excel_link" TargetMode="External"/><Relationship Id="rId1378" Type="http://schemas.openxmlformats.org/officeDocument/2006/relationships/hyperlink" Target="https://actualicese.com/atencion-integral-en-seguridad-y-salud-en-el-trabajo-2015-bencenos-y-sus-derivados/?referer=L-excel-formato&amp;utm_medium=act_formato_excel&amp;utm_source=act_formato_excel&amp;utm_campaign=act_formato_excel&amp;utm_content=act_formato_excel_link" TargetMode="External"/><Relationship Id="rId1585" Type="http://schemas.openxmlformats.org/officeDocument/2006/relationships/hyperlink" Target="https://actualicese.com/modelo-de-anexo-a-nota-contable-para-actualizacion-de-valorizaciones-o-provisiones-sobre-activos-fijos-al-cierre-del-ano/?referer=L-excel-formato&amp;utm_medium=act_formato_excel&amp;utm_source=act_formato_excel&amp;utm_campaign=act_formato_excel&amp;utm_content=act_formato_excel_link" TargetMode="External"/><Relationship Id="rId1792" Type="http://schemas.openxmlformats.org/officeDocument/2006/relationships/hyperlink" Target="https://actualicese.com/ampliacion-del-termino-de-duracion-de-una-sociedad/?referer=L-excel-formato&amp;utm_medium=act_formato_excel&amp;utm_source=act_formato_excel&amp;utm_campaign=act_formato_excel&amp;utm_content=act_formato_excel_link" TargetMode="External"/><Relationship Id="rId1806"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429" Type="http://schemas.openxmlformats.org/officeDocument/2006/relationships/hyperlink" Target="https://actualicese.com/liquidador-en-excel-de-retencion-en-la-fuente-con-procedimiento-1-durante-2025-sobre-rentas-de-trabajo-laborales-y-no-laborales/?referer=L-excel-formato&amp;utm_medium=act_formato_excel&amp;utm_source=act_formato_excel&amp;utm_campaign=act_formato_excel&amp;utm_content=act_formato_excel_link" TargetMode="External"/><Relationship Id="rId84" Type="http://schemas.openxmlformats.org/officeDocument/2006/relationships/hyperlink" Target="https://actualicese.com/aportes-a-seguridad-social-para-trabajadores-independientes/?referer=L-excel-formato&amp;utm_medium=act_formato_excel&amp;utm_source=act_formato_excel&amp;utm_campaign=act_formato_excel&amp;utm_content=act_formato_excel_link" TargetMode="External"/><Relationship Id="rId387" Type="http://schemas.openxmlformats.org/officeDocument/2006/relationships/hyperlink" Target="https://actualicese.com/efectivo-y-equivalentes-al-efectivo-informe-sobre-los-hallazgos-obtenidos/?referer=L-excel-formato&amp;utm_medium=act_formato_excel&amp;utm_source=act_formato_excel&amp;utm_campaign=act_formato_excel&amp;utm_content=act_formato_excel_link" TargetMode="External"/><Relationship Id="rId510" Type="http://schemas.openxmlformats.org/officeDocument/2006/relationships/hyperlink" Target="https://actualicese.com/casos-de-descuentos-tributarios-vigentes-en-el-ano-gravable-2021-liquidador-en-excel/?referer=L-excel-formato&amp;utm_medium=act_formato_excel&amp;utm_source=act_formato_excel&amp;utm_campaign=act_formato_excel&amp;utm_content=act_formato_excel_link" TargetMode="External"/><Relationship Id="rId594" Type="http://schemas.openxmlformats.org/officeDocument/2006/relationships/hyperlink" Target="https://actualicese.com/cuestionario-de-auditoria-para-area-de-nomina/?referer=L-excel-formato&amp;utm_medium=act_formato_excel&amp;utm_source=act_formato_excel&amp;utm_campaign=act_formato_excel&amp;utm_content=act_formato_excel_link" TargetMode="External"/><Relationship Id="rId608" Type="http://schemas.openxmlformats.org/officeDocument/2006/relationships/hyperlink" Target="https://actualicese.com/acta-de-criterios-que-debe-cumplir-el-revisor-de-control-de-calidad-de-un-encargo-de-auditoria/?referer=L-excel-formato&amp;utm_medium=act_formato_excel&amp;utm_source=act_formato_excel&amp;utm_campaign=act_formato_excel&amp;utm_content=act_formato_excel_link" TargetMode="External"/><Relationship Id="rId815" Type="http://schemas.openxmlformats.org/officeDocument/2006/relationships/hyperlink" Target="https://actualicese.com/lista-de-chequeo-requisitos-por-cumplir-para-solicitar-ser-autorretenedor-de-renta/?referer=L-excel-formato&amp;utm_medium=act_formato_excel&amp;utm_source=act_formato_excel&amp;utm_campaign=act_formato_excel&amp;utm_content=act_formato_excel_link" TargetMode="External"/><Relationship Id="rId1238" Type="http://schemas.openxmlformats.org/officeDocument/2006/relationships/hyperlink" Target="https://actualicese.com/matriz-para-definir-contribuyentes-no-obligados-a-presentar-declaracion-de-renta/?referer=L-excel-formato&amp;utm_medium=act_formato_excel&amp;utm_source=act_formato_excel&amp;utm_campaign=act_formato_excel&amp;utm_content=act_formato_excel_link" TargetMode="External"/><Relationship Id="rId1445" Type="http://schemas.openxmlformats.org/officeDocument/2006/relationships/hyperlink" Target="https://actualicese.com/requisitos-para-acceder-a-la-exencion-del-impuesto-de-renta-en-san-andres-providencia-y-santa-catalina/?referer=L-excel-formato&amp;utm_medium=act_formato_excel&amp;utm_source=act_formato_excel&amp;utm_campaign=act_formato_excel&amp;utm_content=act_formato_excel_link" TargetMode="External"/><Relationship Id="rId1652" Type="http://schemas.openxmlformats.org/officeDocument/2006/relationships/hyperlink" Target="https://actualicese.com/ejercicio-practico-en-excel-impuesto-diferido-cuando-hay-compensacion-de-perdidas-fiscales/?referer=L-excel-formato&amp;utm_medium=act_formato_excel&amp;utm_source=act_formato_excel&amp;utm_campaign=act_formato_excel&amp;utm_content=act_formato_excel_link" TargetMode="External"/><Relationship Id="rId2068" Type="http://schemas.openxmlformats.org/officeDocument/2006/relationships/hyperlink" Target="https://actualicese.com/modelo-de-certificado-de-retencion-en-la-fuente-por-conceptos-diferentes-a-rentas-laborales/?referer=L-excel-formato&amp;utm_medium=act_formato_excel&amp;utm_source=act_formato_excel&amp;utm_campaign=act_formato_excel&amp;utm_content=act_formato_excel_link" TargetMode="External"/><Relationship Id="rId2275" Type="http://schemas.openxmlformats.org/officeDocument/2006/relationships/hyperlink" Target="https://actualicese.com/liquidador-calculadora-de-monetizacion-de-la-cuota-de-aprendizaje-sena/?referer=L-excel-formato&amp;utm_medium=act_formato_excel&amp;utm_source=act_formato_excel&amp;utm_campaign=act_formato_excel&amp;utm_content=act_formato_excel_link" TargetMode="External"/><Relationship Id="rId247" Type="http://schemas.openxmlformats.org/officeDocument/2006/relationships/hyperlink" Target="https://actualicese.com/simulador-para-el-calculo-del-limite-del-descuento-por-impuestos-pagados-en-el-exterior-en-el-formulario-210/?referer=L-excel-formato&amp;utm_medium=act_formato_excel&amp;utm_source=act_formato_excel&amp;utm_campaign=act_formato_excel&amp;utm_content=act_formato_excel_link" TargetMode="External"/><Relationship Id="rId899" Type="http://schemas.openxmlformats.org/officeDocument/2006/relationships/hyperlink" Target="https://actualicese.com/tabla-de-retenciones-en-la-fuente-por-renta-para-ano-fiscal-2019/?referer=L-excel-formato&amp;utm_medium=act_formato_excel&amp;utm_source=act_formato_excel&amp;utm_campaign=act_formato_excel&amp;utm_content=act_formato_excel_link" TargetMode="External"/><Relationship Id="rId1000" Type="http://schemas.openxmlformats.org/officeDocument/2006/relationships/hyperlink" Target="https://actualicese.com/costo-de-renovacion-2018-de-matricula-mercantil-y-establecimientos-de-comercio/?referer=L-excel-formato&amp;utm_medium=act_formato_excel&amp;utm_source=act_formato_excel&amp;utm_campaign=act_formato_excel&amp;utm_content=act_formato_excel_link" TargetMode="External"/><Relationship Id="rId1084" Type="http://schemas.openxmlformats.org/officeDocument/2006/relationships/hyperlink" Target="https://actualicese.com/tabla-de-equivalencias-de-terminos-sobre-normas-internacionales-de-auditoria/?referer=L-excel-formato&amp;utm_medium=act_formato_excel&amp;utm_source=act_formato_excel&amp;utm_campaign=act_formato_excel&amp;utm_content=act_formato_excel_link" TargetMode="External"/><Relationship Id="rId1305" Type="http://schemas.openxmlformats.org/officeDocument/2006/relationships/hyperlink" Target="https://actualicese.com/formato-1004-reporte-de-los-descuentos-al-impuesto-de-renta-o-de-ganancia-ocasional-en-el-2015/?referer=L-excel-formato&amp;utm_medium=act_formato_excel&amp;utm_source=act_formato_excel&amp;utm_campaign=act_formato_excel&amp;utm_content=act_formato_excel_link" TargetMode="External"/><Relationship Id="rId1957" Type="http://schemas.openxmlformats.org/officeDocument/2006/relationships/hyperlink" Target="https://actualicese.com/hoja-de-costos-en-excel/?referer=L-excel-formato&amp;utm_medium=act_formato_excel&amp;utm_source=act_formato_excel&amp;utm_campaign=act_formato_excel&amp;utm_content=act_formato_excel_link" TargetMode="External"/><Relationship Id="rId107" Type="http://schemas.openxmlformats.org/officeDocument/2006/relationships/hyperlink" Target="https://actualicese.com/caso-practico-de-contabilizacion-de-incapacidades-laborales/?referer=L-excel-formato&amp;utm_medium=act_formato_excel&amp;utm_source=act_formato_excel&amp;utm_campaign=act_formato_excel&amp;utm_content=act_formato_excel_link" TargetMode="External"/><Relationship Id="rId454" Type="http://schemas.openxmlformats.org/officeDocument/2006/relationships/hyperlink" Target="https://actualicese.com/manifestacion-sobre-la-evaluacion-del-control-interno/?referer=L-excel-formato&amp;utm_medium=act_formato_excel&amp;utm_source=act_formato_excel&amp;utm_campaign=act_formato_excel&amp;utm_content=act_formato_excel_link" TargetMode="External"/><Relationship Id="rId661" Type="http://schemas.openxmlformats.org/officeDocument/2006/relationships/hyperlink" Target="https://actualicese.com/tablas-de-retencion-en-la-fuente-a-titulo-de-impuestos-nacionales-durante-el-ano-fiscal-2021/?referer=L-excel-formato&amp;utm_medium=act_formato_excel&amp;utm_source=act_formato_excel&amp;utm_campaign=act_formato_excel&amp;utm_content=act_formato_excel_link" TargetMode="External"/><Relationship Id="rId759" Type="http://schemas.openxmlformats.org/officeDocument/2006/relationships/hyperlink" Target="https://actualicese.com/pago-parcial-del-aporte-al-sistema-general-de-pensiones-covid-19/?referer=L-excel-formato&amp;utm_medium=act_formato_excel&amp;utm_source=act_formato_excel&amp;utm_campaign=act_formato_excel&amp;utm_content=act_formato_excel_link" TargetMode="External"/><Relationship Id="rId966" Type="http://schemas.openxmlformats.org/officeDocument/2006/relationships/hyperlink" Target="https://actualicese.com/registro-web-de-las-entidades-del-regimen-especial-tramites-que-debe-realizar-cada-tipo-de-entidad/?referer=L-excel-formato&amp;utm_medium=act_formato_excel&amp;utm_source=act_formato_excel&amp;utm_campaign=act_formato_excel&amp;utm_content=act_formato_excel_link" TargetMode="External"/><Relationship Id="rId1291" Type="http://schemas.openxmlformats.org/officeDocument/2006/relationships/hyperlink" Target="https://actualicese.com/categorias-de-informantes-de-exogena-por-el-ano-gravable-2015-y-los-formatos-que-deben-usar/?referer=L-excel-formato&amp;utm_medium=act_formato_excel&amp;utm_source=act_formato_excel&amp;utm_campaign=act_formato_excel&amp;utm_content=act_formato_excel_link" TargetMode="External"/><Relationship Id="rId1389" Type="http://schemas.openxmlformats.org/officeDocument/2006/relationships/hyperlink" Target="https://actualicese.com/lista-de-chequeo-de-revelaciones-nic-11-contratos-de-construccion/?referer=L-excel-formato&amp;utm_medium=act_formato_excel&amp;utm_source=act_formato_excel&amp;utm_campaign=act_formato_excel&amp;utm_content=act_formato_excel_link" TargetMode="External"/><Relationship Id="rId1512" Type="http://schemas.openxmlformats.org/officeDocument/2006/relationships/hyperlink" Target="https://actualicese.com/6-liquidadores-a-tener-en-cuenta-para-este-ano-2015/?referer=L-excel-formato&amp;utm_medium=act_formato_excel&amp;utm_source=act_formato_excel&amp;utm_campaign=act_formato_excel&amp;utm_content=act_formato_excel_link" TargetMode="External"/><Relationship Id="rId1596" Type="http://schemas.openxmlformats.org/officeDocument/2006/relationships/hyperlink" Target="https://actualicese.com/liquidador-de-intereses-de-mora-de-obligaciones-tributarias-jose-miguel-barbosa-m/?referer=L-excel-formato&amp;utm_medium=act_formato_excel&amp;utm_source=act_formato_excel&amp;utm_campaign=act_formato_excel&amp;utm_content=act_formato_excel_link" TargetMode="External"/><Relationship Id="rId1817" Type="http://schemas.openxmlformats.org/officeDocument/2006/relationships/hyperlink" Target="https://actualicese.com/plantilla-para-elaborar-el-formulario-300-para-las-declaraciones-del-iva-en-2023/?referer=L-excel-formato&amp;utm_medium=act_formato_excel&amp;utm_source=act_formato_excel&amp;utm_campaign=act_formato_excel&amp;utm_content=act_formato_excel_link" TargetMode="External"/><Relationship Id="rId2135" Type="http://schemas.openxmlformats.org/officeDocument/2006/relationships/hyperlink" Target="https://actualicese.com/modelo-para-el-incremento-anual-del-arrendamiento-comercial/?referer=L-excel-formato&amp;utm_medium=act_formato_excel&amp;utm_source=act_formato_excel&amp;utm_campaign=act_formato_excel&amp;utm_content=act_formato_excel_link" TargetMode="External"/><Relationship Id="rId2342" Type="http://schemas.openxmlformats.org/officeDocument/2006/relationships/hyperlink" Target="https://actualicese.com/liquidador-caso-practico-en-excel-contabilizacion-de-ajustes-por-conciliacion-bancaria/?referer=L-excel-formato&amp;utm_medium=act_formato_excel&amp;utm_source=act_formato_excel&amp;utm_campaign=act_formato_excel&amp;utm_content=act_formato_excel_link" TargetMode="External"/><Relationship Id="rId11" Type="http://schemas.openxmlformats.org/officeDocument/2006/relationships/hyperlink" Target="https://actualicese.com/liquidador-de-nomina-para-trabajadora-en-licencia-de-maternidad-caso-practico-en-excel/?referer=L-excel-formato&amp;utm_medium=act_formato_excel&amp;utm_source=act_formato_excel&amp;utm_campaign=act_formato_excel&amp;utm_content=act_formato_excel_link" TargetMode="External"/><Relationship Id="rId314" Type="http://schemas.openxmlformats.org/officeDocument/2006/relationships/hyperlink" Target="https://actualicese.com/certificado-de-ingresos-y-retenciones-plantilla-del-formulario-220-y-del-formato-2276-ag-2021/?referer=L-excel-formato&amp;utm_medium=act_formato_excel&amp;utm_source=act_formato_excel&amp;utm_campaign=act_formato_excel&amp;utm_content=act_formato_excel_link" TargetMode="External"/><Relationship Id="rId398" Type="http://schemas.openxmlformats.org/officeDocument/2006/relationships/hyperlink" Target="https://actualicese.com/convocatoria-a-asamblea-general-ordinaria-de-sociosaccionistas/?referer=L-excel-formato&amp;utm_medium=act_formato_excel&amp;utm_source=act_formato_excel&amp;utm_campaign=act_formato_excel&amp;utm_content=act_formato_excel_link" TargetMode="External"/><Relationship Id="rId521" Type="http://schemas.openxmlformats.org/officeDocument/2006/relationships/hyperlink" Target="https://actualicese.com/carta-para-notificar-deficiencias-en-el-proceso-de-inspeccion-del-seguimiento-del-control-de-calidad/?referer=L-excel-formato&amp;utm_medium=act_formato_excel&amp;utm_source=act_formato_excel&amp;utm_campaign=act_formato_excel&amp;utm_content=act_formato_excel_link" TargetMode="External"/><Relationship Id="rId619" Type="http://schemas.openxmlformats.org/officeDocument/2006/relationships/hyperlink" Target="https://actualicese.com/plantilla-de-los-formatos-exogena-1005-y-1006-del-ano-gravable-2020-reportes-de-iva-generados-y-descontables/?referer=L-excel-formato&amp;utm_medium=act_formato_excel&amp;utm_source=act_formato_excel&amp;utm_campaign=act_formato_excel&amp;utm_content=act_formato_excel_link" TargetMode="External"/><Relationship Id="rId1151" Type="http://schemas.openxmlformats.org/officeDocument/2006/relationships/hyperlink" Target="https://actualicese.com/cambios-en-los-conceptos-para-reportar-valores-de-rentas-exentas/?referer=L-excel-formato&amp;utm_medium=act_formato_excel&amp;utm_source=act_formato_excel&amp;utm_campaign=act_formato_excel&amp;utm_content=act_formato_excel_link" TargetMode="External"/><Relationship Id="rId1249" Type="http://schemas.openxmlformats.org/officeDocument/2006/relationships/hyperlink" Target="https://actualicese.com/documentos-necesarios-para-elaborar-la-declaracion-de-renta-de-personas-naturales-ano-gravable-2015/?referer=L-excel-formato&amp;utm_medium=act_formato_excel&amp;utm_source=act_formato_excel&amp;utm_campaign=act_formato_excel&amp;utm_content=act_formato_excel_link" TargetMode="External"/><Relationship Id="rId2079" Type="http://schemas.openxmlformats.org/officeDocument/2006/relationships/hyperlink" Target="https://actualicese.com/modelos-y-guias-sobre-aspectos-labores-y-comerciales-que-deben-atender-los-trabajadores-independientes/?referer=L-excel-formato&amp;utm_medium=act_formato_excel&amp;utm_source=act_formato_excel&amp;utm_campaign=act_formato_excel&amp;utm_content=act_formato_excel_link" TargetMode="External"/><Relationship Id="rId2202" Type="http://schemas.openxmlformats.org/officeDocument/2006/relationships/hyperlink" Target="https://actualicese.com/liquidador-calculo-del-costo-de-renovacion-de-matricula-mercantil-y-de-establecimientos-de-comercio-2024/?referer=L-excel-formato&amp;utm_medium=act_formato_excel&amp;utm_source=act_formato_excel&amp;utm_campaign=act_formato_excel&amp;utm_content=act_formato_excel_link" TargetMode="External"/><Relationship Id="rId95" Type="http://schemas.openxmlformats.org/officeDocument/2006/relationships/hyperlink" Target="https://actualicese.com/caso-practico-de-contabilizacion-de-compras-a-credito/?referer=L-excel-formato&amp;utm_medium=act_formato_excel&amp;utm_source=act_formato_excel&amp;utm_campaign=act_formato_excel&amp;utm_content=act_formato_excel_link" TargetMode="External"/><Relationship Id="rId160" Type="http://schemas.openxmlformats.org/officeDocument/2006/relationships/hyperlink" Target="https://actualicese.com/casos-practicos-de-sancion-por-extemporaneidad-antes-de-emplazamiento/?referer=L-excel-formato&amp;utm_medium=act_formato_excel&amp;utm_source=act_formato_excel&amp;utm_campaign=act_formato_excel&amp;utm_content=act_formato_excel_link" TargetMode="External"/><Relationship Id="rId826" Type="http://schemas.openxmlformats.org/officeDocument/2006/relationships/hyperlink" Target="https://actualicese.com/aspectos-generales-del-contrato-de-aprendizaje/?referer=L-excel-formato&amp;utm_medium=act_formato_excel&amp;utm_source=act_formato_excel&amp;utm_campaign=act_formato_excel&amp;utm_content=act_formato_excel_link" TargetMode="External"/><Relationship Id="rId1011" Type="http://schemas.openxmlformats.org/officeDocument/2006/relationships/hyperlink" Target="https://actualicese.com/calendario-tributario-de-medellin-2018/?referer=L-excel-formato&amp;utm_medium=act_formato_excel&amp;utm_source=act_formato_excel&amp;utm_campaign=act_formato_excel&amp;utm_content=act_formato_excel_link" TargetMode="External"/><Relationship Id="rId1109" Type="http://schemas.openxmlformats.org/officeDocument/2006/relationships/hyperlink" Target="https://actualicese.com/acta-de-junta-para-transformacion-de-ltda-a-sas/?referer=L-excel-formato&amp;utm_medium=act_formato_excel&amp;utm_source=act_formato_excel&amp;utm_campaign=act_formato_excel&amp;utm_content=act_formato_excel_link" TargetMode="External"/><Relationship Id="rId1456" Type="http://schemas.openxmlformats.org/officeDocument/2006/relationships/hyperlink" Target="https://actualicese.com/categorias-de-informantes-de-exogena-por-el-ano-gravable-2014-y-los-formatos-que-deben-usar/?referer=L-excel-formato&amp;utm_medium=act_formato_excel&amp;utm_source=act_formato_excel&amp;utm_campaign=act_formato_excel&amp;utm_content=act_formato_excel_link" TargetMode="External"/><Relationship Id="rId1663" Type="http://schemas.openxmlformats.org/officeDocument/2006/relationships/hyperlink" Target="https://actualicese.com/nota-debito/?referer=L-excel-formato&amp;utm_medium=act_formato_excel&amp;utm_source=act_formato_excel&amp;utm_campaign=act_formato_excel&amp;utm_content=act_formato_excel_link" TargetMode="External"/><Relationship Id="rId1870" Type="http://schemas.openxmlformats.org/officeDocument/2006/relationships/hyperlink" Target="https://actualicese.com/simulador-del-limite-de-costos-y-gastos-no-soportados-en-factura-electronica/?referer=L-excel-formato&amp;utm_medium=act_formato_excel&amp;utm_source=act_formato_excel&amp;utm_campaign=act_formato_excel&amp;utm_content=act_formato_excel_link" TargetMode="External"/><Relationship Id="rId1968" Type="http://schemas.openxmlformats.org/officeDocument/2006/relationships/hyperlink" Target="https://actualicese.com/guia-en-excel-para-determinar-el-control-de-una-entidad-sobre-otra/?referer=L-excel-formato&amp;utm_medium=act_formato_excel&amp;utm_source=act_formato_excel&amp;utm_campaign=act_formato_excel&amp;utm_content=act_formato_excel_link" TargetMode="External"/><Relationship Id="rId2286" Type="http://schemas.openxmlformats.org/officeDocument/2006/relationships/hyperlink" Target="https://actualicese.com/liquidador-automatizado-de-la-prima-de-servicios-con-comprobante-de-pago/?referer=L-excel-formato&amp;utm_medium=act_formato_excel&amp;utm_source=act_formato_excel&amp;utm_campaign=act_formato_excel&amp;utm_content=act_formato_excel_link" TargetMode="External"/><Relationship Id="rId258" Type="http://schemas.openxmlformats.org/officeDocument/2006/relationships/hyperlink" Target="https://actualicese.com/liquidador-para-determinar-la-periodicidad-del-iva/?referer=L-excel-formato&amp;utm_medium=act_formato_excel&amp;utm_source=act_formato_excel&amp;utm_campaign=act_formato_excel&amp;utm_content=act_formato_excel_link" TargetMode="External"/><Relationship Id="rId465" Type="http://schemas.openxmlformats.org/officeDocument/2006/relationships/hyperlink" Target="https://actualicese.com/indicadores-financieros-de-actividad-y-rentabilidad/?referer=L-excel-formato&amp;utm_medium=act_formato_excel&amp;utm_source=act_formato_excel&amp;utm_campaign=act_formato_excel&amp;utm_content=act_formato_excel_link" TargetMode="External"/><Relationship Id="rId672" Type="http://schemas.openxmlformats.org/officeDocument/2006/relationships/hyperlink" Target="https://actualicese.com/21-formatos-para-preparar-el-cierre-contable-de-2020/?referer=L-excel-formato&amp;utm_medium=act_formato_excel&amp;utm_source=act_formato_excel&amp;utm_campaign=act_formato_excel&amp;utm_content=act_formato_excel_link" TargetMode="External"/><Relationship Id="rId1095" Type="http://schemas.openxmlformats.org/officeDocument/2006/relationships/hyperlink" Target="https://actualicese.com/tasas-generalidades-y-conceptos/?referer=L-excel-formato&amp;utm_medium=act_formato_excel&amp;utm_source=act_formato_excel&amp;utm_campaign=act_formato_excel&amp;utm_content=act_formato_excel_link" TargetMode="External"/><Relationship Id="rId1316" Type="http://schemas.openxmlformats.org/officeDocument/2006/relationships/hyperlink" Target="https://actualicese.com/formato-1001-informacion-de-pagos-o-causaciones-a-terceros-durante-el-2015-y-las-retenciones-practicadas-o-asumidas-sobre-los-mismos-caso-2/?referer=L-excel-formato&amp;utm_medium=act_formato_excel&amp;utm_source=act_formato_excel&amp;utm_campaign=act_formato_excel&amp;utm_content=act_formato_excel_link" TargetMode="External"/><Relationship Id="rId1523" Type="http://schemas.openxmlformats.org/officeDocument/2006/relationships/hyperlink" Target="https://actualicese.com/modelo-certificacion-de-contador-para-solicitar-autorizacion-reduccion-retencion-de-iva/?referer=L-excel-formato&amp;utm_medium=act_formato_excel&amp;utm_source=act_formato_excel&amp;utm_campaign=act_formato_excel&amp;utm_content=act_formato_excel_link" TargetMode="External"/><Relationship Id="rId1730" Type="http://schemas.openxmlformats.org/officeDocument/2006/relationships/hyperlink" Target="https://actualicese.com/estados-financieros-consolidados-opinion-desfavorable-por-incorreccion-material/?referer=L-excel-formato&amp;utm_medium=act_formato_excel&amp;utm_source=act_formato_excel&amp;utm_campaign=act_formato_excel&amp;utm_content=act_formato_excel_link" TargetMode="External"/><Relationship Id="rId2146" Type="http://schemas.openxmlformats.org/officeDocument/2006/relationships/hyperlink" Target="https://actualicese.com/liquidador-historico-de-porcentajes-de-reajuste-fiscal/?referer=L-excel-formato&amp;utm_medium=act_formato_excel&amp;utm_source=act_formato_excel&amp;utm_campaign=act_formato_excel&amp;utm_content=act_formato_excel_link" TargetMode="External"/><Relationship Id="rId2353" Type="http://schemas.openxmlformats.org/officeDocument/2006/relationships/hyperlink" Target="https://actualicese.com/estado-de-flujos-de-efectivo-por-el-metodo-directo-ejercicio-practico-y-plantilla-en-excel/?referer=L-excel-formato&amp;utm_medium=act_formato_excel&amp;utm_source=act_formato_excel&amp;utm_campaign=act_formato_excel&amp;utm_content=act_formato_excel_link" TargetMode="External"/><Relationship Id="rId22" Type="http://schemas.openxmlformats.org/officeDocument/2006/relationships/hyperlink" Target="https://actualicese.com/caso-practico-en-excel-de-evaluacion-de-diferencias-temporarias-temporales-y-permanentes/?referer=L-excel-formato&amp;utm_medium=act_formato_excel&amp;utm_source=act_formato_excel&amp;utm_campaign=act_formato_excel&amp;utm_content=act_formato_excel_link" TargetMode="External"/><Relationship Id="rId118" Type="http://schemas.openxmlformats.org/officeDocument/2006/relationships/hyperlink" Target="https://actualicese.com/casos-practicos-del-calculo-de-la-materialidad-en-auditoria/?referer=L-excel-formato&amp;utm_medium=act_formato_excel&amp;utm_source=act_formato_excel&amp;utm_campaign=act_formato_excel&amp;utm_content=act_formato_excel_link" TargetMode="External"/><Relationship Id="rId325" Type="http://schemas.openxmlformats.org/officeDocument/2006/relationships/hyperlink" Target="https://actualicese.com/informe-nisr-4400-para-revision-de-requerimientos-del-programa-de-incentivo-por-creacion-de-nuevos-empleos/?referer=L-excel-formato&amp;utm_medium=act_formato_excel&amp;utm_source=act_formato_excel&amp;utm_campaign=act_formato_excel&amp;utm_content=act_formato_excel_link" TargetMode="External"/><Relationship Id="rId532" Type="http://schemas.openxmlformats.org/officeDocument/2006/relationships/hyperlink" Target="https://actualicese.com/impuesto-diferido-ante-deterioro-de-cartera-en-2021-ejercicio-practico-en-excel/?referer=L-excel-formato&amp;utm_medium=act_formato_excel&amp;utm_source=act_formato_excel&amp;utm_campaign=act_formato_excel&amp;utm_content=act_formato_excel_link" TargetMode="External"/><Relationship Id="rId977" Type="http://schemas.openxmlformats.org/officeDocument/2006/relationships/hyperlink" Target="https://actualicese.com/denuncia-de-incumplimiento-de-acuerdo-de-reestructuracion/?referer=L-excel-formato&amp;utm_medium=act_formato_excel&amp;utm_source=act_formato_excel&amp;utm_campaign=act_formato_excel&amp;utm_content=act_formato_excel_link" TargetMode="External"/><Relationship Id="rId1162" Type="http://schemas.openxmlformats.org/officeDocument/2006/relationships/hyperlink" Target="https://actualicese.com/calculo-de-retencion-sobre-dividendos-de-2016-o-anteriores-y-de-2017-y-siguientes/?referer=L-excel-formato&amp;utm_medium=act_formato_excel&amp;utm_source=act_formato_excel&amp;utm_campaign=act_formato_excel&amp;utm_content=act_formato_excel_link" TargetMode="External"/><Relationship Id="rId1828" Type="http://schemas.openxmlformats.org/officeDocument/2006/relationships/hyperlink" Target="https://actualicese.com/liquidador-de-indemnizacion-por-despido-sin-justa-causa-para-contrato-fijo-u-obra-labor/?referer=L-excel-formato&amp;utm_medium=act_formato_excel&amp;utm_source=act_formato_excel&amp;utm_campaign=act_formato_excel&amp;utm_content=act_formato_excel_link" TargetMode="External"/><Relationship Id="rId2006" Type="http://schemas.openxmlformats.org/officeDocument/2006/relationships/hyperlink" Target="https://actualicese.com/carta-otorgando-poder/?referer=L-excel-formato&amp;utm_medium=act_formato_excel&amp;utm_source=act_formato_excel&amp;utm_campaign=act_formato_excel&amp;utm_content=act_formato_excel_link" TargetMode="External"/><Relationship Id="rId2213" Type="http://schemas.openxmlformats.org/officeDocument/2006/relationships/hyperlink" Target="https://actualicese.com/liquidador-de-prestaciones-sociales/?referer=L-excel-formato&amp;utm_medium=act_formato_excel&amp;utm_source=act_formato_excel&amp;utm_campaign=act_formato_excel&amp;utm_content=act_formato_excel_link" TargetMode="External"/><Relationship Id="rId2420" Type="http://schemas.openxmlformats.org/officeDocument/2006/relationships/hyperlink" Target="https://actualicese.com/calendario-2025-para-el-pago-de-aportes-a-seguridad-social-de-empleadores-e-independientes/?referer=L-excel-formato&amp;utm_medium=act_formato_excel&amp;utm_source=act_formato_excel&amp;utm_campaign=act_formato_excel&amp;utm_content=act_formato_excel_link" TargetMode="External"/><Relationship Id="rId171" Type="http://schemas.openxmlformats.org/officeDocument/2006/relationships/hyperlink" Target="https://actualicese.com/diferencias-principales-en-el-impuesto-de-renta-ag-2021-para-personas-naturales-obligadas-y-no-obligadas-a-llevar-contabilidad/?referer=L-excel-formato&amp;utm_medium=act_formato_excel&amp;utm_source=act_formato_excel&amp;utm_campaign=act_formato_excel&amp;utm_content=act_formato_excel_link" TargetMode="External"/><Relationship Id="rId837" Type="http://schemas.openxmlformats.org/officeDocument/2006/relationships/hyperlink" Target="https://actualicese.com/formulario-210-de-declaracion-de-renta-por-el-ag-2018-residentes-obligados-a-llevar-contabilidad/?referer=L-excel-formato&amp;utm_medium=act_formato_excel&amp;utm_source=act_formato_excel&amp;utm_campaign=act_formato_excel&amp;utm_content=act_formato_excel_link" TargetMode="External"/><Relationship Id="rId1022" Type="http://schemas.openxmlformats.org/officeDocument/2006/relationships/hyperlink" Target="https://actualicese.com/revision-de-control-de-calidad-en-un-encargo-de-auditoria/?referer=L-excel-formato&amp;utm_medium=act_formato_excel&amp;utm_source=act_formato_excel&amp;utm_campaign=act_formato_excel&amp;utm_content=act_formato_excel_link" TargetMode="External"/><Relationship Id="rId1467" Type="http://schemas.openxmlformats.org/officeDocument/2006/relationships/hyperlink" Target="https://actualicese.com/notificacion-del-arrendatario-de-no-renovacion-del-contrato/?referer=L-excel-formato&amp;utm_medium=act_formato_excel&amp;utm_source=act_formato_excel&amp;utm_campaign=act_formato_excel&amp;utm_content=act_formato_excel_link" TargetMode="External"/><Relationship Id="rId1674" Type="http://schemas.openxmlformats.org/officeDocument/2006/relationships/hyperlink" Target="https://actualicese.com/guia-en-excel-con-los-principales-indices-de-coherencia-tributaria-para-las-personas-juridicas/?referer=L-excel-formato&amp;utm_medium=act_formato_excel&amp;utm_source=act_formato_excel&amp;utm_campaign=act_formato_excel&amp;utm_content=act_formato_excel_link" TargetMode="External"/><Relationship Id="rId1881" Type="http://schemas.openxmlformats.org/officeDocument/2006/relationships/hyperlink" Target="https://actualicese.com/pack-de-formatos-herramientas-y-guias-para-el-reporte-de-informacion-exogena-2022/?referer=L-excel-formato&amp;utm_medium=act_formato_excel&amp;utm_source=act_formato_excel&amp;utm_campaign=act_formato_excel&amp;utm_content=act_formato_excel_link" TargetMode="External"/><Relationship Id="rId2297" Type="http://schemas.openxmlformats.org/officeDocument/2006/relationships/hyperlink" Target="https://actualicese.com/comparativo-de-las-normas-afectadas-por-la-reforma-tributaria-ley-2277-de-2022/?referer=L-excel-formato&amp;utm_medium=act_formato_excel&amp;utm_source=act_formato_excel&amp;utm_campaign=act_formato_excel&amp;utm_content=act_formato_excel_link" TargetMode="External"/><Relationship Id="rId269" Type="http://schemas.openxmlformats.org/officeDocument/2006/relationships/hyperlink" Target="https://actualicese.com/aplicacion-del-impuesto-a-los-dividendos-recibidos-por-personas-naturales-caso-practico-en-excel/?referer=L-excel-formato&amp;utm_medium=act_formato_excel&amp;utm_source=act_formato_excel&amp;utm_campaign=act_formato_excel&amp;utm_content=act_formato_excel_link" TargetMode="External"/><Relationship Id="rId476" Type="http://schemas.openxmlformats.org/officeDocument/2006/relationships/hyperlink" Target="https://actualicese.com/modelo-para-la-elaboracion-de-estados-financieros-y-calculo-de-los-indicadores-financieros/?referer=L-excel-formato&amp;utm_medium=act_formato_excel&amp;utm_source=act_formato_excel&amp;utm_campaign=act_formato_excel&amp;utm_content=act_formato_excel_link" TargetMode="External"/><Relationship Id="rId683" Type="http://schemas.openxmlformats.org/officeDocument/2006/relationships/hyperlink" Target="https://actualicese.com/simulador-de-sancion-por-no-pagar-la-liquidacion-del-contrato-laboral/?referer=L-excel-formato&amp;utm_medium=act_formato_excel&amp;utm_source=act_formato_excel&amp;utm_campaign=act_formato_excel&amp;utm_content=act_formato_excel_link" TargetMode="External"/><Relationship Id="rId890" Type="http://schemas.openxmlformats.org/officeDocument/2006/relationships/hyperlink" Target="https://actualicese.com/porcentaje-fijo-y-retencion-en-la-fuente-con-procedimiento-2-durante-2019-tras-ley-de-financiamiento/?referer=L-excel-formato&amp;utm_medium=act_formato_excel&amp;utm_source=act_formato_excel&amp;utm_campaign=act_formato_excel&amp;utm_content=act_formato_excel_link" TargetMode="External"/><Relationship Id="rId904" Type="http://schemas.openxmlformats.org/officeDocument/2006/relationships/hyperlink" Target="https://actualicese.com/certificado-de-ingresos-por-rendimientos-financieros-expedido-por-contador-publico/?referer=L-excel-formato&amp;utm_medium=act_formato_excel&amp;utm_source=act_formato_excel&amp;utm_campaign=act_formato_excel&amp;utm_content=act_formato_excel_link" TargetMode="External"/><Relationship Id="rId1327" Type="http://schemas.openxmlformats.org/officeDocument/2006/relationships/hyperlink" Target="https://actualicese.com/otorgamiento-de-poder-para-cancelar-linea-telefonica/?referer=L-excel-formato&amp;utm_medium=act_formato_excel&amp;utm_source=act_formato_excel&amp;utm_campaign=act_formato_excel&amp;utm_content=act_formato_excel_link" TargetMode="External"/><Relationship Id="rId1534" Type="http://schemas.openxmlformats.org/officeDocument/2006/relationships/hyperlink" Target="https://actualicese.com/plantilla-para-calculo-automatico-impuesto-imas-de-trabajadores-por-cuenta-propia/?referer=L-excel-formato&amp;utm_medium=act_formato_excel&amp;utm_source=act_formato_excel&amp;utm_campaign=act_formato_excel&amp;utm_content=act_formato_excel_link" TargetMode="External"/><Relationship Id="rId1741" Type="http://schemas.openxmlformats.org/officeDocument/2006/relationships/hyperlink" Target="https://actualicese.com/grados-de-apalancamiento-financiero-y-operativo/?referer=L-excel-formato&amp;utm_medium=act_formato_excel&amp;utm_source=act_formato_excel&amp;utm_campaign=act_formato_excel&amp;utm_content=act_formato_excel_link" TargetMode="External"/><Relationship Id="rId1979" Type="http://schemas.openxmlformats.org/officeDocument/2006/relationships/hyperlink" Target="https://actualicese.com/modelo-aceptacion-de-renuncia/?referer=L-excel-formato&amp;utm_medium=act_formato_excel&amp;utm_source=act_formato_excel&amp;utm_campaign=act_formato_excel&amp;utm_content=act_formato_excel_link" TargetMode="External"/><Relationship Id="rId2157" Type="http://schemas.openxmlformats.org/officeDocument/2006/relationships/hyperlink" Target="https://actualicese.com/contabilizacion-de-la-nomina-ejemplo-practico/?referer=L-excel-formato&amp;utm_medium=act_formato_excel&amp;utm_source=act_formato_excel&amp;utm_campaign=act_formato_excel&amp;utm_content=act_formato_excel_link" TargetMode="External"/><Relationship Id="rId2364"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33" Type="http://schemas.openxmlformats.org/officeDocument/2006/relationships/hyperlink" Target="https://actualicese.com/medicion-de-inversiones-segun-estandar-internacional-para-grupo-1-y-pymes/?referer=L-excel-formato&amp;utm_medium=act_formato_excel&amp;utm_source=act_formato_excel&amp;utm_campaign=act_formato_excel&amp;utm_content=act_formato_excel_link" TargetMode="External"/><Relationship Id="rId129" Type="http://schemas.openxmlformats.org/officeDocument/2006/relationships/hyperlink" Target="https://actualicese.com/modelo-para-calcular-cuota-variable-de-un-credito-con-abonos-a-capital-iguales/?referer=L-excel-formato&amp;utm_medium=act_formato_excel&amp;utm_source=act_formato_excel&amp;utm_campaign=act_formato_excel&amp;utm_content=act_formato_excel_link" TargetMode="External"/><Relationship Id="rId336" Type="http://schemas.openxmlformats.org/officeDocument/2006/relationships/hyperlink" Target="https://actualicese.com/plantilla-para-elaborar-el-formulario-300-para-las-declaraciones-del-iva-en-2022/?referer=L-excel-formato&amp;utm_medium=act_formato_excel&amp;utm_source=act_formato_excel&amp;utm_campaign=act_formato_excel&amp;utm_content=act_formato_excel_link" TargetMode="External"/><Relationship Id="rId543" Type="http://schemas.openxmlformats.org/officeDocument/2006/relationships/hyperlink" Target="https://actualicese.com/solicitud-licencia-de-paternidad/?referer=L-excel-formato&amp;utm_medium=act_formato_excel&amp;utm_source=act_formato_excel&amp;utm_campaign=act_formato_excel&amp;utm_content=act_formato_excel_link" TargetMode="External"/><Relationship Id="rId988" Type="http://schemas.openxmlformats.org/officeDocument/2006/relationships/hyperlink" Target="https://actualicese.com/resumen-de-categorias-de-informantes-de-exogena-por-el-ano-gravable-2017-y-formatos-que-deben-usar/?referer=L-excel-formato&amp;utm_medium=act_formato_excel&amp;utm_source=act_formato_excel&amp;utm_campaign=act_formato_excel&amp;utm_content=act_formato_excel_link" TargetMode="External"/><Relationship Id="rId1173" Type="http://schemas.openxmlformats.org/officeDocument/2006/relationships/hyperlink" Target="https://actualicese.com/matriz-para-definir-periodicidad-de-declaracion-y-pago-de-iva-en-2017-segun-reforma-tributaria-2016/?referer=L-excel-formato&amp;utm_medium=act_formato_excel&amp;utm_source=act_formato_excel&amp;utm_campaign=act_formato_excel&amp;utm_content=act_formato_excel_link" TargetMode="External"/><Relationship Id="rId1380" Type="http://schemas.openxmlformats.org/officeDocument/2006/relationships/hyperlink" Target="https://actualicese.com/atencion-integral-en-seguridad-y-salud-en-el-trabajo-2015-neumoconiosis/?referer=L-excel-formato&amp;utm_medium=act_formato_excel&amp;utm_source=act_formato_excel&amp;utm_campaign=act_formato_excel&amp;utm_content=act_formato_excel_link" TargetMode="External"/><Relationship Id="rId1601" Type="http://schemas.openxmlformats.org/officeDocument/2006/relationships/hyperlink" Target="https://actualicese.com/word-contrato-de-arrendamiento-de-vehiculo-automotor-para-carga-o-transporte/?referer=L-excel-formato&amp;utm_medium=act_formato_excel&amp;utm_source=act_formato_excel&amp;utm_campaign=act_formato_excel&amp;utm_content=act_formato_excel_link" TargetMode="External"/><Relationship Id="rId1839" Type="http://schemas.openxmlformats.org/officeDocument/2006/relationships/hyperlink" Target="https://actualicese.com/liquidador-de-nomina-mensual-de-trabajador-pensionado-por-vejez/?referer=L-excel-formato&amp;utm_medium=act_formato_excel&amp;utm_source=act_formato_excel&amp;utm_campaign=act_formato_excel&amp;utm_content=act_formato_excel_link" TargetMode="External"/><Relationship Id="rId2017" Type="http://schemas.openxmlformats.org/officeDocument/2006/relationships/hyperlink" Target="https://actualicese.com/casos-practicos-de-contabilizacion-de-sanciones-e-intereses-tributarios-a-la-dian/?referer=L-excel-formato&amp;utm_medium=act_formato_excel&amp;utm_source=act_formato_excel&amp;utm_campaign=act_formato_excel&amp;utm_content=act_formato_excel_link" TargetMode="External"/><Relationship Id="rId2224" Type="http://schemas.openxmlformats.org/officeDocument/2006/relationships/hyperlink" Target="https://actualicese.com/casos-practicos-de-retencion-en-la-fuente-por-compras-servicios-y-honorarios/?referer=L-excel-formato&amp;utm_medium=act_formato_excel&amp;utm_source=act_formato_excel&amp;utm_campaign=act_formato_excel&amp;utm_content=act_formato_excel_link" TargetMode="External"/><Relationship Id="rId182" Type="http://schemas.openxmlformats.org/officeDocument/2006/relationships/hyperlink" Target="https://actualicese.com/liquidador-de-sancion-por-no-presentar-la-conciliacion-fiscal/?referer=L-excel-formato&amp;utm_medium=act_formato_excel&amp;utm_source=act_formato_excel&amp;utm_campaign=act_formato_excel&amp;utm_content=act_formato_excel_link" TargetMode="External"/><Relationship Id="rId403" Type="http://schemas.openxmlformats.org/officeDocument/2006/relationships/hyperlink" Target="https://actualicese.com/liquidador-de-prestaciones-sociales/?referer=L-excel-formato&amp;utm_medium=act_formato_excel&amp;utm_source=act_formato_excel&amp;utm_campaign=act_formato_excel&amp;utm_content=act_formato_excel_link" TargetMode="External"/><Relationship Id="rId750" Type="http://schemas.openxmlformats.org/officeDocument/2006/relationships/hyperlink" Target="https://actualicese.com/simulador-de-credito-en-periodo-de-gracia-estrategia-de-entidades-financieras-ante-el-covid-19/?referer=L-excel-formato&amp;utm_medium=act_formato_excel&amp;utm_source=act_formato_excel&amp;utm_campaign=act_formato_excel&amp;utm_content=act_formato_excel_link" TargetMode="External"/><Relationship Id="rId848" Type="http://schemas.openxmlformats.org/officeDocument/2006/relationships/hyperlink" Target="https://actualicese.com/categorias-de-informantes-de-exogena-por-el-ano-gravable-2018-y-los-formatos-que-deben-usar/?referer=L-excel-formato&amp;utm_medium=act_formato_excel&amp;utm_source=act_formato_excel&amp;utm_campaign=act_formato_excel&amp;utm_content=act_formato_excel_link" TargetMode="External"/><Relationship Id="rId1033" Type="http://schemas.openxmlformats.org/officeDocument/2006/relationships/hyperlink" Target="https://actualicese.com/calendario-tributario-2018/?referer=L-excel-formato&amp;utm_medium=act_formato_excel&amp;utm_source=act_formato_excel&amp;utm_campaign=act_formato_excel&amp;utm_content=act_formato_excel_link" TargetMode="External"/><Relationship Id="rId1478" Type="http://schemas.openxmlformats.org/officeDocument/2006/relationships/hyperlink" Target="https://actualicese.com/calculo-costo-renovacion-ano-2015-de-la-matricula-mercantil-y-de-los-establecimientos-de-comercio/?referer=L-excel-formato&amp;utm_medium=act_formato_excel&amp;utm_source=act_formato_excel&amp;utm_campaign=act_formato_excel&amp;utm_content=act_formato_excel_link" TargetMode="External"/><Relationship Id="rId1685" Type="http://schemas.openxmlformats.org/officeDocument/2006/relationships/hyperlink" Target="https://actualicese.com/liquidador-en-excel-sobre-efectos-fiscales-de-escriturar-bienes-inmuebles-por-debajo-del-valor-comercial/?referer=L-excel-formato&amp;utm_medium=act_formato_excel&amp;utm_source=act_formato_excel&amp;utm_campaign=act_formato_excel&amp;utm_content=act_formato_excel_link" TargetMode="External"/><Relationship Id="rId1892" Type="http://schemas.openxmlformats.org/officeDocument/2006/relationships/hyperlink" Target="https://actualicese.com/guia-caracteristicas-basicas-de-la-cedulacion-de-personas-naturales-residentes-ag-2022/?referer=L-excel-formato&amp;utm_medium=act_formato_excel&amp;utm_source=act_formato_excel&amp;utm_campaign=act_formato_excel&amp;utm_content=act_formato_excel_link" TargetMode="External"/><Relationship Id="rId1906" Type="http://schemas.openxmlformats.org/officeDocument/2006/relationships/hyperlink" Target="https://actualicese.com/modelo-basico-en-excel-para-proyectar-el-impuesto-al-patrimonio-anos-2023-y-siguientes/?referer=L-excel-formato&amp;utm_medium=act_formato_excel&amp;utm_source=act_formato_excel&amp;utm_campaign=act_formato_excel&amp;utm_content=act_formato_excel_link" TargetMode="External"/><Relationship Id="rId2431"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487" Type="http://schemas.openxmlformats.org/officeDocument/2006/relationships/hyperlink" Target="https://actualicese.com/plantilla-para-auditar-la-declaracion-del-impuesto-sobre-las-ventas-iva/?referer=L-excel-formato&amp;utm_medium=act_formato_excel&amp;utm_source=act_formato_excel&amp;utm_campaign=act_formato_excel&amp;utm_content=act_formato_excel_link" TargetMode="External"/><Relationship Id="rId610" Type="http://schemas.openxmlformats.org/officeDocument/2006/relationships/hyperlink" Target="https://actualicese.com/plantilla-de-los-formatos-exogena-por-el-ano-gravable-2020-reportes-de-los-mandatarios/?referer=L-excel-formato&amp;utm_medium=act_formato_excel&amp;utm_source=act_formato_excel&amp;utm_campaign=act_formato_excel&amp;utm_content=act_formato_excel_link" TargetMode="External"/><Relationship Id="rId694" Type="http://schemas.openxmlformats.org/officeDocument/2006/relationships/hyperlink" Target="https://actualicese.com/contrato-de-permuta-3/?referer=L-excel-formato&amp;utm_medium=act_formato_excel&amp;utm_source=act_formato_excel&amp;utm_campaign=act_formato_excel&amp;utm_content=act_formato_excel_link" TargetMode="External"/><Relationship Id="rId708" Type="http://schemas.openxmlformats.org/officeDocument/2006/relationships/hyperlink" Target="https://actualicese.com/formatos-de-analisis-financiero-en-excel/" TargetMode="External"/><Relationship Id="rId915" Type="http://schemas.openxmlformats.org/officeDocument/2006/relationships/hyperlink" Target="https://actualicese.com/demanda-de-nulidad-y-restablecimiento-del-derecho-contra-la-dian/?referer=L-excel-formato&amp;utm_medium=act_formato_excel&amp;utm_source=act_formato_excel&amp;utm_campaign=act_formato_excel&amp;utm_content=act_formato_excel_link" TargetMode="External"/><Relationship Id="rId1240" Type="http://schemas.openxmlformats.org/officeDocument/2006/relationships/hyperlink" Target="https://actualicese.com/lista-de-chequeo-de-revelaciones-seccion-19-combinaciones-de-negocio-y-plusvalia/?referer=L-excel-formato&amp;utm_medium=act_formato_excel&amp;utm_source=act_formato_excel&amp;utm_campaign=act_formato_excel&amp;utm_content=act_formato_excel_link" TargetMode="External"/><Relationship Id="rId1338" Type="http://schemas.openxmlformats.org/officeDocument/2006/relationships/hyperlink" Target="https://actualicese.com/ejercicios-de-conversion-caso-practico-para-la-elaboracion-del-esfa-en-pymes/?referer=L-excel-formato&amp;utm_medium=act_formato_excel&amp;utm_source=act_formato_excel&amp;utm_campaign=act_formato_excel&amp;utm_content=act_formato_excel_link" TargetMode="External"/><Relationship Id="rId1545" Type="http://schemas.openxmlformats.org/officeDocument/2006/relationships/hyperlink" Target="https://actualicese.com/resumen-de-las-categorias-de-informantes-de-exogena-por-el-ano-gravable-2013-y-los-formatos-que-deben-usar/?referer=L-excel-formato&amp;utm_medium=act_formato_excel&amp;utm_source=act_formato_excel&amp;utm_campaign=act_formato_excel&amp;utm_content=act_formato_excel_link" TargetMode="External"/><Relationship Id="rId2070" Type="http://schemas.openxmlformats.org/officeDocument/2006/relationships/hyperlink" Target="https://actualicese.com/dividendos-y-sus-retenciones-comparativo-de-normas-del-dut-1625-de-2016-modificadas-con-el-decreto-1103-de-2023/?referer=L-excel-formato&amp;utm_medium=act_formato_excel&amp;utm_source=act_formato_excel&amp;utm_campaign=act_formato_excel&amp;utm_content=act_formato_excel_link" TargetMode="External"/><Relationship Id="rId2168" Type="http://schemas.openxmlformats.org/officeDocument/2006/relationships/hyperlink" Target="https://actualicese.com/guia-en-excel-para-evitar-errores-en-la-presentacion-de-informacion-exogena/?referer=L-excel-formato&amp;utm_medium=act_formato_excel&amp;utm_source=act_formato_excel&amp;utm_campaign=act_formato_excel&amp;utm_content=act_formato_excel_link" TargetMode="External"/><Relationship Id="rId2375" Type="http://schemas.openxmlformats.org/officeDocument/2006/relationships/hyperlink" Target="https://actualicese.com/ejercicios-de-conversion-entre-tasas-de-interes-efectiva-nominal-y-periodica/?referer=L-excel-formato&amp;utm_medium=act_formato_excel&amp;utm_source=act_formato_excel&amp;utm_campaign=act_formato_excel&amp;utm_content=act_formato_excel_link" TargetMode="External"/><Relationship Id="rId347" Type="http://schemas.openxmlformats.org/officeDocument/2006/relationships/hyperlink" Target="https://actualicese.com/informe-de-compilacion-de-estados-financieros-con-fines-generales/?referer=L-excel-formato&amp;utm_medium=act_formato_excel&amp;utm_source=act_formato_excel&amp;utm_campaign=act_formato_excel&amp;utm_content=act_formato_excel_link" TargetMode="External"/><Relationship Id="rId999" Type="http://schemas.openxmlformats.org/officeDocument/2006/relationships/hyperlink" Target="https://actualicese.com/explotacion-de-areas-comunes-por-copropiedades-comerciales-o-mixtas/?referer=L-excel-formato&amp;utm_medium=act_formato_excel&amp;utm_source=act_formato_excel&amp;utm_campaign=act_formato_excel&amp;utm_content=act_formato_excel_link" TargetMode="External"/><Relationship Id="rId1100" Type="http://schemas.openxmlformats.org/officeDocument/2006/relationships/hyperlink" Target="https://actualicese.com/formularios-110-y-240-con-anexos-para-declaracion-de-renta-ano-gravable-2016/?referer=L-excel-formato&amp;utm_medium=act_formato_excel&amp;utm_source=act_formato_excel&amp;utm_campaign=act_formato_excel&amp;utm_content=act_formato_excel_link" TargetMode="External"/><Relationship Id="rId1184" Type="http://schemas.openxmlformats.org/officeDocument/2006/relationships/hyperlink" Target="https://actualicese.com/matriz-para-definir-categoria-en-monotributo-y-valor-a-pagar-en-2017-segun-reforma-tributaria/?referer=L-excel-formato&amp;utm_medium=act_formato_excel&amp;utm_source=act_formato_excel&amp;utm_campaign=act_formato_excel&amp;utm_content=act_formato_excel_link" TargetMode="External"/><Relationship Id="rId1405" Type="http://schemas.openxmlformats.org/officeDocument/2006/relationships/hyperlink" Target="https://actualicese.com/dictamen-revisor-fiscal-con-salvedades-segun-decreto-302-del-2015/?referer=L-excel-formato&amp;utm_medium=act_formato_excel&amp;utm_source=act_formato_excel&amp;utm_campaign=act_formato_excel&amp;utm_content=act_formato_excel_link" TargetMode="External"/><Relationship Id="rId1752" Type="http://schemas.openxmlformats.org/officeDocument/2006/relationships/hyperlink" Target="https://actualicese.com/acta-de-asamblea-general/?referer=L-excel-formato&amp;utm_medium=act_formato_excel&amp;utm_source=act_formato_excel&amp;utm_campaign=act_formato_excel&amp;utm_content=act_formato_excel_link" TargetMode="External"/><Relationship Id="rId2028" Type="http://schemas.openxmlformats.org/officeDocument/2006/relationships/hyperlink" Target="https://actualicese.com/sanciones-relacionadas-con-la-declaracion-informativa/?referer=L-excel-formato&amp;utm_medium=act_formato_excel&amp;utm_source=act_formato_excel&amp;utm_campaign=act_formato_excel&amp;utm_content=act_formato_excel_link" TargetMode="External"/><Relationship Id="rId44" Type="http://schemas.openxmlformats.org/officeDocument/2006/relationships/hyperlink" Target="https://actualicese.com/pack-de-formatos-paso-a-paso-para-gestionar-tus-finanzas-personales/?referer=L-excel-formato&amp;utm_medium=act_formato_excel&amp;utm_source=act_formato_excel&amp;utm_campaign=act_formato_excel&amp;utm_content=act_formato_excel_link" TargetMode="External"/><Relationship Id="rId554" Type="http://schemas.openxmlformats.org/officeDocument/2006/relationships/hyperlink" Target="https://actualicese.com/modelo-para-proyectar-el-presupuesto-de-un-encargo-de-auditoria-o-revisoria-fiscal/?referer=L-excel-formato&amp;utm_medium=act_formato_excel&amp;utm_source=act_formato_excel&amp;utm_campaign=act_formato_excel&amp;utm_content=act_formato_excel_link" TargetMode="External"/><Relationship Id="rId761" Type="http://schemas.openxmlformats.org/officeDocument/2006/relationships/hyperlink" Target="https://actualicese.com/solicitud-de-retiro-parcial-de-cesantias-con-ocasion-del-covid-19/?referer=L-excel-formato&amp;utm_medium=act_formato_excel&amp;utm_source=act_formato_excel&amp;utm_campaign=act_formato_excel&amp;utm_content=act_formato_excel_link" TargetMode="External"/><Relationship Id="rId859" Type="http://schemas.openxmlformats.org/officeDocument/2006/relationships/hyperlink" Target="https://actualicese.com/formato-exogena-1001-por-el-ano-gravable-2018-reporte-de-pagos-o-abonos-en-cuenta/?referer=L-excel-formato&amp;utm_medium=act_formato_excel&amp;utm_source=act_formato_excel&amp;utm_campaign=act_formato_excel&amp;utm_content=act_formato_excel_link" TargetMode="External"/><Relationship Id="rId1391" Type="http://schemas.openxmlformats.org/officeDocument/2006/relationships/hyperlink" Target="https://actualicese.com/lista-de-chequeo-de-revelaciones-nic-10-hechos-ocurridos-despues-del-periodo-sobre-el-que-se-informa/?referer=L-excel-formato&amp;utm_medium=act_formato_excel&amp;utm_source=act_formato_excel&amp;utm_campaign=act_formato_excel&amp;utm_content=act_formato_excel_link" TargetMode="External"/><Relationship Id="rId1489" Type="http://schemas.openxmlformats.org/officeDocument/2006/relationships/hyperlink" Target="https://actualicese.com/informe-de-gestion-ano-2014/?referer=L-excel-formato&amp;utm_medium=act_formato_excel&amp;utm_source=act_formato_excel&amp;utm_campaign=act_formato_excel&amp;utm_content=act_formato_excel_link" TargetMode="External"/><Relationship Id="rId1612" Type="http://schemas.openxmlformats.org/officeDocument/2006/relationships/hyperlink" Target="https://actualicese.com/excel-liquidador-de-jornadas-ordinarias-y-extraordinarias-de-trabajo-juan-m-beltran-v/?referer=L-excel-formato&amp;utm_medium=act_formato_excel&amp;utm_source=act_formato_excel&amp;utm_campaign=act_formato_excel&amp;utm_content=act_formato_excel_link" TargetMode="External"/><Relationship Id="rId1696" Type="http://schemas.openxmlformats.org/officeDocument/2006/relationships/hyperlink" Target="https://actualicese.com/liquidador-de-auxilio-de-incapacidad-aplicado-a-salario-variable-fijo-o-integral/?referer=L-excel-formato&amp;utm_medium=act_formato_excel&amp;utm_source=act_formato_excel&amp;utm_campaign=act_formato_excel&amp;utm_content=act_formato_excel_link" TargetMode="External"/><Relationship Id="rId1917" Type="http://schemas.openxmlformats.org/officeDocument/2006/relationships/hyperlink" Target="https://actualicese.com/modelo-de-un-proyecto-de-distribucion-de-utilidades-en-una-sociedad-comercial/?referer=L-excel-formato&amp;utm_medium=act_formato_excel&amp;utm_source=act_formato_excel&amp;utm_campaign=act_formato_excel&amp;utm_content=act_formato_excel_link" TargetMode="External"/><Relationship Id="rId2235" Type="http://schemas.openxmlformats.org/officeDocument/2006/relationships/hyperlink" Target="https://actualicese.com/liquidador-plantilla-del-formato-1004-de-exogena-de-2023-reporte-de-descuentos-al-impuesto-de-renta-y-el-simple/" TargetMode="External"/><Relationship Id="rId2442" Type="http://schemas.openxmlformats.org/officeDocument/2006/relationships/hyperlink" Target="https://actualicese.com/costo-de-la-contratacion-de-un-trabajador-que-devenga-un-salario-minimo-caso-practico/?referer=L-excel-formato&amp;utm_medium=act_formato_excel&amp;utm_source=act_formato_excel&amp;utm_campaign=act_formato_excel&amp;utm_content=act_formato_excel_link" TargetMode="External"/><Relationship Id="rId193" Type="http://schemas.openxmlformats.org/officeDocument/2006/relationships/hyperlink" Target="https://actualicese.com/formato-de-estado-de-flujos-de-efectivo/?referer=L-excel-formato&amp;utm_medium=act_formato_excel&amp;utm_source=act_formato_excel&amp;utm_campaign=act_formato_excel&amp;utm_content=act_formato_excel_link" TargetMode="External"/><Relationship Id="rId207" Type="http://schemas.openxmlformats.org/officeDocument/2006/relationships/hyperlink" Target="https://actualicese.com/simulador-de-impuesto-de-renta-de-personas-naturales-honorarios-o-compensacion-de-servicios-personales/?referer=L-excel-formato&amp;utm_medium=act_formato_excel&amp;utm_source=act_formato_excel&amp;utm_campaign=act_formato_excel&amp;utm_content=act_formato_excel_link" TargetMode="External"/><Relationship Id="rId414" Type="http://schemas.openxmlformats.org/officeDocument/2006/relationships/hyperlink" Target="https://actualicese.com/horas-diurnas-nocturnas-extras-dominicales-y-festivas/?referer=L-excel-formato&amp;utm_medium=act_formato_excel&amp;utm_source=act_formato_excel&amp;utm_campaign=act_formato_excel&amp;utm_content=act_formato_excel_link" TargetMode="External"/><Relationship Id="rId498" Type="http://schemas.openxmlformats.org/officeDocument/2006/relationships/hyperlink" Target="https://actualicese.com/casos-practicos-en-excel-sobre-impuesto-diferido-para-el-cierre-contable-y-fiscal-de-2021/?referer=L-excel-formato&amp;utm_medium=act_formato_excel&amp;utm_source=act_formato_excel&amp;utm_campaign=act_formato_excel&amp;utm_content=act_formato_excel_link" TargetMode="External"/><Relationship Id="rId621" Type="http://schemas.openxmlformats.org/officeDocument/2006/relationships/hyperlink" Target="https://actualicese.com/plantilla-del-formato-exogena-1001-por-el-ano-gravable-2020-reporte-de-pagos-o-abonos-en-cuenta/?referer=L-excel-formato&amp;utm_medium=act_formato_excel&amp;utm_source=act_formato_excel&amp;utm_campaign=act_formato_excel&amp;utm_content=act_formato_excel_link" TargetMode="External"/><Relationship Id="rId1044" Type="http://schemas.openxmlformats.org/officeDocument/2006/relationships/hyperlink" Target="https://actualicese.com/solicitud-de-pruebas-extraprocesales/?referer=L-excel-formato&amp;utm_medium=act_formato_excel&amp;utm_source=act_formato_excel&amp;utm_campaign=act_formato_excel&amp;utm_content=act_formato_excel_link" TargetMode="External"/><Relationship Id="rId1251" Type="http://schemas.openxmlformats.org/officeDocument/2006/relationships/hyperlink" Target="https://actualicese.com/modelo-del-certificado-anual-a-socios-yo-accionistas-por-el-ano-gravable-2015/?referer=L-excel-formato&amp;utm_medium=act_formato_excel&amp;utm_source=act_formato_excel&amp;utm_campaign=act_formato_excel&amp;utm_content=act_formato_excel_link" TargetMode="External"/><Relationship Id="rId1349" Type="http://schemas.openxmlformats.org/officeDocument/2006/relationships/hyperlink" Target="https://actualicese.com/formato-auditoria-del-disponible/?referer=L-excel-formato&amp;utm_medium=act_formato_excel&amp;utm_source=act_formato_excel&amp;utm_campaign=act_formato_excel&amp;utm_content=act_formato_excel_link" TargetMode="External"/><Relationship Id="rId2081" Type="http://schemas.openxmlformats.org/officeDocument/2006/relationships/hyperlink" Target="https://actualicese.com/utilidad-por-venta-de-activo-fijo-depreciable-que-sera-renta-por-recuperacion-de-deducciones/?referer=L-excel-formato&amp;utm_medium=act_formato_excel&amp;utm_source=act_formato_excel&amp;utm_campaign=act_formato_excel&amp;utm_content=act_formato_excel_link" TargetMode="External"/><Relationship Id="rId2179" Type="http://schemas.openxmlformats.org/officeDocument/2006/relationships/hyperlink" Target="https://actualicese.com/lista-de-chequeo-de-documentos-presentados-en-asamblea-de-accionistas-o-junta-de-socios/?referer=L-excel-formato&amp;utm_medium=act_formato_excel&amp;utm_source=act_formato_excel&amp;utm_campaign=act_formato_excel&amp;utm_content=act_formato_excel_link" TargetMode="External"/><Relationship Id="rId2302" Type="http://schemas.openxmlformats.org/officeDocument/2006/relationships/hyperlink" Target="https://actualicese.com/carta-de-renuncia/?referer=L-excel-formato&amp;utm_medium=act_formato_excel&amp;utm_source=act_formato_excel&amp;utm_campaign=act_formato_excel&amp;utm_content=act_formato_excel_link" TargetMode="External"/><Relationship Id="rId260" Type="http://schemas.openxmlformats.org/officeDocument/2006/relationships/hyperlink" Target="https://actualicese.com/simulador-del-impuesto-para-dividendos-y-participaciones-no-gravados-de-2017-y-siguientes/?referer=L-excel-formato&amp;utm_medium=act_formato_excel&amp;utm_source=act_formato_excel&amp;utm_campaign=act_formato_excel&amp;utm_content=act_formato_excel_link" TargetMode="External"/><Relationship Id="rId719" Type="http://schemas.openxmlformats.org/officeDocument/2006/relationships/hyperlink" Target="https://actualicese.com/contrato-de-aprendizaje-certificado-de-desempeno-y-descripcion-de-logros-en-la-etapa-practica/?referer=L-excel-formato&amp;utm_medium=act_formato_excel&amp;utm_source=act_formato_excel&amp;utm_campaign=act_formato_excel&amp;utm_content=act_formato_excel_link" TargetMode="External"/><Relationship Id="rId926" Type="http://schemas.openxmlformats.org/officeDocument/2006/relationships/hyperlink" Target="https://actualicese.com/resoluciones-y-circulares-para-declaracion-de-renta-de-personas-naturales-ano-gravable-2017/?referer=L-excel-formato&amp;utm_medium=act_formato_excel&amp;utm_source=act_formato_excel&amp;utm_campaign=act_formato_excel&amp;utm_content=act_formato_excel_link" TargetMode="External"/><Relationship Id="rId1111" Type="http://schemas.openxmlformats.org/officeDocument/2006/relationships/hyperlink" Target="https://actualicese.com/manifestacion-de-temas-a-tratar-en-informes-de-control-interno/?referer=L-excel-formato&amp;utm_medium=act_formato_excel&amp;utm_source=act_formato_excel&amp;utm_campaign=act_formato_excel&amp;utm_content=act_formato_excel_link" TargetMode="External"/><Relationship Id="rId1556" Type="http://schemas.openxmlformats.org/officeDocument/2006/relationships/hyperlink" Target="https://actualicese.com/requisitos-para-pertenecer-al-regimen-simplificado-en-el-2014/?referer=L-excel-formato&amp;utm_medium=act_formato_excel&amp;utm_source=act_formato_excel&amp;utm_campaign=act_formato_excel&amp;utm_content=act_formato_excel_link" TargetMode="External"/><Relationship Id="rId1763" Type="http://schemas.openxmlformats.org/officeDocument/2006/relationships/hyperlink" Target="https://actualicese.com/aportes-a-seguridad-social-para-trabajadores-independientes/?referer=L-excel-formato&amp;utm_medium=act_formato_excel&amp;utm_source=act_formato_excel&amp;utm_campaign=act_formato_excel&amp;utm_content=act_formato_excel_link" TargetMode="External"/><Relationship Id="rId1970" Type="http://schemas.openxmlformats.org/officeDocument/2006/relationships/hyperlink" Target="https://actualicese.com/modelo-para-la-elaboracion-del-estado-de-cambios-en-el-patrimonio/?referer=L-excel-formato&amp;utm_medium=act_formato_excel&amp;utm_source=act_formato_excel&amp;utm_campaign=act_formato_excel&amp;utm_content=act_formato_excel_link" TargetMode="External"/><Relationship Id="rId2386" Type="http://schemas.openxmlformats.org/officeDocument/2006/relationships/hyperlink" Target="https://actualicese.com/caso-practico-en-excel-utilidad-del-impuesto-diferido-en-la-correccion-del-efecto-de-las-normas-fiscales/?referer=L-excel-formato&amp;utm_medium=act_formato_excel&amp;utm_source=act_formato_excel&amp;utm_campaign=act_formato_excel&amp;utm_content=act_formato_excel_link" TargetMode="External"/><Relationship Id="rId55" Type="http://schemas.openxmlformats.org/officeDocument/2006/relationships/hyperlink" Target="https://actualicese.com/modelo-de-llamado-de-atencion/?referer=L-excel-formato&amp;utm_medium=act_formato_excel&amp;utm_source=act_formato_excel&amp;utm_campaign=act_formato_excel&amp;utm_content=act_formato_excel_link" TargetMode="External"/><Relationship Id="rId120" Type="http://schemas.openxmlformats.org/officeDocument/2006/relationships/hyperlink" Target="https://actualicese.com/contabilizacion-de-sobregiros-bancarios-caso-practico/?referer=L-excel-formato&amp;utm_medium=act_formato_excel&amp;utm_source=act_formato_excel&amp;utm_campaign=act_formato_excel&amp;utm_content=act_formato_excel_link" TargetMode="External"/><Relationship Id="rId358" Type="http://schemas.openxmlformats.org/officeDocument/2006/relationships/hyperlink" Target="https://actualicese.com/cesion-y-venta-de-cuotas-sociales-a-extranos-a-la-sociedad-ltda/?referer=L-excel-formato&amp;utm_medium=act_formato_excel&amp;utm_source=act_formato_excel&amp;utm_campaign=act_formato_excel&amp;utm_content=act_formato_excel_link" TargetMode="External"/><Relationship Id="rId565" Type="http://schemas.openxmlformats.org/officeDocument/2006/relationships/hyperlink" Target="https://actualicese.com/poder-especial-para-el-tramite-de-solicitud-de-reconocimiento-y-pago-de-la-pension-de-sobrevivencia/?referer=L-excel-formato&amp;utm_medium=act_formato_excel&amp;utm_source=act_formato_excel&amp;utm_campaign=act_formato_excel&amp;utm_content=act_formato_excel_link" TargetMode="External"/><Relationship Id="rId772" Type="http://schemas.openxmlformats.org/officeDocument/2006/relationships/hyperlink" Target="https://actualicese.com/formato-exogena-1001-por-el-ano-gravable-2019-reporte-de-pagos-o-abonos-en-cuenta/?referer=L-excel-formato&amp;utm_medium=act_formato_excel&amp;utm_source=act_formato_excel&amp;utm_campaign=act_formato_excel&amp;utm_content=act_formato_excel_link" TargetMode="External"/><Relationship Id="rId1195" Type="http://schemas.openxmlformats.org/officeDocument/2006/relationships/hyperlink" Target="https://actualicese.com/formato-autorizacion-permiso-de-salida-del-pais-para-menores/?referer=L-excel-formato&amp;utm_medium=act_formato_excel&amp;utm_source=act_formato_excel&amp;utm_campaign=act_formato_excel&amp;utm_content=act_formato_excel_link" TargetMode="External"/><Relationship Id="rId1209" Type="http://schemas.openxmlformats.org/officeDocument/2006/relationships/hyperlink" Target="https://actualicese.com/esfa-y-estados-financieros-2015-y-2016-caso-practico/?referer=L-excel-formato&amp;utm_medium=act_formato_excel&amp;utm_source=act_formato_excel&amp;utm_campaign=act_formato_excel&amp;utm_content=act_formato_excel_link" TargetMode="External"/><Relationship Id="rId1416" Type="http://schemas.openxmlformats.org/officeDocument/2006/relationships/hyperlink" Target="https://actualicese.com/amortizacion-de-contrato-de-leasing/?referer=L-excel-formato&amp;utm_medium=act_formato_excel&amp;utm_source=act_formato_excel&amp;utm_campaign=act_formato_excel&amp;utm_content=act_formato_excel_link" TargetMode="External"/><Relationship Id="rId1623" Type="http://schemas.openxmlformats.org/officeDocument/2006/relationships/hyperlink" Target="https://actualicese.com/word-acta-de-asamblea-ordinaria-de-socios-o-accionistas/?referer=L-excel-formato&amp;utm_medium=act_formato_excel&amp;utm_source=act_formato_excel&amp;utm_campaign=act_formato_excel&amp;utm_content=act_formato_excel_link" TargetMode="External"/><Relationship Id="rId1830" Type="http://schemas.openxmlformats.org/officeDocument/2006/relationships/hyperlink" Target="https://actualicese.com/liquidador-de-seguridad-social-parafiscales-y-prestaciones-en-vacaciones/?referer=L-excel-formato&amp;utm_medium=act_formato_excel&amp;utm_source=act_formato_excel&amp;utm_campaign=act_formato_excel&amp;utm_content=act_formato_excel_link" TargetMode="External"/><Relationship Id="rId2039" Type="http://schemas.openxmlformats.org/officeDocument/2006/relationships/hyperlink" Target="https://actualicese.com/caso-practico-en-excel-impuesto-diferido-por-deterioro-de-inventario/?referer=L-excel-formato&amp;utm_medium=act_formato_excel&amp;utm_source=act_formato_excel&amp;utm_campaign=act_formato_excel&amp;utm_content=act_formato_excel_link" TargetMode="External"/><Relationship Id="rId2246" Type="http://schemas.openxmlformats.org/officeDocument/2006/relationships/hyperlink" Target="https://actualicese.com/pack-de-formatos-15-herramientas-que-te-facilitaran-la-declaracion-de-renta-de-personas-juridicas-ag-2023/?referer=L-excel-formato&amp;utm_medium=act_formato_excel&amp;utm_source=act_formato_excel&amp;utm_campaign=act_formato_excel&amp;utm_content=act_formato_excel_link" TargetMode="External"/><Relationship Id="rId2453" Type="http://schemas.openxmlformats.org/officeDocument/2006/relationships/hyperlink" Target="https://actualicese.com/liquidador-y-caso-practico-para-calcular-y-contabilizar-horas-extra-y-recargos-durante-la-reduccion-de-la-jornada-laboral-en-2025-a-46-horas/?referer=L-excel-formato&amp;utm_medium=act_formato_excel&amp;utm_source=act_formato_excel&amp;utm_campaign=act_formato_excel&amp;utm_content=act_formato_excel_link" TargetMode="External"/><Relationship Id="rId218" Type="http://schemas.openxmlformats.org/officeDocument/2006/relationships/hyperlink" Target="https://actualicese.com/modelo-de-solicitud-de-permiso-para-autorizar-el-trabajo-en-horas-extra/?referer=L-excel-formato&amp;utm_medium=act_formato_excel&amp;utm_source=act_formato_excel&amp;utm_campaign=act_formato_excel&amp;utm_content=act_formato_excel_link" TargetMode="External"/><Relationship Id="rId425" Type="http://schemas.openxmlformats.org/officeDocument/2006/relationships/hyperlink" Target="https://actualicese.com/simulador-en-excel-para-realizar-la-liquidacion-de-contratos-de-trabajo/?referer=L-excel-formato&amp;utm_medium=act_formato_excel&amp;utm_source=act_formato_excel&amp;utm_campaign=act_formato_excel&amp;utm_content=act_formato_excel_link" TargetMode="External"/><Relationship Id="rId632" Type="http://schemas.openxmlformats.org/officeDocument/2006/relationships/hyperlink" Target="https://actualicese.com/dictamenes-e-informes-del-revisor-fiscal-actualizados-al-2022/?referer=L-excel-formato&amp;utm_medium=act_formato_excel&amp;utm_source=act_formato_excel&amp;utm_campaign=act_formato_excel&amp;utm_content=act_formato_excel_link" TargetMode="External"/><Relationship Id="rId1055" Type="http://schemas.openxmlformats.org/officeDocument/2006/relationships/hyperlink" Target="https://actualicese.com/zomac-listado-automatizado-de-municipios-pertenecientes-a-estas-zonas/?referer=L-excel-formato&amp;utm_medium=act_formato_excel&amp;utm_source=act_formato_excel&amp;utm_campaign=act_formato_excel&amp;utm_content=act_formato_excel_link" TargetMode="External"/><Relationship Id="rId1262" Type="http://schemas.openxmlformats.org/officeDocument/2006/relationships/hyperlink" Target="https://actualicese.com/lista-de-chequeo-de-revelaciones-seccion-4-estado-de-situacion-financiera/?referer=L-excel-formato&amp;utm_medium=act_formato_excel&amp;utm_source=act_formato_excel&amp;utm_campaign=act_formato_excel&amp;utm_content=act_formato_excel_link" TargetMode="External"/><Relationship Id="rId1928" Type="http://schemas.openxmlformats.org/officeDocument/2006/relationships/hyperlink" Target="https://actualicese.com/cuestionario-de-auditoria-para-el-area-de-compras/?referer=L-excel-formato&amp;utm_medium=act_formato_excel&amp;utm_source=act_formato_excel&amp;utm_campaign=act_formato_excel&amp;utm_content=act_formato_excel_link" TargetMode="External"/><Relationship Id="rId2092" Type="http://schemas.openxmlformats.org/officeDocument/2006/relationships/hyperlink" Target="https://actualicese.com/valor-patrimonial-de-acciones-y-aportes-en-la-declaracion-de-renta-de-personas-naturales-ag-2022/?referer=L-excel-formato&amp;utm_medium=act_formato_excel&amp;utm_source=act_formato_excel&amp;utm_campaign=act_formato_excel&amp;utm_content=act_formato_excel_link" TargetMode="External"/><Relationship Id="rId2106" Type="http://schemas.openxmlformats.org/officeDocument/2006/relationships/hyperlink" Target="https://actualicese.com/formulario-160-ag-2023-para-la-declaracion-de-activos-en-el-exterior/?referer=L-excel-formato&amp;utm_medium=act_formato_excel&amp;utm_source=act_formato_excel&amp;utm_campaign=act_formato_excel&amp;utm_content=act_formato_excel_link" TargetMode="External"/><Relationship Id="rId2313" Type="http://schemas.openxmlformats.org/officeDocument/2006/relationships/hyperlink" Target="https://actualicese.com/caso-practico-de-contabilizacion-de-un-prestamo-bancario-en-pymes-y-microempresas/?referer=L-excel-formato&amp;utm_medium=act_formato_excel&amp;utm_source=act_formato_excel&amp;utm_campaign=act_formato_excel&amp;utm_content=act_formato_excel_link" TargetMode="External"/><Relationship Id="rId271" Type="http://schemas.openxmlformats.org/officeDocument/2006/relationships/hyperlink" Target="https://actualicese.com/depuracion-de-la-seccion-de-rentas-no-laborales-del-formulario-210-caso-practico-en-excel/?referer=L-excel-formato&amp;utm_medium=act_formato_excel&amp;utm_source=act_formato_excel&amp;utm_campaign=act_formato_excel&amp;utm_content=act_formato_excel_link" TargetMode="External"/><Relationship Id="rId937" Type="http://schemas.openxmlformats.org/officeDocument/2006/relationships/hyperlink" Target="https://actualicese.com/requisitos-para-que-persona-natural-quede-exonerada-de-declarar-renta-por-el-ano-gravable-2017/?referer=L-excel-formato&amp;utm_medium=act_formato_excel&amp;utm_source=act_formato_excel&amp;utm_campaign=act_formato_excel&amp;utm_content=act_formato_excel_link" TargetMode="External"/><Relationship Id="rId1122" Type="http://schemas.openxmlformats.org/officeDocument/2006/relationships/hyperlink" Target="https://actualicese.com/formato-1004-por-2016-reporte-de-descuentos-al-impuesto-de-renta-o-de-ganancia-ocasional/?referer=L-excel-formato&amp;utm_medium=act_formato_excel&amp;utm_source=act_formato_excel&amp;utm_campaign=act_formato_excel&amp;utm_content=act_formato_excel_link" TargetMode="External"/><Relationship Id="rId1567" Type="http://schemas.openxmlformats.org/officeDocument/2006/relationships/hyperlink" Target="https://actualicese.com/circular-a-contratistas-por-pago-de-seguridad-social/?referer=L-excel-formato&amp;utm_medium=act_formato_excel&amp;utm_source=act_formato_excel&amp;utm_campaign=act_formato_excel&amp;utm_content=act_formato_excel_link" TargetMode="External"/><Relationship Id="rId1774" Type="http://schemas.openxmlformats.org/officeDocument/2006/relationships/hyperlink" Target="https://actualicese.com/tablas-de-retencion-en-la-fuente-2023-a-titulo-de-impuestos-nacionales/?referer=L-excel-formato&amp;utm_medium=act_formato_excel&amp;utm_source=act_formato_excel&amp;utm_campaign=act_formato_excel&amp;utm_content=act_formato_excel_link" TargetMode="External"/><Relationship Id="rId1981" Type="http://schemas.openxmlformats.org/officeDocument/2006/relationships/hyperlink" Target="https://actualicese.com/derecho-de-peticion-para-solicitar-certificado-laboral/?referer=L-excel-formato&amp;utm_medium=act_formato_excel&amp;utm_source=act_formato_excel&amp;utm_campaign=act_formato_excel&amp;utm_content=act_formato_excel_link" TargetMode="External"/><Relationship Id="rId2397" Type="http://schemas.openxmlformats.org/officeDocument/2006/relationships/hyperlink" Target="https://actualicese.com/simulador-con-las-diferencias-permanentes-temporales-y-temporarias-efectos-en-la-utilidad-contable-y-fiscal/?referer=L-excel-formato&amp;utm_medium=act_formato_excel&amp;utm_source=act_formato_excel&amp;utm_campaign=act_formato_excel&amp;utm_content=act_formato_excel_link" TargetMode="External"/><Relationship Id="rId66" Type="http://schemas.openxmlformats.org/officeDocument/2006/relationships/hyperlink" Target="https://actualicese.com/lista-de-chequeo-para-efectuar-el-cierre-contable-y-fiscal-de-una-entidad/?referer=L-excel-formato&amp;utm_medium=act_formato_excel&amp;utm_source=act_formato_excel&amp;utm_campaign=act_formato_excel&amp;utm_content=act_formato_excel_link" TargetMode="External"/><Relationship Id="rId131" Type="http://schemas.openxmlformats.org/officeDocument/2006/relationships/hyperlink" Target="https://actualicese.com/solicitud-acuerdo-de-pago-para-saldar-obligacion-financiera/?referer=L-excel-formato&amp;utm_medium=act_formato_excel&amp;utm_source=act_formato_excel&amp;utm_campaign=act_formato_excel&amp;utm_content=act_formato_excel_link" TargetMode="External"/><Relationship Id="rId369" Type="http://schemas.openxmlformats.org/officeDocument/2006/relationships/hyperlink" Target="https://actualicese.com/acta-asamblea-o-junta-extraordinaria-por-cambio-de-revisor-fiscal-renuncia-o-revocatoria/?referer=L-excel-formato&amp;utm_medium=act_formato_excel&amp;utm_source=act_formato_excel&amp;utm_campaign=act_formato_excel&amp;utm_content=act_formato_excel_link" TargetMode="External"/><Relationship Id="rId576" Type="http://schemas.openxmlformats.org/officeDocument/2006/relationships/hyperlink" Target="https://actualicese.com/formulario-110-ag-2020-declaracion-de-renta-de-personas-naturales-no-residentes-que-no-llevan-contabilidad/?referer=L-excel-formato&amp;utm_medium=act_formato_excel&amp;utm_source=act_formato_excel&amp;utm_campaign=act_formato_excel&amp;utm_content=act_formato_excel_link" TargetMode="External"/><Relationship Id="rId783" Type="http://schemas.openxmlformats.org/officeDocument/2006/relationships/hyperlink" Target="https://actualicese.com/sanciones-relacionadas-con-la-documentacion-comprobatoria/?referer=L-excel-formato&amp;utm_medium=act_formato_excel&amp;utm_source=act_formato_excel&amp;utm_campaign=act_formato_excel&amp;utm_content=act_formato_excel_link" TargetMode="External"/><Relationship Id="rId990" Type="http://schemas.openxmlformats.org/officeDocument/2006/relationships/hyperlink" Target="https://actualicese.com/formatos-2276-2278-y-2280-para-el-reporte-de-informacion-exogena-por-2017/?referer=L-excel-formato&amp;utm_medium=act_formato_excel&amp;utm_source=act_formato_excel&amp;utm_campaign=act_formato_excel&amp;utm_content=act_formato_excel_link" TargetMode="External"/><Relationship Id="rId1427" Type="http://schemas.openxmlformats.org/officeDocument/2006/relationships/hyperlink" Target="https://actualicese.com/modelos-y-formatos-contrato-de-prestacion-de-servicios/?referer=L-excel-formato&amp;utm_medium=act_formato_excel&amp;utm_source=act_formato_excel&amp;utm_campaign=act_formato_excel&amp;utm_content=act_formato_excel_link" TargetMode="External"/><Relationship Id="rId1634" Type="http://schemas.openxmlformats.org/officeDocument/2006/relationships/hyperlink" Target="https://actualicese.com/amortizacion-de-contrato-de-leasing/?referer=L-excel-formato&amp;utm_medium=act_formato_excel&amp;utm_source=act_formato_excel&amp;utm_campaign=act_formato_excel&amp;utm_content=act_formato_excel_link" TargetMode="External"/><Relationship Id="rId1841" Type="http://schemas.openxmlformats.org/officeDocument/2006/relationships/hyperlink" Target="https://actualicese.com/plantilla-para-el-control-de-entrega-de-dotacion-a-empleados/?referer=L-excel-formato&amp;utm_medium=act_formato_excel&amp;utm_source=act_formato_excel&amp;utm_campaign=act_formato_excel&amp;utm_content=act_formato_excel_link" TargetMode="External"/><Relationship Id="rId2257" Type="http://schemas.openxmlformats.org/officeDocument/2006/relationships/hyperlink" Target="https://actualicese.com/liquidador-excel-del-formulario-2593-ag-2024-declaracion-de-anticipos-bimestrales-regimen-simple/?referer=L-excel-formato&amp;utm_medium=act_formato_excel&amp;utm_source=act_formato_excel&amp;utm_campaign=act_formato_excel&amp;utm_content=act_formato_excel_link" TargetMode="External"/><Relationship Id="rId229" Type="http://schemas.openxmlformats.org/officeDocument/2006/relationships/hyperlink" Target="https://actualicese.com/formulario-110-y-formato-2516-ag-2021-declaracion-de-renta-de-personas-naturales-no-residentes-que-llevan-contabilidad/?referer=L-excel-formato&amp;utm_medium=act_formato_excel&amp;utm_source=act_formato_excel&amp;utm_campaign=act_formato_excel&amp;utm_content=act_formato_excel_link" TargetMode="External"/><Relationship Id="rId436" Type="http://schemas.openxmlformats.org/officeDocument/2006/relationships/hyperlink" Target="https://actualicese.com/convertidor-de-uvt/?referer=L-excel-formato&amp;utm_medium=act_formato_excel&amp;utm_source=act_formato_excel&amp;utm_campaign=act_formato_excel&amp;utm_content=act_formato_excel_link" TargetMode="External"/><Relationship Id="rId643" Type="http://schemas.openxmlformats.org/officeDocument/2006/relationships/hyperlink" Target="https://actualicese.com/plantilla-en-excel-para-diligenciar-el-formulario-350-de-retencion-en-la-fuente-en-2021/?referer=L-excel-formato&amp;utm_medium=act_formato_excel&amp;utm_source=act_formato_excel&amp;utm_campaign=act_formato_excel&amp;utm_content=act_formato_excel_link" TargetMode="External"/><Relationship Id="rId1066" Type="http://schemas.openxmlformats.org/officeDocument/2006/relationships/hyperlink" Target="https://actualicese.com/contrato-de-outsourcing/?referer=L-excel-formato&amp;utm_medium=act_formato_excel&amp;utm_source=act_formato_excel&amp;utm_campaign=act_formato_excel&amp;utm_content=act_formato_excel_link" TargetMode="External"/><Relationship Id="rId1273" Type="http://schemas.openxmlformats.org/officeDocument/2006/relationships/hyperlink" Target="https://actualicese.com/finalizacion-del-contrato-por-parte-del-arrendatario-por-vencimiento-del-contrato/?referer=L-excel-formato&amp;utm_medium=act_formato_excel&amp;utm_source=act_formato_excel&amp;utm_campaign=act_formato_excel&amp;utm_content=act_formato_excel_link" TargetMode="External"/><Relationship Id="rId1480" Type="http://schemas.openxmlformats.org/officeDocument/2006/relationships/hyperlink" Target="https://actualicese.com/preguntas-para-clasificacion-de-empresas-en-grupos-de-convergencia/?referer=L-excel-formato&amp;utm_medium=act_formato_excel&amp;utm_source=act_formato_excel&amp;utm_campaign=act_formato_excel&amp;utm_content=act_formato_excel_link" TargetMode="External"/><Relationship Id="rId1939" Type="http://schemas.openxmlformats.org/officeDocument/2006/relationships/hyperlink" Target="https://actualicese.com/codigos-de-responsabilidades-tributarias-rut-casilla-53/?referer=L-excel-formato&amp;utm_medium=act_formato_excel&amp;utm_source=act_formato_excel&amp;utm_campaign=act_formato_excel&amp;utm_content=act_formato_excel_link" TargetMode="External"/><Relationship Id="rId2117" Type="http://schemas.openxmlformats.org/officeDocument/2006/relationships/hyperlink" Target="https://actualicese.com/responsabilidad-en-seguridad-social-de-trabajadores-independientes/?referer=L-excel-formato&amp;utm_medium=act_formato_excel&amp;utm_source=act_formato_excel&amp;utm_campaign=act_formato_excel&amp;utm_content=act_formato_excel_link" TargetMode="External"/><Relationship Id="rId2324" Type="http://schemas.openxmlformats.org/officeDocument/2006/relationships/hyperlink" Target="https://actualicese.com/liquidador-en-excel-sobre-efectos-fiscales-de-escriturar-bienes-inmuebles-por-debajo-del-valor-comercial/?referer=L-excel-formato&amp;utm_medium=act_formato_excel&amp;utm_source=act_formato_excel&amp;utm_campaign=act_formato_excel&amp;utm_content=act_formato_excel_link" TargetMode="External"/><Relationship Id="rId850" Type="http://schemas.openxmlformats.org/officeDocument/2006/relationships/hyperlink" Target="https://actualicese.com/formato-exogena-5253-por-el-ano-gravable-2018-informacion-de-los-beneficiarios-efectivos/?referer=L-excel-formato&amp;utm_medium=act_formato_excel&amp;utm_source=act_formato_excel&amp;utm_campaign=act_formato_excel&amp;utm_content=act_formato_excel_link" TargetMode="External"/><Relationship Id="rId948" Type="http://schemas.openxmlformats.org/officeDocument/2006/relationships/hyperlink" Target="https://actualicese.com/doctrinas-de-la-dian-para-tener-en-cuenta-al-elaborar-declaracion-de-renta-personas-naturales-2017/?referer=L-excel-formato&amp;utm_medium=act_formato_excel&amp;utm_source=act_formato_excel&amp;utm_campaign=act_formato_excel&amp;utm_content=act_formato_excel_link" TargetMode="External"/><Relationship Id="rId1133" Type="http://schemas.openxmlformats.org/officeDocument/2006/relationships/hyperlink" Target="https://actualicese.com/dictamen-de-la-revisoria-fiscal-para-una-empresa-del-grupo-2-por-el-ano-2016/?referer=L-excel-formato&amp;utm_medium=act_formato_excel&amp;utm_source=act_formato_excel&amp;utm_campaign=act_formato_excel&amp;utm_content=act_formato_excel_link" TargetMode="External"/><Relationship Id="rId1578" Type="http://schemas.openxmlformats.org/officeDocument/2006/relationships/hyperlink" Target="https://actualicese.com/cuadro-sinoptico-sobre-quienes-deben-actuar-como-agentes-de-retencion-de-iva-y-con-que-tarifas/?referer=L-excel-formato&amp;utm_medium=act_formato_excel&amp;utm_source=act_formato_excel&amp;utm_campaign=act_formato_excel&amp;utm_content=act_formato_excel_link" TargetMode="External"/><Relationship Id="rId1701" Type="http://schemas.openxmlformats.org/officeDocument/2006/relationships/hyperlink" Target="https://actualicese.com/simulador-en-excel-para-realizar-la-liquidacion-de-contratos-de-trabajo/?referer=L-excel-formato&amp;utm_medium=act_formato_excel&amp;utm_source=act_formato_excel&amp;utm_campaign=act_formato_excel&amp;utm_content=act_formato_excel_link" TargetMode="External"/><Relationship Id="rId1785" Type="http://schemas.openxmlformats.org/officeDocument/2006/relationships/hyperlink" Target="https://actualicese.com/informe-de-auditoria-sobre-un-solo-estado-financiero-elemento-partida-o-cuenta-especificos/?referer=L-excel-formato&amp;utm_medium=act_formato_excel&amp;utm_source=act_formato_excel&amp;utm_campaign=act_formato_excel&amp;utm_content=act_formato_excel_link" TargetMode="External"/><Relationship Id="rId1992" Type="http://schemas.openxmlformats.org/officeDocument/2006/relationships/hyperlink" Target="https://actualicese.com/caso-practico-en-excel-sobre-bancarizacion-en-personas-juridicas/?referer=L-excel-formato&amp;utm_medium=act_formato_excel&amp;utm_source=act_formato_excel&amp;utm_campaign=act_formato_excel&amp;utm_content=act_formato_excel_link" TargetMode="External"/><Relationship Id="rId77" Type="http://schemas.openxmlformats.org/officeDocument/2006/relationships/hyperlink" Target="https://actualicese.com/politica-de-pago-a-proveedores-y-plantilla-de-control-de-cuentas-por-pagar/?referer=L-excel-formato&amp;utm_medium=act_formato_excel&amp;utm_source=act_formato_excel&amp;utm_campaign=act_formato_excel&amp;utm_content=act_formato_excel_link" TargetMode="External"/><Relationship Id="rId282" Type="http://schemas.openxmlformats.org/officeDocument/2006/relationships/hyperlink" Target="https://actualicese.com/plantilla-de-los-formatos-1005-y-1006-para-el-reporte-de-exogena-2021-reportes-de-iva-generados-y-descontables/?referer=L-excel-formato&amp;utm_medium=act_formato_excel&amp;utm_source=act_formato_excel&amp;utm_campaign=act_formato_excel&amp;utm_content=act_formato_excel_link" TargetMode="External"/><Relationship Id="rId503" Type="http://schemas.openxmlformats.org/officeDocument/2006/relationships/hyperlink" Target="https://actualicese.com/cuadro-tematico-con-los-cambios-introducidos-por-la-ley-de-inversion-social-2155-de-2021/?referer=L-excel-formato&amp;utm_medium=act_formato_excel&amp;utm_source=act_formato_excel&amp;utm_campaign=act_formato_excel&amp;utm_content=act_formato_excel_link" TargetMode="External"/><Relationship Id="rId587" Type="http://schemas.openxmlformats.org/officeDocument/2006/relationships/hyperlink" Target="https://actualicese.com/notificacion-a-trabajadores-que-no-tienen-derecho-a-la-prima-de-servicios/?referer=L-excel-formato&amp;utm_medium=act_formato_excel&amp;utm_source=act_formato_excel&amp;utm_campaign=act_formato_excel&amp;utm_content=act_formato_excel_link" TargetMode="External"/><Relationship Id="rId710" Type="http://schemas.openxmlformats.org/officeDocument/2006/relationships/hyperlink" Target="https://actualicese.com/impuesto-diferido-cuando-hay-compensacion-de-perdidas-fiscales/?referer=L-excel-formato&amp;utm_medium=act_formato_excel&amp;utm_source=act_formato_excel&amp;utm_campaign=act_formato_excel&amp;utm_content=act_formato_excel_link" TargetMode="External"/><Relationship Id="rId808" Type="http://schemas.openxmlformats.org/officeDocument/2006/relationships/hyperlink" Target="https://actualicese.com/aportes-a-seguridad-social-para-trabajadores-independientes-con-un-contrato-por-dias/?referer=L-excel-formato&amp;utm_medium=act_formato_excel&amp;utm_source=act_formato_excel&amp;utm_campaign=act_formato_excel&amp;utm_content=act_formato_excel_link" TargetMode="External"/><Relationship Id="rId1340" Type="http://schemas.openxmlformats.org/officeDocument/2006/relationships/hyperlink" Target="https://actualicese.com/cuestionario-para-la-revision-y-evaluacion-del-sistema-de-control-interno/?referer=L-excel-formato&amp;utm_medium=act_formato_excel&amp;utm_source=act_formato_excel&amp;utm_campaign=act_formato_excel&amp;utm_content=act_formato_excel_link" TargetMode="External"/><Relationship Id="rId1438" Type="http://schemas.openxmlformats.org/officeDocument/2006/relationships/hyperlink" Target="https://actualicese.com/modelo-basico-para-la-elaboracion-de-la-nomina-para-pago-de-salarios/?referer=L-excel-formato&amp;utm_medium=act_formato_excel&amp;utm_source=act_formato_excel&amp;utm_campaign=act_formato_excel&amp;utm_content=act_formato_excel_link" TargetMode="External"/><Relationship Id="rId1645" Type="http://schemas.openxmlformats.org/officeDocument/2006/relationships/hyperlink" Target="https://actualicese.com/guia-matriz-en-excel-de-costos-y-deducciones-de-las-personas-juridicas-en-2022/?referer=L-excel-formato&amp;utm_medium=act_formato_excel&amp;utm_source=act_formato_excel&amp;utm_campaign=act_formato_excel&amp;utm_content=act_formato_excel_link" TargetMode="External"/><Relationship Id="rId2170" Type="http://schemas.openxmlformats.org/officeDocument/2006/relationships/hyperlink" Target="https://actualicese.com/modelo-de-certificado-laboral/?referer=L-excel-formato&amp;utm_medium=act_formato_excel&amp;utm_source=act_formato_excel&amp;utm_campaign=act_formato_excel&amp;utm_content=act_formato_excel_link" TargetMode="External"/><Relationship Id="rId2268" Type="http://schemas.openxmlformats.org/officeDocument/2006/relationships/hyperlink" Target="https://actualicese.com/cuestionario-de-excel-para-definir-si-una-persona-natural-es-residente-fiscal-en-colombia/?referer=L-excel-formato&amp;utm_medium=act_formato_excel&amp;utm_source=act_formato_excel&amp;utm_campaign=act_formato_excel&amp;utm_content=act_formato_excel_link" TargetMode="External"/><Relationship Id="rId8" Type="http://schemas.openxmlformats.org/officeDocument/2006/relationships/hyperlink" Target="https://actualicese.com/ejercicio-practico-de-impuesto-diferido-compensacion-de-perdidas-fiscales-y-exceso-de-renta-presuntiva/?referer=L-excel-formato&amp;utm_medium=act_formato_excel&amp;utm_source=act_formato_excel&amp;utm_campaign=act_formato_excel&amp;utm_content=act_formato_excel_link" TargetMode="External"/><Relationship Id="rId142" Type="http://schemas.openxmlformats.org/officeDocument/2006/relationships/hyperlink" Target="https://actualicese.com/liquidador-de-sanciones-por-incumplir-con-la-obligacion-de-inscribirse-al-rut/?referer=L-excel-formato&amp;utm_medium=act_formato_excel&amp;utm_source=act_formato_excel&amp;utm_campaign=act_formato_excel&amp;utm_content=act_formato_excel_link" TargetMode="External"/><Relationship Id="rId447" Type="http://schemas.openxmlformats.org/officeDocument/2006/relationships/hyperlink" Target="https://actualicese.com/comprobante-de-pago-intereses-a-las-cesantias/?referer=L-excel-formato&amp;utm_medium=act_formato_excel&amp;utm_source=act_formato_excel&amp;utm_campaign=act_formato_excel&amp;utm_content=act_formato_excel_link" TargetMode="External"/><Relationship Id="rId794" Type="http://schemas.openxmlformats.org/officeDocument/2006/relationships/hyperlink" Target="https://actualicese.com/guia-tasa-representativa-del-mercado-trm-2019/?referer=L-excel-formato&amp;utm_medium=act_formato_excel&amp;utm_source=act_formato_excel&amp;utm_campaign=act_formato_excel&amp;utm_content=act_formato_excel_link" TargetMode="External"/><Relationship Id="rId1077" Type="http://schemas.openxmlformats.org/officeDocument/2006/relationships/hyperlink" Target="https://actualicese.com/modelo-de-certificado-laboral/?referer=L-excel-formato&amp;utm_medium=act_formato_excel&amp;utm_source=act_formato_excel&amp;utm_campaign=act_formato_excel&amp;utm_content=act_formato_excel_link" TargetMode="External"/><Relationship Id="rId1200" Type="http://schemas.openxmlformats.org/officeDocument/2006/relationships/hyperlink" Target="https://actualicese.com/tarifas-en-impuesto-y-sobretasa-en-renta-para-empresas-editoriales-segun-proyecto-de-reforma/?referer=L-excel-formato&amp;utm_medium=act_formato_excel&amp;utm_source=act_formato_excel&amp;utm_campaign=act_formato_excel&amp;utm_content=act_formato_excel_link" TargetMode="External"/><Relationship Id="rId1852" Type="http://schemas.openxmlformats.org/officeDocument/2006/relationships/hyperlink" Target="https://actualicese.com/poder-para-nombrar-delegado-o-apoderado-en-asamblea-de-propietarios-en-p-h/?referer=L-excel-formato&amp;utm_medium=act_formato_excel&amp;utm_source=act_formato_excel&amp;utm_campaign=act_formato_excel&amp;utm_content=act_formato_excel_link" TargetMode="External"/><Relationship Id="rId2030" Type="http://schemas.openxmlformats.org/officeDocument/2006/relationships/hyperlink" Target="https://actualicese.com/plantilla-para-el-control-y-auditoria-del-gasto-de-servicios-publicos/?referer=L-excel-formato&amp;utm_medium=act_formato_excel&amp;utm_source=act_formato_excel&amp;utm_campaign=act_formato_excel&amp;utm_content=act_formato_excel_link" TargetMode="External"/><Relationship Id="rId2128"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654" Type="http://schemas.openxmlformats.org/officeDocument/2006/relationships/hyperlink" Target="https://actualicese.com/informacion-laboral-2021/?referer=L-excel-formato&amp;utm_medium=act_formato_excel&amp;utm_source=act_formato_excel&amp;utm_campaign=act_formato_excel&amp;utm_content=act_formato_excel_link" TargetMode="External"/><Relationship Id="rId861" Type="http://schemas.openxmlformats.org/officeDocument/2006/relationships/hyperlink" Target="https://actualicese.com/formato-exogena-1003-por-el-ano-gravable-2018-retenciones-que-le-practicaron-al-informante/?referer=L-excel-formato&amp;utm_medium=act_formato_excel&amp;utm_source=act_formato_excel&amp;utm_campaign=act_formato_excel&amp;utm_content=act_formato_excel_link" TargetMode="External"/><Relationship Id="rId959" Type="http://schemas.openxmlformats.org/officeDocument/2006/relationships/hyperlink" Target="https://actualicese.com/revocatoria-de-poder-otorgado-a-un-abogado/?referer=L-excel-formato&amp;utm_medium=act_formato_excel&amp;utm_source=act_formato_excel&amp;utm_campaign=act_formato_excel&amp;utm_content=act_formato_excel_link" TargetMode="External"/><Relationship Id="rId1284" Type="http://schemas.openxmlformats.org/officeDocument/2006/relationships/hyperlink" Target="https://actualicese.com/proyeccion-descuentos-en-renta-cree-y-sobretasa-al-cree-por-impuestos-pagados-en-el-exterior/?referer=L-excel-formato&amp;utm_medium=act_formato_excel&amp;utm_source=act_formato_excel&amp;utm_campaign=act_formato_excel&amp;utm_content=act_formato_excel_link" TargetMode="External"/><Relationship Id="rId1491" Type="http://schemas.openxmlformats.org/officeDocument/2006/relationships/hyperlink" Target="https://actualicese.com/informes-superintendencia-de-sociedades/?referer=L-excel-formato&amp;utm_medium=act_formato_excel&amp;utm_source=act_formato_excel&amp;utm_campaign=act_formato_excel&amp;utm_content=act_formato_excel_link" TargetMode="External"/><Relationship Id="rId1505" Type="http://schemas.openxmlformats.org/officeDocument/2006/relationships/hyperlink" Target="https://actualicese.com/informacion-a-tener-en-cuenta-para-realizar-el-cierre-contable-2014/?referer=L-excel-formato&amp;utm_medium=act_formato_excel&amp;utm_source=act_formato_excel&amp;utm_campaign=act_formato_excel&amp;utm_content=act_formato_excel_link" TargetMode="External"/><Relationship Id="rId1589" Type="http://schemas.openxmlformats.org/officeDocument/2006/relationships/hyperlink" Target="https://actualicese.com/cuestionario-de-control-para-verificar-cumplimiento-de-requisitos-de-facturacion-en-papel-o-por-computador/?referer=L-excel-formato&amp;utm_medium=act_formato_excel&amp;utm_source=act_formato_excel&amp;utm_campaign=act_formato_excel&amp;utm_content=act_formato_excel_link" TargetMode="External"/><Relationship Id="rId1712" Type="http://schemas.openxmlformats.org/officeDocument/2006/relationships/hyperlink" Target="https://actualicese.com/informe-sobre-los-hallazgos-obtenidos-en-las-cuentas-por-pagar/?referer=L-excel-formato&amp;utm_medium=act_formato_excel&amp;utm_source=act_formato_excel&amp;utm_campaign=act_formato_excel&amp;utm_content=act_formato_excel_link" TargetMode="External"/><Relationship Id="rId2335" Type="http://schemas.openxmlformats.org/officeDocument/2006/relationships/hyperlink" Target="https://actualicese.com/casos-practicos-de-contabilizacion-de-ingresos-en-pymes-bajo-estandares-internacionales/?referer=L-excel-formato&amp;utm_medium=act_formato_excel&amp;utm_source=act_formato_excel&amp;utm_campaign=act_formato_excel&amp;utm_content=act_formato_excel_link" TargetMode="External"/><Relationship Id="rId293" Type="http://schemas.openxmlformats.org/officeDocument/2006/relationships/hyperlink" Target="https://actualicese.com/caso-practico-de-determinacion-de-la-renta-liquida-cedular-por-pensiones-recibidas-en-colombia/?referer=L-excel-formato&amp;utm_medium=act_formato_excel&amp;utm_source=act_formato_excel&amp;utm_campaign=act_formato_excel&amp;utm_content=act_formato_excel_link" TargetMode="External"/><Relationship Id="rId307" Type="http://schemas.openxmlformats.org/officeDocument/2006/relationships/hyperlink" Target="https://actualicese.com/modelo-de-certificado-de-retencion-en-la-fuente-por-conceptos-diferentes-a-rentas-laborales/?referer=L-excel-formato&amp;utm_medium=act_formato_excel&amp;utm_source=act_formato_excel&amp;utm_campaign=act_formato_excel&amp;utm_content=act_formato_excel_link" TargetMode="External"/><Relationship Id="rId514" Type="http://schemas.openxmlformats.org/officeDocument/2006/relationships/hyperlink" Target="https://actualicese.com/formulario-260-ag-2020-declaracion-anual-regimen-simple-personas-naturales-que-no-llevan-contabilidad/?referer=L-excel-formato&amp;utm_medium=act_formato_excel&amp;utm_source=act_formato_excel&amp;utm_campaign=act_formato_excel&amp;utm_content=act_formato_excel_link" TargetMode="External"/><Relationship Id="rId721" Type="http://schemas.openxmlformats.org/officeDocument/2006/relationships/hyperlink" Target="https://actualicese.com/21-herramientas-para-facilitar-la-elaboracion-de-solicitudes-emitidas-por-un-empleado/?referer=L-excel-formato&amp;utm_medium=act_formato_excel&amp;utm_source=act_formato_excel&amp;utm_campaign=act_formato_excel&amp;utm_content=act_formato_excel_link" TargetMode="External"/><Relationship Id="rId1144" Type="http://schemas.openxmlformats.org/officeDocument/2006/relationships/hyperlink" Target="https://actualicese.com/plantilla-para-elaborar-borrador-de-formulario-350-de-marzo-de-2017-en-adelante/?referer=L-excel-formato&amp;utm_medium=act_formato_excel&amp;utm_source=act_formato_excel&amp;utm_campaign=act_formato_excel&amp;utm_content=act_formato_excel_link" TargetMode="External"/><Relationship Id="rId1351" Type="http://schemas.openxmlformats.org/officeDocument/2006/relationships/hyperlink" Target="https://actualicese.com/liquidador-retencion-en-la-fuente-con-procedimiento-2-para-determinar-porcentaje-en-diciembre-de-2015/?referer=L-excel-formato&amp;utm_medium=act_formato_excel&amp;utm_source=act_formato_excel&amp;utm_campaign=act_formato_excel&amp;utm_content=act_formato_excel_link" TargetMode="External"/><Relationship Id="rId1449" Type="http://schemas.openxmlformats.org/officeDocument/2006/relationships/hyperlink" Target="https://actualicese.com/contrato-oferta-de-seriedad/?referer=L-excel-formato&amp;utm_medium=act_formato_excel&amp;utm_source=act_formato_excel&amp;utm_campaign=act_formato_excel&amp;utm_content=act_formato_excel_link" TargetMode="External"/><Relationship Id="rId1796" Type="http://schemas.openxmlformats.org/officeDocument/2006/relationships/hyperlink" Target="https://actualicese.com/plantilla-del-formato-1647-para-el-reporte-de-ingresos-recibidos-para-terceros-exogena-2022/?referer=L-excel-formato&amp;utm_medium=act_formato_excel&amp;utm_source=act_formato_excel&amp;utm_campaign=act_formato_excel&amp;utm_content=act_formato_excel_link" TargetMode="External"/><Relationship Id="rId2181" Type="http://schemas.openxmlformats.org/officeDocument/2006/relationships/hyperlink" Target="https://actualicese.com/liquidador-tributacion-sobre-dividendos-y-calculo-de-su-retencion-luego-de-la-ley-2277-de-2022/?referer=L-excel-formato&amp;utm_medium=act_formato_excel&amp;utm_source=act_formato_excel&amp;utm_campaign=act_formato_excel&amp;utm_content=act_formato_excel_link" TargetMode="External"/><Relationship Id="rId2402" Type="http://schemas.openxmlformats.org/officeDocument/2006/relationships/hyperlink" Target="https://actualicese.com/liquidador-automatizado-de-la-prima-de-servicios-con-comprobante-de-pago/?referer=L-excel-formato&amp;utm_medium=act_formato_excel&amp;utm_source=act_formato_excel&amp;utm_campaign=act_formato_excel&amp;utm_content=act_formato_excel_link" TargetMode="External"/><Relationship Id="rId88" Type="http://schemas.openxmlformats.org/officeDocument/2006/relationships/hyperlink" Target="https://actualicese.com/proyecto-de-reforma-tributaria-de-petro-cuadro-tematico-de-las-normas-que-se-modificarian/?referer=L-excel-formato&amp;utm_medium=act_formato_excel&amp;utm_source=act_formato_excel&amp;utm_campaign=act_formato_excel&amp;utm_content=act_formato_excel_link" TargetMode="External"/><Relationship Id="rId153" Type="http://schemas.openxmlformats.org/officeDocument/2006/relationships/hyperlink" Target="https://actualicese.com/casos-practicos-de-contabilizacion-de-inventarios-en-pymes/?referer=L-excel-formato&amp;utm_medium=act_formato_excel&amp;utm_source=act_formato_excel&amp;utm_campaign=act_formato_excel&amp;utm_content=act_formato_excel_link" TargetMode="External"/><Relationship Id="rId360" Type="http://schemas.openxmlformats.org/officeDocument/2006/relationships/hyperlink" Target="https://actualicese.com/reunion-de-junta-de-socios-o-asamblea-general-por-derecho-propio/?referer=L-excel-formato&amp;utm_medium=act_formato_excel&amp;utm_source=act_formato_excel&amp;utm_campaign=act_formato_excel&amp;utm_content=act_formato_excel_link" TargetMode="External"/><Relationship Id="rId598" Type="http://schemas.openxmlformats.org/officeDocument/2006/relationships/hyperlink" Target="https://actualicese.com/formulario-110-y-formato-2516-declaracion-de-renta-o-ingresos-y-patrimonio-personas-juridicas-ag-2020/?referer=L-excel-formato&amp;utm_medium=act_formato_excel&amp;utm_source=act_formato_excel&amp;utm_campaign=act_formato_excel&amp;utm_content=act_formato_excel_link" TargetMode="External"/><Relationship Id="rId819" Type="http://schemas.openxmlformats.org/officeDocument/2006/relationships/hyperlink" Target="https://actualicese.com/formulario-310-declaracion-del-impuesto-nacional-al-consumo-plantilla-para-borrador/?referer=L-excel-formato&amp;utm_medium=act_formato_excel&amp;utm_source=act_formato_excel&amp;utm_campaign=act_formato_excel&amp;utm_content=act_formato_excel_link" TargetMode="External"/><Relationship Id="rId1004" Type="http://schemas.openxmlformats.org/officeDocument/2006/relationships/hyperlink" Target="https://actualicese.com/calendarios-tributarios-2018-de-los-distritos-y-municipios-principales-de-colombia/?referer=L-excel-formato&amp;utm_medium=act_formato_excel&amp;utm_source=act_formato_excel&amp;utm_campaign=act_formato_excel&amp;utm_content=act_formato_excel_link" TargetMode="External"/><Relationship Id="rId1211" Type="http://schemas.openxmlformats.org/officeDocument/2006/relationships/hyperlink" Target="https://actualicese.com/aplicacion-del-estandar-para-pymes-por-representante-legal-y-contador/?referer=L-excel-formato&amp;utm_medium=act_formato_excel&amp;utm_source=act_formato_excel&amp;utm_campaign=act_formato_excel&amp;utm_content=act_formato_excel_link" TargetMode="External"/><Relationship Id="rId1656" Type="http://schemas.openxmlformats.org/officeDocument/2006/relationships/hyperlink" Target="https://actualicese.com/caso-practico-en-excel-de-contabilizacion-de-ingresos-en-contratos-de-construccion/?referer=L-excel-formato&amp;utm_medium=act_formato_excel&amp;utm_source=act_formato_excel&amp;utm_campaign=act_formato_excel&amp;utm_content=act_formato_excel_link" TargetMode="External"/><Relationship Id="rId1863" Type="http://schemas.openxmlformats.org/officeDocument/2006/relationships/hyperlink" Target="https://actualicese.com/liquidador-en-excel-del-formulario-110-y-el-formato-2516-declaracion-de-renta-de-personas-juridicas-ag-2022/?referer=L-excel-formato&amp;utm_medium=act_formato_excel&amp;utm_source=act_formato_excel&amp;utm_campaign=act_formato_excel&amp;utm_content=act_formato_excel_link" TargetMode="External"/><Relationship Id="rId2041" Type="http://schemas.openxmlformats.org/officeDocument/2006/relationships/hyperlink" Target="https://actualicese.com/ejercicios-para-determinar-si-una-persona-natural-esta-obligada-a-presentar-renta-por-el-ag-2022/?referer=L-excel-formato&amp;utm_medium=act_formato_excel&amp;utm_source=act_formato_excel&amp;utm_campaign=act_formato_excel&amp;utm_content=act_formato_excel_link" TargetMode="External"/><Relationship Id="rId2279" Type="http://schemas.openxmlformats.org/officeDocument/2006/relationships/hyperlink" Target="https://actualicese.com/simulador-del-beneficio-de-auditoria-para-2021-2022-y-2023-con-las-novedades-de-la-ley-de-inversion-social/?referer=L-excel-formato&amp;utm_medium=act_formato_excel&amp;utm_source=act_formato_excel&amp;utm_campaign=act_formato_excel&amp;utm_content=act_formato_excel_link" TargetMode="External"/><Relationship Id="rId220" Type="http://schemas.openxmlformats.org/officeDocument/2006/relationships/hyperlink" Target="https://actualicese.com/modelos-y-formatos-acuerdo-de-confidencialidad/?referer=L-excel-formato&amp;utm_medium=act_formato_excel&amp;utm_source=act_formato_excel&amp;utm_campaign=act_formato_excel&amp;utm_content=act_formato_excel_link" TargetMode="External"/><Relationship Id="rId458" Type="http://schemas.openxmlformats.org/officeDocument/2006/relationships/hyperlink" Target="https://actualicese.com/modelo-de-dictamen-del-revisor-fiscal-para-empresas-en-liquidacion-opinion-favorable/?referer=L-excel-formato&amp;utm_medium=act_formato_excel&amp;utm_source=act_formato_excel&amp;utm_campaign=act_formato_excel&amp;utm_content=act_formato_excel_link" TargetMode="External"/><Relationship Id="rId665" Type="http://schemas.openxmlformats.org/officeDocument/2006/relationships/hyperlink" Target="https://actualicese.com/calendario-calendario-tributario-distrital-2021/?referer=L-excel-formato&amp;utm_medium=act_formato_excel&amp;utm_source=act_formato_excel&amp;utm_campaign=act_formato_excel&amp;utm_content=act_formato_excel_link" TargetMode="External"/><Relationship Id="rId872" Type="http://schemas.openxmlformats.org/officeDocument/2006/relationships/hyperlink" Target="https://actualicese.com/lista-de-chequeo-estandares-minimos-de-seguridad-para-empresas-medianas/?referer=L-excel-formato&amp;utm_medium=act_formato_excel&amp;utm_source=act_formato_excel&amp;utm_campaign=act_formato_excel&amp;utm_content=act_formato_excel_link" TargetMode="External"/><Relationship Id="rId1088" Type="http://schemas.openxmlformats.org/officeDocument/2006/relationships/hyperlink" Target="https://actualicese.com/terminos-a-tener-en-cuenta-en-el-tramite-de-solicitud-de-devolucion-de-saldos-a-favor/?referer=L-excel-formato&amp;utm_medium=act_formato_excel&amp;utm_source=act_formato_excel&amp;utm_campaign=act_formato_excel&amp;utm_content=act_formato_excel_link" TargetMode="External"/><Relationship Id="rId1295" Type="http://schemas.openxmlformats.org/officeDocument/2006/relationships/hyperlink" Target="https://actualicese.com/formatos-2280-deduccion-en-el-2015-de-empleadas-victimas-de-la-violencia/?referer=L-excel-formato&amp;utm_medium=act_formato_excel&amp;utm_source=act_formato_excel&amp;utm_campaign=act_formato_excel&amp;utm_content=act_formato_excel_link" TargetMode="External"/><Relationship Id="rId1309" Type="http://schemas.openxmlformats.org/officeDocument/2006/relationships/hyperlink" Target="https://actualicese.com/participacion-patrimonial-anual-a-socios-yo-accionistas-por-el-2015/?referer=L-excel-formato&amp;utm_medium=act_formato_excel&amp;utm_source=act_formato_excel&amp;utm_campaign=act_formato_excel&amp;utm_content=act_formato_excel_link" TargetMode="External"/><Relationship Id="rId1516" Type="http://schemas.openxmlformats.org/officeDocument/2006/relationships/hyperlink" Target="https://actualicese.com/plantilla-para-clasificar-una-entidad-en-un-grupo-de-aplicacion-de-las-niif-en-colombia/?referer=L-excel-formato&amp;utm_medium=act_formato_excel&amp;utm_source=act_formato_excel&amp;utm_campaign=act_formato_excel&amp;utm_content=act_formato_excel_link" TargetMode="External"/><Relationship Id="rId1723" Type="http://schemas.openxmlformats.org/officeDocument/2006/relationships/hyperlink" Target="https://actualicese.com/formulas-para-liquidacion-de-prestaciones-vacaciones-y-horas-extras/?referer=L-excel-formato&amp;utm_medium=act_formato_excel&amp;utm_source=act_formato_excel&amp;utm_campaign=act_formato_excel&amp;utm_content=act_formato_excel_link" TargetMode="External"/><Relationship Id="rId1930" Type="http://schemas.openxmlformats.org/officeDocument/2006/relationships/hyperlink" Target="https://actualicese.com/convenio-de-pago-o-acuerdo-de-pago/?referer=L-excel-formato&amp;utm_medium=act_formato_excel&amp;utm_source=act_formato_excel&amp;utm_campaign=act_formato_excel&amp;utm_content=act_formato_excel_link" TargetMode="External"/><Relationship Id="rId2139" Type="http://schemas.openxmlformats.org/officeDocument/2006/relationships/hyperlink" Target="https://actualicese.com/historico-de-indice-de-precios-al-consumidor-ipc/?referer=L-excel-formato&amp;utm_medium=act_formato_excel&amp;utm_source=act_formato_excel&amp;utm_campaign=act_formato_excel&amp;utm_content=act_formato_excel_link" TargetMode="External"/><Relationship Id="rId2346" Type="http://schemas.openxmlformats.org/officeDocument/2006/relationships/hyperlink" Target="https://actualicese.com/clasificacion-de-arrendamientos-segun-la-seccion-20-del-estandar-para-pymes-casos-practicos-en-excel/?referer=L-excel-formato&amp;utm_medium=act_formato_excel&amp;utm_source=act_formato_excel&amp;utm_campaign=act_formato_excel&amp;utm_content=act_formato_excel_link" TargetMode="External"/><Relationship Id="rId15" Type="http://schemas.openxmlformats.org/officeDocument/2006/relationships/hyperlink" Target="https://actualicese.com/listado-de-actividades-economicas-codigos-ciiu/?referer=L-excel-formato&amp;utm_medium=act_formato_excel&amp;utm_source=act_formato_excel&amp;utm_campaign=act_formato_excel&amp;utm_content=act_formato_excel_link" TargetMode="External"/><Relationship Id="rId318" Type="http://schemas.openxmlformats.org/officeDocument/2006/relationships/hyperlink" Target="https://actualicese.com/solicitud-de-licencia-no-remunerada/?referer=L-excel-formato&amp;utm_medium=act_formato_excel&amp;utm_source=act_formato_excel&amp;utm_campaign=act_formato_excel&amp;utm_content=act_formato_excel_link" TargetMode="External"/><Relationship Id="rId525" Type="http://schemas.openxmlformats.org/officeDocument/2006/relationships/hyperlink" Target="https://actualicese.com/acta-de-entrega-de-normas-de-etica-aplicables-a-encargos-de-auditoria/?referer=L-excel-formato&amp;utm_medium=act_formato_excel&amp;utm_source=act_formato_excel&amp;utm_campaign=act_formato_excel&amp;utm_content=act_formato_excel_link" TargetMode="External"/><Relationship Id="rId732" Type="http://schemas.openxmlformats.org/officeDocument/2006/relationships/hyperlink" Target="https://actualicese.com/calculo-de-intereses-presuntivos-sobre-prestamos-entre-socios-y-sociedades-durante-2019/?referer=L-excel-formato&amp;utm_medium=act_formato_excel&amp;utm_source=act_formato_excel&amp;utm_campaign=act_formato_excel&amp;utm_content=act_formato_excel_link" TargetMode="External"/><Relationship Id="rId1155" Type="http://schemas.openxmlformats.org/officeDocument/2006/relationships/hyperlink" Target="https://actualicese.com/convocatoria-junta-de-socios-o-asamblea-general-extraordinaria/?referer=L-excel-formato&amp;utm_medium=act_formato_excel&amp;utm_source=act_formato_excel&amp;utm_campaign=act_formato_excel&amp;utm_content=act_formato_excel_link" TargetMode="External"/><Relationship Id="rId1362" Type="http://schemas.openxmlformats.org/officeDocument/2006/relationships/hyperlink" Target="https://actualicese.com/documentos-sobre-combinaciones-de-negocios-orientaciones-tecnicas-010-y-011-del-ctcp/?referer=L-excel-formato&amp;utm_medium=act_formato_excel&amp;utm_source=act_formato_excel&amp;utm_campaign=act_formato_excel&amp;utm_content=act_formato_excel_link" TargetMode="External"/><Relationship Id="rId2192" Type="http://schemas.openxmlformats.org/officeDocument/2006/relationships/hyperlink" Target="https://actualicese.com/acta-cambio-de-representante-legal/?referer=L-excel-formato&amp;utm_medium=act_formato_excel&amp;utm_source=act_formato_excel&amp;utm_campaign=act_formato_excel&amp;utm_content=act_formato_excel_link" TargetMode="External"/><Relationship Id="rId2206" Type="http://schemas.openxmlformats.org/officeDocument/2006/relationships/hyperlink" Target="https://actualicese.com/liquidador-del-auxilio-de-incapacidad-de-origen-comun-para-trabajador-independiente/?referer=L-excel-formato&amp;utm_medium=act_formato_excel&amp;utm_source=act_formato_excel&amp;utm_campaign=act_formato_excel&amp;utm_content=act_formato_excel_link" TargetMode="External"/><Relationship Id="rId2413" Type="http://schemas.openxmlformats.org/officeDocument/2006/relationships/hyperlink" Target="https://actualicese.com/pack-de-formatos-cierre-anual-2024-estados-financieros-impuesto-diferido-y-contabilizaciones/?referer=L-excel-formato&amp;utm_medium=act_formato_excel&amp;utm_source=act_formato_excel&amp;utm_campaign=act_formato_excel&amp;utm_content=act_formato_excel_link" TargetMode="External"/><Relationship Id="rId99" Type="http://schemas.openxmlformats.org/officeDocument/2006/relationships/hyperlink" Target="https://actualicese.com/nivel-de-endeudamiento/?referer=L-excel-formato&amp;utm_medium=act_formato_excel&amp;utm_source=act_formato_excel&amp;utm_campaign=act_formato_excel&amp;utm_content=act_formato_excel_link" TargetMode="External"/><Relationship Id="rId164" Type="http://schemas.openxmlformats.org/officeDocument/2006/relationships/hyperlink" Target="https://actualicese.com/carta-de-recomendacion/?referer=L-excel-formato&amp;utm_medium=act_formato_excel&amp;utm_source=act_formato_excel&amp;utm_campaign=act_formato_excel&amp;utm_content=act_formato_excel_link" TargetMode="External"/><Relationship Id="rId371" Type="http://schemas.openxmlformats.org/officeDocument/2006/relationships/hyperlink" Target="https://actualicese.com/tributacion-sobre-dividendos-y-calculo-de-su-retencion-luego-de-la-ley-2010-de-2019/?referer=L-excel-formato&amp;utm_medium=act_formato_excel&amp;utm_source=act_formato_excel&amp;utm_campaign=act_formato_excel&amp;utm_content=act_formato_excel_link" TargetMode="External"/><Relationship Id="rId1015" Type="http://schemas.openxmlformats.org/officeDocument/2006/relationships/hyperlink" Target="https://actualicese.com/decretos-reglamentarios-de-la-ley-de-reforma-tributaria-1819-de-2016-expedidos-a-finales-de-2017/?referer=L-excel-formato&amp;utm_medium=act_formato_excel&amp;utm_source=act_formato_excel&amp;utm_campaign=act_formato_excel&amp;utm_content=act_formato_excel_link" TargetMode="External"/><Relationship Id="rId1222" Type="http://schemas.openxmlformats.org/officeDocument/2006/relationships/hyperlink" Target="https://actualicese.com/modelo-de-reclamacion-por-garantia/?referer=L-excel-formato&amp;utm_medium=act_formato_excel&amp;utm_source=act_formato_excel&amp;utm_campaign=act_formato_excel&amp;utm_content=act_formato_excel_link" TargetMode="External"/><Relationship Id="rId1667" Type="http://schemas.openxmlformats.org/officeDocument/2006/relationships/hyperlink" Target="https://actualicese.com/liquidador-casos-practicos-en-excel-con-las-diferencias-mas-comunes-en-el-proceso-de-conciliacion-fiscal-de-personas-juridicas/?referer=L-excel-formato&amp;utm_medium=act_formato_excel&amp;utm_source=act_formato_excel&amp;utm_campaign=act_formato_excel&amp;utm_content=act_formato_excel_link" TargetMode="External"/><Relationship Id="rId1874" Type="http://schemas.openxmlformats.org/officeDocument/2006/relationships/hyperlink" Target="https://actualicese.com/simulador-con-los-efectos-de-los-cambios-introducidos-por-la-ley-2277-de-2022-al-impuesto-de-renta-bajo-el-regimen-ordinario-de-las-personas-naturales-residentes/?referer=L-excel-formato&amp;utm_medium=act_formato_excel&amp;utm_source=act_formato_excel&amp;utm_campaign=act_formato_excel&amp;utm_content=act_formato_excel_link" TargetMode="External"/><Relationship Id="rId2052" Type="http://schemas.openxmlformats.org/officeDocument/2006/relationships/hyperlink" Target="https://actualicese.com/caso-practico-de-determinacion-de-la-renta-liquida-cedular-por-pensiones-del-exterior/?referer=L-excel-formato&amp;utm_medium=act_formato_excel&amp;utm_source=act_formato_excel&amp;utm_campaign=act_formato_excel&amp;utm_content=act_formato_excel_link" TargetMode="External"/><Relationship Id="rId469" Type="http://schemas.openxmlformats.org/officeDocument/2006/relationships/hyperlink" Target="https://actualicese.com/simulador-del-punto-de-equilibrio-en-excel-herramienta-de-analisis-financiero/?referer=L-excel-formato&amp;utm_medium=act_formato_excel&amp;utm_source=act_formato_excel&amp;utm_campaign=act_formato_excel&amp;utm_content=act_formato_excel_link" TargetMode="External"/><Relationship Id="rId676" Type="http://schemas.openxmlformats.org/officeDocument/2006/relationships/hyperlink" Target="https://actualicese.com/politicas-contables-para-las-propiedades-de-inversion/?referer=L-excel-formato&amp;utm_medium=act_formato_excel&amp;utm_source=act_formato_excel&amp;utm_campaign=act_formato_excel&amp;utm_content=act_formato_excel_link" TargetMode="External"/><Relationship Id="rId883" Type="http://schemas.openxmlformats.org/officeDocument/2006/relationships/hyperlink" Target="https://actualicese.com/formulario-220-certificado-por-rentas-de-trabajo-ano-gravable-2018/?referer=L-excel-formato&amp;utm_medium=act_formato_excel&amp;utm_source=act_formato_excel&amp;utm_campaign=act_formato_excel&amp;utm_content=act_formato_excel_link" TargetMode="External"/><Relationship Id="rId1099" Type="http://schemas.openxmlformats.org/officeDocument/2006/relationships/hyperlink" Target="https://actualicese.com/formularios-210-y-230-con-anexos-para-declaracion-de-renta-ano-gravable-2016/?referer=L-excel-formato&amp;utm_medium=act_formato_excel&amp;utm_source=act_formato_excel&amp;utm_campaign=act_formato_excel&amp;utm_content=act_formato_excel_link" TargetMode="External"/><Relationship Id="rId1527" Type="http://schemas.openxmlformats.org/officeDocument/2006/relationships/hyperlink" Target="https://actualicese.com/oro-diligenciamiento-de-formularios-210-y-240-con-anexos-para-la-declaracion-de-renta-2013-de-una-persona-natural-no-obligada-a-llevar-contabilidad/?referer=L-excel-formato&amp;utm_medium=act_formato_excel&amp;utm_source=act_formato_excel&amp;utm_campaign=act_formato_excel&amp;utm_content=act_formato_excel_link" TargetMode="External"/><Relationship Id="rId1734" Type="http://schemas.openxmlformats.org/officeDocument/2006/relationships/hyperlink" Target="https://actualicese.com/lista-de-convenios-internacionales-para-evitar-la-doble-tributacion-ano-gravable-2021/?referer=L-excel-formato&amp;utm_medium=act_formato_excel&amp;utm_source=act_formato_excel&amp;utm_campaign=act_formato_excel&amp;utm_content=act_formato_excel_link" TargetMode="External"/><Relationship Id="rId1941" Type="http://schemas.openxmlformats.org/officeDocument/2006/relationships/hyperlink" Target="https://actualicese.com/formato-de-circularizacion-de-clientes-automatizado/?referer=L-excel-formato&amp;utm_medium=act_formato_excel&amp;utm_source=act_formato_excel&amp;utm_campaign=act_formato_excel&amp;utm_content=act_formato_excel_link" TargetMode="External"/><Relationship Id="rId2357" Type="http://schemas.openxmlformats.org/officeDocument/2006/relationships/hyperlink" Target="https://actualicese.com/casos-practicos-en-excel-de-contabilizacion-de-contratos-de-prestacion-de-servicios-independientes/?referer=L-excel-formato&amp;utm_medium=act_formato_excel&amp;utm_source=act_formato_excel&amp;utm_campaign=act_formato_excel&amp;utm_content=act_formato_excel_link" TargetMode="External"/><Relationship Id="rId26" Type="http://schemas.openxmlformats.org/officeDocument/2006/relationships/hyperlink" Target="https://actualicese.com/modelo-en-excel-de-solicitud-de-permiso-laboral/?referer=L-excel-formato&amp;utm_medium=act_formato_excel&amp;utm_source=act_formato_excel&amp;utm_campaign=act_formato_excel&amp;utm_content=act_formato_excel_link" TargetMode="External"/><Relationship Id="rId231" Type="http://schemas.openxmlformats.org/officeDocument/2006/relationships/hyperlink" Target="https://actualicese.com/caso-practico-de-descuento-por-pronto-pago-en-pymes-y-microempresas/?referer=L-excel-formato&amp;utm_medium=act_formato_excel&amp;utm_source=act_formato_excel&amp;utm_campaign=act_formato_excel&amp;utm_content=act_formato_excel_link" TargetMode="External"/><Relationship Id="rId329" Type="http://schemas.openxmlformats.org/officeDocument/2006/relationships/hyperlink" Target="https://actualicese.com/informe-del-revisor-fiscal-sobre-irregularidades-y-deficiencias-en-el-control-interno-2/?referer=L-excel-formato&amp;utm_medium=act_formato_excel&amp;utm_source=act_formato_excel&amp;utm_campaign=act_formato_excel&amp;utm_content=act_formato_excel_link" TargetMode="External"/><Relationship Id="rId536" Type="http://schemas.openxmlformats.org/officeDocument/2006/relationships/hyperlink" Target="https://actualicese.com/liquidador-de-aportes-a-caja-de-compensacion-para-trabajadores-independientes/?referer=L-excel-formato&amp;utm_medium=act_formato_excel&amp;utm_source=act_formato_excel&amp;utm_campaign=act_formato_excel&amp;utm_content=act_formato_excel_link" TargetMode="External"/><Relationship Id="rId1166" Type="http://schemas.openxmlformats.org/officeDocument/2006/relationships/hyperlink" Target="https://actualicese.com/cesion-de-derechos-hereditarios/?referer=L-excel-formato&amp;utm_medium=act_formato_excel&amp;utm_source=act_formato_excel&amp;utm_campaign=act_formato_excel&amp;utm_content=act_formato_excel_link" TargetMode="External"/><Relationship Id="rId1373" Type="http://schemas.openxmlformats.org/officeDocument/2006/relationships/hyperlink" Target="https://actualicese.com/obligaciones-tributarias-de-los-consorcios-y-uniones-temporales/?referer=L-excel-formato&amp;utm_medium=act_formato_excel&amp;utm_source=act_formato_excel&amp;utm_campaign=act_formato_excel&amp;utm_content=act_formato_excel_link" TargetMode="External"/><Relationship Id="rId2217" Type="http://schemas.openxmlformats.org/officeDocument/2006/relationships/hyperlink" Target="https://actualicese.com/liquidador-plantilla-del-formato-1001-del-ano-gravable-2023-reporte-de-exogena-de-pagos-o-abonos-en-cuenta/?referer=L-excel-formato&amp;utm_medium=act_formato_excel&amp;utm_source=act_formato_excel&amp;utm_campaign=act_formato_excel&amp;utm_content=act_formato_excel_link" TargetMode="External"/><Relationship Id="rId175" Type="http://schemas.openxmlformats.org/officeDocument/2006/relationships/hyperlink" Target="https://actualicese.com/carta-para-invitar-al-empleado-a-disfrutar-del-dia-de-la-familia/?referer=L-excel-formato&amp;utm_medium=act_formato_excel&amp;utm_source=act_formato_excel&amp;utm_campaign=act_formato_excel&amp;utm_content=act_formato_excel_link" TargetMode="External"/><Relationship Id="rId743" Type="http://schemas.openxmlformats.org/officeDocument/2006/relationships/hyperlink" Target="https://actualicese.com/calendario-tributario-2020-version-para-imprimir/?referer=L-excel-formato&amp;utm_medium=act_formato_excel&amp;utm_source=act_formato_excel&amp;utm_campaign=act_formato_excel&amp;utm_content=act_formato_excel_link" TargetMode="External"/><Relationship Id="rId950" Type="http://schemas.openxmlformats.org/officeDocument/2006/relationships/hyperlink" Target="https://actualicese.com/formulario-210-para-declaracion-renta-ano-gravable-2017-obligados-a-llevar-contabilidad/?referer=L-excel-formato&amp;utm_medium=act_formato_excel&amp;utm_source=act_formato_excel&amp;utm_campaign=act_formato_excel&amp;utm_content=act_formato_excel_link" TargetMode="External"/><Relationship Id="rId1026" Type="http://schemas.openxmlformats.org/officeDocument/2006/relationships/hyperlink" Target="https://actualicese.com/informacion-laboral-2018/?referer=L-excel-formato&amp;utm_medium=act_formato_excel&amp;utm_source=act_formato_excel&amp;utm_campaign=act_formato_excel&amp;utm_content=act_formato_excel_link" TargetMode="External"/><Relationship Id="rId1580" Type="http://schemas.openxmlformats.org/officeDocument/2006/relationships/hyperlink" Target="https://actualicese.com/modelo-para-calculo-de-retencion-en-la-fuente-a-independientes-con-tabla-de-la-ley-1527-de-2012/?referer=L-excel-formato&amp;utm_medium=act_formato_excel&amp;utm_source=act_formato_excel&amp;utm_campaign=act_formato_excel&amp;utm_content=act_formato_excel_link" TargetMode="External"/><Relationship Id="rId1678" Type="http://schemas.openxmlformats.org/officeDocument/2006/relationships/hyperlink" Target="https://actualicese.com/analisis-vertical-y-horizontal-aplicados-a-la-interpretacion-de-informacion-financiera/?referer=L-excel-formato&amp;utm_medium=act_formato_excel&amp;utm_source=act_formato_excel&amp;utm_campaign=act_formato_excel&amp;utm_content=act_formato_excel_link" TargetMode="External"/><Relationship Id="rId1801" Type="http://schemas.openxmlformats.org/officeDocument/2006/relationships/hyperlink" Target="https://actualicese.com/liquidador-en-excel-del-formulario-110-y-el-formato-2516-declaracion-de-renta-de-personas-juridicas-ag-2022/?referer=L-excel-formato&amp;utm_medium=act_formato_excel&amp;utm_source=act_formato_excel&amp;utm_campaign=act_formato_excel&amp;utm_content=act_formato_excel_link" TargetMode="External"/><Relationship Id="rId1885" Type="http://schemas.openxmlformats.org/officeDocument/2006/relationships/hyperlink" Target="https://actualicese.com/comparativo-de-pagos-a-trabajador-contrato-de-trabajo-vs-contrato-de-prestacion-de-servicios/?referer=L-excel-formato&amp;utm_medium=act_formato_excel&amp;utm_source=act_formato_excel&amp;utm_campaign=act_formato_excel&amp;utm_content=act_formato_excel_link" TargetMode="External"/><Relationship Id="rId2424" Type="http://schemas.openxmlformats.org/officeDocument/2006/relationships/hyperlink" Target="https://actualicese.com/modelo-de-politica-base-para-la-preparacion-de-estados-financieros-bajo-estandar-internacional-para-pymes/?referer=L-excel-formato&amp;utm_medium=act_formato_excel&amp;utm_source=act_formato_excel&amp;utm_campaign=act_formato_excel&amp;utm_content=act_formato_excel_link" TargetMode="External"/><Relationship Id="rId382" Type="http://schemas.openxmlformats.org/officeDocument/2006/relationships/hyperlink" Target="https://actualicese.com/casos-de-ganancia-ocasional-por-venta-de-activos-fijos-depreciables/?referer=L-excel-formato&amp;utm_medium=act_formato_excel&amp;utm_source=act_formato_excel&amp;utm_campaign=act_formato_excel&amp;utm_content=act_formato_excel_link" TargetMode="External"/><Relationship Id="rId603" Type="http://schemas.openxmlformats.org/officeDocument/2006/relationships/hyperlink" Target="https://actualicese.com/carta-de-aceptacion-de-los-terminos-del-encargo-de-revisoria-fiscal-conforme-a-la-nia-210/?referer=L-excel-formato&amp;utm_medium=act_formato_excel&amp;utm_source=act_formato_excel&amp;utm_campaign=act_formato_excel&amp;utm_content=act_formato_excel_link" TargetMode="External"/><Relationship Id="rId687" Type="http://schemas.openxmlformats.org/officeDocument/2006/relationships/hyperlink" Target="https://actualicese.com/liquidador-para-el-calculo-de-la-renta-presuntiva-del-ano-gravable-2020/?referer=L-excel-formato&amp;utm_medium=act_formato_excel&amp;utm_source=act_formato_excel&amp;utm_campaign=act_formato_excel&amp;utm_content=act_formato_excel_link" TargetMode="External"/><Relationship Id="rId810" Type="http://schemas.openxmlformats.org/officeDocument/2006/relationships/hyperlink" Target="https://actualicese.com/simulador-de-subsidio-de-vivienda-de-interes-social-o-prioritario/?referer=L-excel-formato&amp;utm_medium=act_formato_excel&amp;utm_source=act_formato_excel&amp;utm_campaign=act_formato_excel&amp;utm_content=act_formato_excel_link" TargetMode="External"/><Relationship Id="rId908" Type="http://schemas.openxmlformats.org/officeDocument/2006/relationships/hyperlink" Target="https://actualicese.com/equivalencias-entre-cuentas-contables-y-formato-de-conciliacion-fiscal-2516/?referer=L-excel-formato&amp;utm_medium=act_formato_excel&amp;utm_source=act_formato_excel&amp;utm_campaign=act_formato_excel&amp;utm_content=act_formato_excel_link" TargetMode="External"/><Relationship Id="rId1233" Type="http://schemas.openxmlformats.org/officeDocument/2006/relationships/hyperlink" Target="https://actualicese.com/segunda-convocatoria-a-asamblea-general-ordinaria-de-sociosaccionistas/?referer=L-excel-formato&amp;utm_medium=act_formato_excel&amp;utm_source=act_formato_excel&amp;utm_campaign=act_formato_excel&amp;utm_content=act_formato_excel_link" TargetMode="External"/><Relationship Id="rId1440" Type="http://schemas.openxmlformats.org/officeDocument/2006/relationships/hyperlink" Target="https://actualicese.com/cuadro-resumen-de-las-caracteristicas-basicas-de-cada-tipo-de-persona-natural/?referer=L-excel-formato&amp;utm_medium=act_formato_excel&amp;utm_source=act_formato_excel&amp;utm_campaign=act_formato_excel&amp;utm_content=act_formato_excel_link" TargetMode="External"/><Relationship Id="rId1538" Type="http://schemas.openxmlformats.org/officeDocument/2006/relationships/hyperlink" Target="https://actualicese.com/modelo-basico-con-la-estructura-del-nuevo-formato-1001-para-el-reporte-de-exogena-tributaria-2013/?referer=L-excel-formato&amp;utm_medium=act_formato_excel&amp;utm_source=act_formato_excel&amp;utm_campaign=act_formato_excel&amp;utm_content=act_formato_excel_link" TargetMode="External"/><Relationship Id="rId2063" Type="http://schemas.openxmlformats.org/officeDocument/2006/relationships/hyperlink" Target="https://actualicese.com/caso-practico-en-excel-impuesto-diferido-por-valoracion-de-propiedades-de-inversion/?referer=L-excel-formato&amp;utm_medium=act_formato_excel&amp;utm_source=act_formato_excel&amp;utm_campaign=act_formato_excel&amp;utm_content=act_formato_excel_link" TargetMode="External"/><Relationship Id="rId2270" Type="http://schemas.openxmlformats.org/officeDocument/2006/relationships/hyperlink" Target="https://actualicese.com/liquidador-de-auxilio-de-incapacidad-aplicado-a-salario-variable-fijo-o-integral/?referer=L-excel-formato&amp;utm_medium=act_formato_excel&amp;utm_source=act_formato_excel&amp;utm_campaign=act_formato_excel&amp;utm_content=act_formato_excel_link" TargetMode="External"/><Relationship Id="rId2368" Type="http://schemas.openxmlformats.org/officeDocument/2006/relationships/hyperlink" Target="https://actualicese.com/liquidador-para-la-clasificacion-de-empresas-en-colombia-segun-sus-ingresos-y-sector-economico/?referer=L-excel-formato&amp;utm_medium=act_formato_excel&amp;utm_source=act_formato_excel&amp;utm_campaign=act_formato_excel&amp;utm_content=act_formato_excel_link" TargetMode="External"/><Relationship Id="rId242" Type="http://schemas.openxmlformats.org/officeDocument/2006/relationships/hyperlink" Target="https://actualicese.com/liquidador-de-sancion-por-correccion-presentada-por-el-contribuyente/?referer=L-excel-formato&amp;utm_medium=act_formato_excel&amp;utm_source=act_formato_excel&amp;utm_campaign=act_formato_excel&amp;utm_content=act_formato_excel_link" TargetMode="External"/><Relationship Id="rId894" Type="http://schemas.openxmlformats.org/officeDocument/2006/relationships/hyperlink" Target="https://actualicese.com/informacion-laboral-2019/?referer=L-excel-formato&amp;utm_medium=act_formato_excel&amp;utm_source=act_formato_excel&amp;utm_campaign=act_formato_excel&amp;utm_content=act_formato_excel_link" TargetMode="External"/><Relationship Id="rId1177" Type="http://schemas.openxmlformats.org/officeDocument/2006/relationships/hyperlink" Target="https://actualicese.com/liquidador-gravamen-progresivo-en-impuesto-de-renta-de-personas-naturales/?referer=L-excel-formato&amp;utm_medium=act_formato_excel&amp;utm_source=act_formato_excel&amp;utm_campaign=act_formato_excel&amp;utm_content=act_formato_excel_link" TargetMode="External"/><Relationship Id="rId1300" Type="http://schemas.openxmlformats.org/officeDocument/2006/relationships/hyperlink" Target="https://actualicese.com/formulario-220-certificacion-de-pagos-y-retenciones-a-empleados-por-el-ano-gravable-2015/?referer=L-excel-formato&amp;utm_medium=act_formato_excel&amp;utm_source=act_formato_excel&amp;utm_campaign=act_formato_excel&amp;utm_content=act_formato_excel_link" TargetMode="External"/><Relationship Id="rId1745" Type="http://schemas.openxmlformats.org/officeDocument/2006/relationships/hyperlink" Target="https://actualicese.com/dictamen-de-revisor-fiscal-que-incluye-opinion-con-salvedades/?referer=L-excel-formato&amp;utm_medium=act_formato_excel&amp;utm_source=act_formato_excel&amp;utm_campaign=act_formato_excel&amp;utm_content=act_formato_excel_link" TargetMode="External"/><Relationship Id="rId1952" Type="http://schemas.openxmlformats.org/officeDocument/2006/relationships/hyperlink" Target="https://actualicese.com/guia-modelo-en-excel-de-la-estructura-del-balance-de-comprobacion/?referer=L-excel-formato&amp;utm_medium=act_formato_excel&amp;utm_source=act_formato_excel&amp;utm_campaign=act_formato_excel&amp;utm_content=act_formato_excel_link" TargetMode="External"/><Relationship Id="rId2130" Type="http://schemas.openxmlformats.org/officeDocument/2006/relationships/hyperlink" Target="https://actualicese.com/calendario-tributario-2024-version-descargable/?referer=L-excel-formato&amp;utm_medium=act_formato_excel&amp;utm_source=act_formato_excel&amp;utm_campaign=act_formato_excel&amp;utm_content=act_formato_excel_link" TargetMode="External"/><Relationship Id="rId37" Type="http://schemas.openxmlformats.org/officeDocument/2006/relationships/hyperlink" Target="https://actualicese.com/calculo-de-la-tir-y-tecnica-del-costo-amortizado-en-el-analisis-financiero/?referer=L-excel-formato&amp;utm_medium=act_formato_excel&amp;utm_source=act_formato_excel&amp;utm_campaign=act_formato_excel&amp;utm_content=act_formato_excel_link" TargetMode="External"/><Relationship Id="rId102" Type="http://schemas.openxmlformats.org/officeDocument/2006/relationships/hyperlink" Target="https://actualicese.com/caso-practico-de-contabilizacion-de-impuestos-asumidos/?referer=L-excel-formato&amp;utm_medium=act_formato_excel&amp;utm_source=act_formato_excel&amp;utm_campaign=act_formato_excel&amp;utm_content=act_formato_excel_link" TargetMode="External"/><Relationship Id="rId547" Type="http://schemas.openxmlformats.org/officeDocument/2006/relationships/hyperlink" Target="https://actualicese.com/guias-y-casos-para-preparar-la-declaracion-de-renta-de-personas-naturales-por-el-ano-gravable-2020/?referer=L-excel-formato&amp;utm_medium=act_formato_excel&amp;utm_source=act_formato_excel&amp;utm_campaign=act_formato_excel&amp;utm_content=act_formato_excel_link" TargetMode="External"/><Relationship Id="rId754" Type="http://schemas.openxmlformats.org/officeDocument/2006/relationships/hyperlink" Target="https://actualicese.com/formatos-de-exogena-por-el-ano-gravable-2019-reportes-de-los-mandatarios/?referer=L-excel-formato&amp;utm_medium=act_formato_excel&amp;utm_source=act_formato_excel&amp;utm_campaign=act_formato_excel&amp;utm_content=act_formato_excel_link" TargetMode="External"/><Relationship Id="rId961" Type="http://schemas.openxmlformats.org/officeDocument/2006/relationships/hyperlink" Target="https://actualicese.com/rentas-exentas-y-deducciones-aplicables-a-cada-cedula/?referer=L-excel-formato&amp;utm_medium=act_formato_excel&amp;utm_source=act_formato_excel&amp;utm_campaign=act_formato_excel&amp;utm_content=act_formato_excel_link" TargetMode="External"/><Relationship Id="rId1384" Type="http://schemas.openxmlformats.org/officeDocument/2006/relationships/hyperlink" Target="https://actualicese.com/atencion-integral-en-seguridad-y-salud-en-el-trabajo-2015-asma-de-origen-ocupacional/?referer=L-excel-formato&amp;utm_medium=act_formato_excel&amp;utm_source=act_formato_excel&amp;utm_campaign=act_formato_excel&amp;utm_content=act_formato_excel_link" TargetMode="External"/><Relationship Id="rId1591" Type="http://schemas.openxmlformats.org/officeDocument/2006/relationships/hyperlink" Target="https://actualicese.com/conversion-de-tasas-de-interes-edicson-ortiz-dicelis/?referer=L-excel-formato&amp;utm_medium=act_formato_excel&amp;utm_source=act_formato_excel&amp;utm_campaign=act_formato_excel&amp;utm_content=act_formato_excel_link" TargetMode="External"/><Relationship Id="rId1605" Type="http://schemas.openxmlformats.org/officeDocument/2006/relationships/hyperlink" Target="https://actualicese.com/word-acta-de-junta-para-transformar-sociedad-en-comandita-en-sas/?referer=L-excel-formato&amp;utm_medium=act_formato_excel&amp;utm_source=act_formato_excel&amp;utm_campaign=act_formato_excel&amp;utm_content=act_formato_excel_link" TargetMode="External"/><Relationship Id="rId1689" Type="http://schemas.openxmlformats.org/officeDocument/2006/relationships/hyperlink" Target="https://actualicese.com/ejercicios-de-conversion-entre-tasas-de-interes-efectiva-nominal-y-periodica/?referer=L-excel-formato&amp;utm_medium=act_formato_excel&amp;utm_source=act_formato_excel&amp;utm_campaign=act_formato_excel&amp;utm_content=act_formato_excel_link" TargetMode="External"/><Relationship Id="rId1812" Type="http://schemas.openxmlformats.org/officeDocument/2006/relationships/hyperlink" Target="https://actualicese.com/simulador-del-limite-de-costos-y-gastos-no-soportados-en-factura-electronica/?referer=L-excel-formato&amp;utm_medium=act_formato_excel&amp;utm_source=act_formato_excel&amp;utm_campaign=act_formato_excel&amp;utm_content=act_formato_excel_link" TargetMode="External"/><Relationship Id="rId2228" Type="http://schemas.openxmlformats.org/officeDocument/2006/relationships/hyperlink" Target="https://actualicese.com/liquidador-plantilla-del-formato-1009-de-exogena-2023-informacion-de-cuentas-por-pagar/?referer=L-excel-formato&amp;utm_medium=act_formato_excel&amp;utm_source=act_formato_excel&amp;utm_campaign=act_formato_excel&amp;utm_content=act_formato_excel_link" TargetMode="External"/><Relationship Id="rId2435" Type="http://schemas.openxmlformats.org/officeDocument/2006/relationships/hyperlink" Target="https://actualicese.com/codigos-de-responsabilidades-tributarias-rut-casilla-53/?referer=L-excel-formato&amp;utm_medium=act_formato_excel&amp;utm_source=act_formato_excel&amp;utm_campaign=act_formato_excel&amp;utm_content=act_formato_excel_link" TargetMode="External"/><Relationship Id="rId90" Type="http://schemas.openxmlformats.org/officeDocument/2006/relationships/hyperlink" Target="https://actualicese.com/casos-practicos-de-contabilizacion-de-compras-con-tarjetas-de-credito/?referer=L-excel-formato&amp;utm_medium=act_formato_excel&amp;utm_source=act_formato_excel&amp;utm_campaign=act_formato_excel&amp;utm_content=act_formato_excel_link" TargetMode="External"/><Relationship Id="rId186" Type="http://schemas.openxmlformats.org/officeDocument/2006/relationships/hyperlink" Target="https://actualicese.com/matriz-y-ejemplos-sobre-la-determinacion-de-la-residencia-fiscal-de-las-personas-naturales/?referer=L-excel-formato&amp;utm_medium=act_formato_excel&amp;utm_source=act_formato_excel&amp;utm_campaign=act_formato_excel&amp;utm_content=act_formato_excel_link" TargetMode="External"/><Relationship Id="rId393" Type="http://schemas.openxmlformats.org/officeDocument/2006/relationships/hyperlink" Target="https://actualicese.com/liquidador-de-cesantias-en-excel-aplicado-a-11-casos-practicos/?referer=L-excel-formato&amp;utm_medium=act_formato_excel&amp;utm_source=act_formato_excel&amp;utm_campaign=act_formato_excel&amp;utm_content=act_formato_excel_link" TargetMode="External"/><Relationship Id="rId407" Type="http://schemas.openxmlformats.org/officeDocument/2006/relationships/hyperlink" Target="https://actualicese.com/solicitud-compensacion-en-dinero-de-las-vacaciones/?referer=L-excel-formato&amp;utm_medium=act_formato_excel&amp;utm_source=act_formato_excel&amp;utm_campaign=act_formato_excel&amp;utm_content=act_formato_excel_link" TargetMode="External"/><Relationship Id="rId614" Type="http://schemas.openxmlformats.org/officeDocument/2006/relationships/hyperlink" Target="https://actualicese.com/plantilla-de-los-formatos-exogena-1011-1012-y-2275-por-el-ano-gravable-2020-reporte-de-otros-datos-en-renta-e-iva/?referer=L-excel-formato&amp;utm_medium=act_formato_excel&amp;utm_source=act_formato_excel&amp;utm_campaign=act_formato_excel&amp;utm_content=act_formato_excel_link" TargetMode="External"/><Relationship Id="rId821" Type="http://schemas.openxmlformats.org/officeDocument/2006/relationships/hyperlink" Target="https://actualicese.com/calculo-de-intereses-presuntivos-sobre-prestamos-entre-socios-y-sociedades-durante-2018/?referer=L-excel-formato&amp;utm_medium=act_formato_excel&amp;utm_source=act_formato_excel&amp;utm_campaign=act_formato_excel&amp;utm_content=act_formato_excel_link" TargetMode="External"/><Relationship Id="rId1037" Type="http://schemas.openxmlformats.org/officeDocument/2006/relationships/hyperlink" Target="https://actualicese.com/independencia-del-revisor-fiscal-o-auditor-de-la-firma/?referer=L-excel-formato&amp;utm_medium=act_formato_excel&amp;utm_source=act_formato_excel&amp;utm_campaign=act_formato_excel&amp;utm_content=act_formato_excel_link" TargetMode="External"/><Relationship Id="rId1244" Type="http://schemas.openxmlformats.org/officeDocument/2006/relationships/hyperlink" Target="https://actualicese.com/diferencias-en-la-declaracion-de-renta-de-personas-naturales-obligadas-o-no-a-llevar-contabilidad/?referer=L-excel-formato&amp;utm_medium=act_formato_excel&amp;utm_source=act_formato_excel&amp;utm_campaign=act_formato_excel&amp;utm_content=act_formato_excel_link" TargetMode="External"/><Relationship Id="rId1451" Type="http://schemas.openxmlformats.org/officeDocument/2006/relationships/hyperlink" Target="https://actualicese.com/modelo-de-certificado-de-retencion-en-la-fuente-por-conceptos-diferentes-a-rentas-laborales/?referer=L-excel-formato&amp;utm_medium=act_formato_excel&amp;utm_source=act_formato_excel&amp;utm_campaign=act_formato_excel&amp;utm_content=act_formato_excel_link" TargetMode="External"/><Relationship Id="rId1896" Type="http://schemas.openxmlformats.org/officeDocument/2006/relationships/hyperlink" Target="https://actualicese.com/tratamiento-del-ica-como-descuento-o-deduccion-para-personas-naturales-caso-practico-en-excel/?referer=L-excel-formato&amp;utm_medium=act_formato_excel&amp;utm_source=act_formato_excel&amp;utm_campaign=act_formato_excel&amp;utm_content=act_formato_excel_link" TargetMode="External"/><Relationship Id="rId2074" Type="http://schemas.openxmlformats.org/officeDocument/2006/relationships/hyperlink" Target="https://actualicese.com/simulador-del-impuesto-para-dividendos-y-participaciones-gravados-de-2017-y-siguientes/?referer=L-excel-formato&amp;utm_medium=act_formato_excel&amp;utm_source=act_formato_excel&amp;utm_campaign=act_formato_excel&amp;utm_content=act_formato_excel_link" TargetMode="External"/><Relationship Id="rId2281" Type="http://schemas.openxmlformats.org/officeDocument/2006/relationships/hyperlink" Target="https://actualicese.com/liquidador-del-anticipo-del-impuesto-de-renta-2024-para-personas-juridicas-y-naturales/?referer=L-excel-formato&amp;utm_medium=act_formato_excel&amp;utm_source=act_formato_excel&amp;utm_campaign=act_formato_excel&amp;utm_content=act_formato_excel_link" TargetMode="External"/><Relationship Id="rId253" Type="http://schemas.openxmlformats.org/officeDocument/2006/relationships/hyperlink" Target="https://actualicese.com/notificacion-de-sancion-disciplinaria/?referer=L-excel-formato&amp;utm_medium=act_formato_excel&amp;utm_source=act_formato_excel&amp;utm_campaign=act_formato_excel&amp;utm_content=act_formato_excel_link" TargetMode="External"/><Relationship Id="rId460" Type="http://schemas.openxmlformats.org/officeDocument/2006/relationships/hyperlink" Target="https://actualicese.com/formatos-de-analisis-financiero-en-excel/?referer=L-excel-formato&amp;utm_medium=act_formato_excel&amp;utm_source=act_formato_excel&amp;utm_campaign=act_formato_excel&amp;utm_content=act_formato_excel_link" TargetMode="External"/><Relationship Id="rId698" Type="http://schemas.openxmlformats.org/officeDocument/2006/relationships/hyperlink" Target="https://actualicese.com/dacion-en-pago/?referer=L-excel-formato&amp;utm_medium=act_formato_excel&amp;utm_source=act_formato_excel&amp;utm_campaign=act_formato_excel&amp;utm_content=act_formato_excel_link" TargetMode="External"/><Relationship Id="rId919" Type="http://schemas.openxmlformats.org/officeDocument/2006/relationships/hyperlink" Target="https://actualicese.com/modelo-recurso-de-queja-proceso-laboral/?referer=L-excel-formato&amp;utm_medium=act_formato_excel&amp;utm_source=act_formato_excel&amp;utm_campaign=act_formato_excel&amp;utm_content=act_formato_excel_link" TargetMode="External"/><Relationship Id="rId1090" Type="http://schemas.openxmlformats.org/officeDocument/2006/relationships/hyperlink" Target="https://actualicese.com/cedula-rentas-de-capital-y-su-renta-liquida-segun-concepto-5984-de-marzo-17-de-2017/?referer=L-excel-formato&amp;utm_medium=act_formato_excel&amp;utm_source=act_formato_excel&amp;utm_campaign=act_formato_excel&amp;utm_content=act_formato_excel_link" TargetMode="External"/><Relationship Id="rId1104" Type="http://schemas.openxmlformats.org/officeDocument/2006/relationships/hyperlink" Target="https://actualicese.com/contribuyentes-de-monotributo-beps-y-valor-a-pagar-por-cada-componente/?referer=L-excel-formato&amp;utm_medium=act_formato_excel&amp;utm_source=act_formato_excel&amp;utm_campaign=act_formato_excel&amp;utm_content=act_formato_excel_link" TargetMode="External"/><Relationship Id="rId1311" Type="http://schemas.openxmlformats.org/officeDocument/2006/relationships/hyperlink" Target="https://actualicese.com/formato-1008-reporte-de-cuentas-por-cobrar-a-diciembre-31-del-2015/?referer=L-excel-formato&amp;utm_medium=act_formato_excel&amp;utm_source=act_formato_excel&amp;utm_campaign=act_formato_excel&amp;utm_content=act_formato_excel_link" TargetMode="External"/><Relationship Id="rId1549" Type="http://schemas.openxmlformats.org/officeDocument/2006/relationships/hyperlink" Target="https://actualicese.com/cierre-contable-2013-lista-de-chequeo-para-verificacion-de-informacion/?referer=L-excel-formato&amp;utm_medium=act_formato_excel&amp;utm_source=act_formato_excel&amp;utm_campaign=act_formato_excel&amp;utm_content=act_formato_excel_link" TargetMode="External"/><Relationship Id="rId1756" Type="http://schemas.openxmlformats.org/officeDocument/2006/relationships/hyperlink" Target="https://actualicese.com/horas-diurnas-nocturnas-extras-dominicales-y-festivas/?referer=L-excel-formato&amp;utm_medium=act_formato_excel&amp;utm_source=act_formato_excel&amp;utm_campaign=act_formato_excel&amp;utm_content=act_formato_excel_link" TargetMode="External"/><Relationship Id="rId1963" Type="http://schemas.openxmlformats.org/officeDocument/2006/relationships/hyperlink" Target="https://actualicese.com/estado-de-flujos-de-efectivo-por-el-metodo-indirecto-ejercicio-practico-y-plantilla-en-excel/?referer=L-excel-formato&amp;utm_medium=act_formato_excel&amp;utm_source=act_formato_excel&amp;utm_campaign=act_formato_excel&amp;utm_content=act_formato_excel_link" TargetMode="External"/><Relationship Id="rId2141" Type="http://schemas.openxmlformats.org/officeDocument/2006/relationships/hyperlink" Target="https://actualicese.com/tabla-de-tarifas-de-honorarios-profesionales-para-contadores-publicos/?referer=L-excel-formato&amp;utm_medium=act_formato_excel&amp;utm_source=act_formato_excel&amp;utm_campaign=act_formato_excel&amp;utm_content=act_formato_excel_link" TargetMode="External"/><Relationship Id="rId2379" Type="http://schemas.openxmlformats.org/officeDocument/2006/relationships/hyperlink" Target="https://actualicese.com/modelo-para-analizar-el-valor-presente-y-el-valor-presente-neto-de-una-inversion/?referer=L-excel-formato&amp;utm_medium=act_formato_excel&amp;utm_source=act_formato_excel&amp;utm_campaign=act_formato_excel&amp;utm_content=act_formato_excel_link" TargetMode="External"/><Relationship Id="rId48" Type="http://schemas.openxmlformats.org/officeDocument/2006/relationships/hyperlink" Target="https://actualicese.com/estado-de-flujos-de-efectivo-por-el-metodo-indirecto-ejercicio-practico-y-plantilla-en-excel/?referer=L-excel-formato&amp;utm_medium=act_formato_excel&amp;utm_source=act_formato_excel&amp;utm_campaign=act_formato_excel&amp;utm_content=act_formato_excel_link" TargetMode="External"/><Relationship Id="rId113" Type="http://schemas.openxmlformats.org/officeDocument/2006/relationships/hyperlink" Target="https://actualicese.com/20-liquidadores-de-sanciones-y-procedimiento-tributario-2022/?referer=L-excel-formato&amp;utm_medium=act_formato_excel&amp;utm_source=act_formato_excel&amp;utm_campaign=act_formato_excel&amp;utm_content=act_formato_excel_link" TargetMode="External"/><Relationship Id="rId320" Type="http://schemas.openxmlformats.org/officeDocument/2006/relationships/hyperlink" Target="https://actualicese.com/calendario-de-implementacion-del-documento-soporte-de-pago-de-nomina-electronica/?referer=L-excel-formato&amp;utm_medium=act_formato_excel&amp;utm_source=act_formato_excel&amp;utm_campaign=act_formato_excel&amp;utm_content=act_formato_excel_link" TargetMode="External"/><Relationship Id="rId558" Type="http://schemas.openxmlformats.org/officeDocument/2006/relationships/hyperlink" Target="https://actualicese.com/modelo-de-certificado-para-acceder-a-los-beneficios-por-contratar-adultos-mayores-no-pensionados/?referer=L-excel-formato&amp;utm_medium=act_formato_excel&amp;utm_source=act_formato_excel&amp;utm_campaign=act_formato_excel&amp;utm_content=act_formato_excel_link" TargetMode="External"/><Relationship Id="rId765" Type="http://schemas.openxmlformats.org/officeDocument/2006/relationships/hyperlink" Target="https://actualicese.com/formato-exogena-1007-por-el-ano-gravable-2019-reportes-de-ingresos-propios/?referer=L-excel-formato&amp;utm_medium=act_formato_excel&amp;utm_source=act_formato_excel&amp;utm_campaign=act_formato_excel&amp;utm_content=act_formato_excel_link" TargetMode="External"/><Relationship Id="rId972" Type="http://schemas.openxmlformats.org/officeDocument/2006/relationships/hyperlink" Target="https://actualicese.com/levantamiento-de-medida-cautelar-en-proceso-de-reorganizacion/?referer=L-excel-formato&amp;utm_medium=act_formato_excel&amp;utm_source=act_formato_excel&amp;utm_campaign=act_formato_excel&amp;utm_content=act_formato_excel_link" TargetMode="External"/><Relationship Id="rId1188" Type="http://schemas.openxmlformats.org/officeDocument/2006/relationships/hyperlink" Target="https://actualicese.com/modelo-para-definir-porcentaje-fijo-de-retefuente-sobre-salarios-en-diciembre-2016-procedimiento-2/?referer=L-excel-formato&amp;utm_medium=act_formato_excel&amp;utm_source=act_formato_excel&amp;utm_campaign=act_formato_excel&amp;utm_content=act_formato_excel_link" TargetMode="External"/><Relationship Id="rId1395" Type="http://schemas.openxmlformats.org/officeDocument/2006/relationships/hyperlink" Target="https://actualicese.com/revelaciones-exigidas-por-la-nic-8-politicas-contables-cambios-en-las-estimaciones-contables-y-errores/?referer=L-excel-formato&amp;utm_medium=act_formato_excel&amp;utm_source=act_formato_excel&amp;utm_campaign=act_formato_excel&amp;utm_content=act_formato_excel_link" TargetMode="External"/><Relationship Id="rId1409" Type="http://schemas.openxmlformats.org/officeDocument/2006/relationships/hyperlink" Target="https://actualicese.com/contrato-de-suministro/?referer=L-excel-formato&amp;utm_medium=act_formato_excel&amp;utm_source=act_formato_excel&amp;utm_campaign=act_formato_excel&amp;utm_content=act_formato_excel_link" TargetMode="External"/><Relationship Id="rId1616" Type="http://schemas.openxmlformats.org/officeDocument/2006/relationships/hyperlink" Target="https://actualicese.com/word-contrato-de-fabricacion-de-productos/?referer=L-excel-formato&amp;utm_medium=act_formato_excel&amp;utm_source=act_formato_excel&amp;utm_campaign=act_formato_excel&amp;utm_content=act_formato_excel_link" TargetMode="External"/><Relationship Id="rId1823" Type="http://schemas.openxmlformats.org/officeDocument/2006/relationships/hyperlink" Target="https://actualicese.com/carta-de-finalizacion-del-contrato-individual-de-trabajo-por-justa-causa/?referer=L-excel-formato&amp;utm_medium=act_formato_excel&amp;utm_source=act_formato_excel&amp;utm_campaign=act_formato_excel&amp;utm_content=act_formato_excel_link" TargetMode="External"/><Relationship Id="rId2001" Type="http://schemas.openxmlformats.org/officeDocument/2006/relationships/hyperlink" Target="https://actualicese.com/revocatoria-de-poder-otorgado-a-un-abogado/?referer=L-excel-formato&amp;utm_medium=act_formato_excel&amp;utm_source=act_formato_excel&amp;utm_campaign=act_formato_excel&amp;utm_content=act_formato_excel_link" TargetMode="External"/><Relationship Id="rId2239" Type="http://schemas.openxmlformats.org/officeDocument/2006/relationships/hyperlink" Target="https://actualicese.com/plantilla-en-excel-del-formulario-310-ag-2024-declaracion-del-impuesto-nacional-al-consumo-inc/?referer=L-excel-formato&amp;utm_medium=act_formato_excel&amp;utm_source=act_formato_excel&amp;utm_campaign=act_formato_excel&amp;utm_content=act_formato_excel_link" TargetMode="External"/><Relationship Id="rId2446" Type="http://schemas.openxmlformats.org/officeDocument/2006/relationships/hyperlink" Target="https://actualicese.com/historico-de-la-variacion-nominal-del-salario-minimo-e-inflacion-1993-2025/?referer=L-excel-formato&amp;utm_medium=act_formato_excel&amp;utm_source=act_formato_excel&amp;utm_campaign=act_formato_excel&amp;utm_content=act_formato_excel_link" TargetMode="External"/><Relationship Id="rId197" Type="http://schemas.openxmlformats.org/officeDocument/2006/relationships/hyperlink" Target="https://actualicese.com/formatos-para-la-declaracion-de-renta-de-personas-naturales-2021/?referer=L-excel-formato&amp;utm_medium=act_formato_excel&amp;utm_source=act_formato_excel&amp;utm_campaign=act_formato_excel&amp;utm_content=act_formato_excel_link" TargetMode="External"/><Relationship Id="rId418" Type="http://schemas.openxmlformats.org/officeDocument/2006/relationships/hyperlink" Target="https://actualicese.com/calendario-tributario-distrital-2022/?referer=L-excel-formato&amp;utm_medium=act_formato_excel&amp;utm_source=act_formato_excel&amp;utm_campaign=act_formato_excel&amp;utm_content=act_formato_excel_link" TargetMode="External"/><Relationship Id="rId625" Type="http://schemas.openxmlformats.org/officeDocument/2006/relationships/hyperlink" Target="https://actualicese.com/contrato-de-mercancias-en-consignacion/?referer=L-excel-formato&amp;utm_medium=act_formato_excel&amp;utm_source=act_formato_excel&amp;utm_campaign=act_formato_excel&amp;utm_content=act_formato_excel_link" TargetMode="External"/><Relationship Id="rId832" Type="http://schemas.openxmlformats.org/officeDocument/2006/relationships/hyperlink" Target="https://actualicese.com/residentes-vs-no-residentes-frente-al-impuesto-de-renta-y-ganancia-ocasional-2018/?referer=L-excel-formato&amp;utm_medium=act_formato_excel&amp;utm_source=act_formato_excel&amp;utm_campaign=act_formato_excel&amp;utm_content=act_formato_excel_link" TargetMode="External"/><Relationship Id="rId1048" Type="http://schemas.openxmlformats.org/officeDocument/2006/relationships/hyperlink" Target="https://actualicese.com/conciliacion-contable-y-tributaria-casos-de-costos-y-deducciones-parte-ii/?referer=L-excel-formato&amp;utm_medium=act_formato_excel&amp;utm_source=act_formato_excel&amp;utm_campaign=act_formato_excel&amp;utm_content=act_formato_excel_link" TargetMode="External"/><Relationship Id="rId1255" Type="http://schemas.openxmlformats.org/officeDocument/2006/relationships/hyperlink" Target="https://actualicese.com/iman-e-imas-en-el-impuesto-de-renta-para-empleados-modelo-para-proyectar-efectos-2015/?referer=L-excel-formato&amp;utm_medium=act_formato_excel&amp;utm_source=act_formato_excel&amp;utm_campaign=act_formato_excel&amp;utm_content=act_formato_excel_link" TargetMode="External"/><Relationship Id="rId1462" Type="http://schemas.openxmlformats.org/officeDocument/2006/relationships/hyperlink" Target="https://actualicese.com/casos-de-la-depuracion-del-impuesto-de-renta-en-las-entidades-del-regimen-tributario-especial/?referer=L-excel-formato&amp;utm_medium=act_formato_excel&amp;utm_source=act_formato_excel&amp;utm_campaign=act_formato_excel&amp;utm_content=act_formato_excel_link" TargetMode="External"/><Relationship Id="rId2085" Type="http://schemas.openxmlformats.org/officeDocument/2006/relationships/hyperlink" Target="https://actualicese.com/retencion-en-la-fuente-sobre-prima-de-servicios-caso-practico/?referer=L-excel-formato&amp;utm_medium=act_formato_excel&amp;utm_source=act_formato_excel&amp;utm_campaign=act_formato_excel&amp;utm_content=act_formato_excel_link" TargetMode="External"/><Relationship Id="rId2292" Type="http://schemas.openxmlformats.org/officeDocument/2006/relationships/hyperlink" Target="https://actualicese.com/liquidador-excel-del-formulario-110-y-formato-2516-para-la-declaracion-de-renta-de-personas-naturales-no-residentes-que-llevan-contabilidad-ag-2023/?referer=L-excel-formato&amp;utm_medium=act_formato_excel&amp;utm_source=act_formato_excel&amp;utm_campaign=act_formato_excel&amp;utm_content=act_formato_excel_link" TargetMode="External"/><Relationship Id="rId2306" Type="http://schemas.openxmlformats.org/officeDocument/2006/relationships/hyperlink" Target="https://actualicese.com/caso-practico-de-contabilizacion-de-devoluciones-en-ventas/?referer=L-excel-formato&amp;utm_medium=act_formato_excel&amp;utm_source=act_formato_excel&amp;utm_campaign=act_formato_excel&amp;utm_content=act_formato_excel_link" TargetMode="External"/><Relationship Id="rId264" Type="http://schemas.openxmlformats.org/officeDocument/2006/relationships/hyperlink" Target="https://actualicese.com/ejemplo-de-la-depuracion-de-la-seccion-de-rentas-de-capital-del-formulario-210/?referer=L-excel-formato&amp;utm_medium=act_formato_excel&amp;utm_source=act_formato_excel&amp;utm_campaign=act_formato_excel&amp;utm_content=act_formato_excel_link" TargetMode="External"/><Relationship Id="rId471" Type="http://schemas.openxmlformats.org/officeDocument/2006/relationships/hyperlink" Target="https://actualicese.com/analisis-de-informacion-de-ventas-utilizando-el-metodo-del-indice-de-estacionalidad/?referer=L-excel-formato&amp;utm_medium=act_formato_excel&amp;utm_source=act_formato_excel&amp;utm_campaign=act_formato_excel&amp;utm_content=act_formato_excel_link" TargetMode="External"/><Relationship Id="rId1115" Type="http://schemas.openxmlformats.org/officeDocument/2006/relationships/hyperlink" Target="https://actualicese.com/escrituras-de-venta-de-inmueble-que-no-esta-ubicado-en-propiedad-horizontal/?referer=L-excel-formato&amp;utm_medium=act_formato_excel&amp;utm_source=act_formato_excel&amp;utm_campaign=act_formato_excel&amp;utm_content=act_formato_excel_link" TargetMode="External"/><Relationship Id="rId1322" Type="http://schemas.openxmlformats.org/officeDocument/2006/relationships/hyperlink" Target="https://actualicese.com/declaracion-anual-del-impuesto-de-industria-y-comercio-en-cali/?referer=L-excel-formato&amp;utm_medium=act_formato_excel&amp;utm_source=act_formato_excel&amp;utm_campaign=act_formato_excel&amp;utm_content=act_formato_excel_link" TargetMode="External"/><Relationship Id="rId1767" Type="http://schemas.openxmlformats.org/officeDocument/2006/relationships/hyperlink" Target="https://actualicese.com/solicitud-compensacion-en-dinero-de-las-vacaciones/?referer=L-excel-formato&amp;utm_medium=act_formato_excel&amp;utm_source=act_formato_excel&amp;utm_campaign=act_formato_excel&amp;utm_content=act_formato_excel_link" TargetMode="External"/><Relationship Id="rId1974" Type="http://schemas.openxmlformats.org/officeDocument/2006/relationships/hyperlink" Target="https://actualicese.com/simulador-de-estado-de-situacion-financiera-analisis-comparativo/?referer=L-excel-formato&amp;utm_medium=act_formato_excel&amp;utm_source=act_formato_excel&amp;utm_campaign=act_formato_excel&amp;utm_content=act_formato_excel_link" TargetMode="External"/><Relationship Id="rId2152" Type="http://schemas.openxmlformats.org/officeDocument/2006/relationships/hyperlink" Target="https://actualicese.com/liquidador-tributacion-sobre-dividendos-y-calculo-de-su-retencion-luego-de-la-ley-2277-de-2022/?referer=L-excel-formato&amp;utm_medium=act_formato_excel&amp;utm_source=act_formato_excel&amp;utm_campaign=act_formato_excel&amp;utm_content=act_formato_excel_link" TargetMode="External"/><Relationship Id="rId59" Type="http://schemas.openxmlformats.org/officeDocument/2006/relationships/hyperlink" Target="https://actualicese.com/modelo-de-certificacion-de-estados-financieros-consolidados/?referer=L-excel-formato&amp;utm_medium=act_formato_excel&amp;utm_source=act_formato_excel&amp;utm_campaign=act_formato_excel&amp;utm_content=act_formato_excel_link" TargetMode="External"/><Relationship Id="rId124" Type="http://schemas.openxmlformats.org/officeDocument/2006/relationships/hyperlink" Target="https://actualicese.com/modelo-para-tramitar-una-queja-ante-la-superintendencia-financiera-de-colombia/?referer=L-excel-formato&amp;utm_medium=act_formato_excel&amp;utm_source=act_formato_excel&amp;utm_campaign=act_formato_excel&amp;utm_content=act_formato_excel_link" TargetMode="External"/><Relationship Id="rId569" Type="http://schemas.openxmlformats.org/officeDocument/2006/relationships/hyperlink" Target="https://actualicese.com/liquidador-del-monto-del-salario-y-de-prestaciones-sociales-que-se-puede-embargar-a-un-trabajador/?referer=L-excel-formato&amp;utm_medium=act_formato_excel&amp;utm_source=act_formato_excel&amp;utm_campaign=act_formato_excel&amp;utm_content=act_formato_excel_link" TargetMode="External"/><Relationship Id="rId776" Type="http://schemas.openxmlformats.org/officeDocument/2006/relationships/hyperlink" Target="https://actualicese.com/calendario-tributario-2019-version-para-imprimir/?referer=L-excel-formato&amp;utm_medium=act_formato_excel&amp;utm_source=act_formato_excel&amp;utm_campaign=act_formato_excel&amp;utm_content=act_formato_excel_link" TargetMode="External"/><Relationship Id="rId983" Type="http://schemas.openxmlformats.org/officeDocument/2006/relationships/hyperlink" Target="https://actualicese.com/formatos-de-exogena-por-el-ano-gravable-2017-reportes-de-los-mandatarios/?referer=L-excel-formato&amp;utm_medium=act_formato_excel&amp;utm_source=act_formato_excel&amp;utm_campaign=act_formato_excel&amp;utm_content=act_formato_excel_link" TargetMode="External"/><Relationship Id="rId1199" Type="http://schemas.openxmlformats.org/officeDocument/2006/relationships/hyperlink" Target="https://actualicese.com/representacion-ante-la-superintendencia-de-sociedades/?referer=L-excel-formato&amp;utm_medium=act_formato_excel&amp;utm_source=act_formato_excel&amp;utm_campaign=act_formato_excel&amp;utm_content=act_formato_excel_link" TargetMode="External"/><Relationship Id="rId1627" Type="http://schemas.openxmlformats.org/officeDocument/2006/relationships/hyperlink" Target="https://actualicese.com/clasificacion-actual-de-los-bienes-corporales-muebles-en-relacion-con-el-impuesto-sobre-las-ventas/?referer=L-excel-formato&amp;utm_medium=act_formato_excel&amp;utm_source=act_formato_excel&amp;utm_campaign=act_formato_excel&amp;utm_content=act_formato_excel_link" TargetMode="External"/><Relationship Id="rId1834" Type="http://schemas.openxmlformats.org/officeDocument/2006/relationships/hyperlink" Target="https://actualicese.com/actualicese-110-xls/?referer=L-excel-formato&amp;utm_medium=act_formato_excel&amp;utm_source=act_formato_excel&amp;utm_campaign=act_formato_excel&amp;utm_content=act_formato_excel_link" TargetMode="External"/><Relationship Id="rId2457" Type="http://schemas.openxmlformats.org/officeDocument/2006/relationships/hyperlink" Target="https://actualicese.com/liquidador-de-cesantias-en-excel-aplicado-a-11-casos-practicos/?referer=L-excel-formato&amp;utm_medium=act_formato_excel&amp;utm_source=act_formato_excel&amp;utm_campaign=act_formato_excel&amp;utm_content=act_formato_excel_link" TargetMode="External"/><Relationship Id="rId331" Type="http://schemas.openxmlformats.org/officeDocument/2006/relationships/hyperlink" Target="https://actualicese.com/tabla-de-retencion-en-la-fuente-2022/?referer=L-excel-formato&amp;utm_medium=act_formato_excel&amp;utm_source=act_formato_excel&amp;utm_campaign=act_formato_excel&amp;utm_content=act_formato_excel_link" TargetMode="External"/><Relationship Id="rId429" Type="http://schemas.openxmlformats.org/officeDocument/2006/relationships/hyperlink" Target="https://actualicese.com/metodos-de-medicion-de-activos-y-pasivos-segun-el-estandar-para-pymes/?referer=L-excel-formato&amp;utm_medium=act_formato_excel&amp;utm_source=act_formato_excel&amp;utm_campaign=act_formato_excel&amp;utm_content=act_formato_excel_link" TargetMode="External"/><Relationship Id="rId636" Type="http://schemas.openxmlformats.org/officeDocument/2006/relationships/hyperlink" Target="https://actualicese.com/modelo-de-inventario-de-entrega-de-inmueble/?referer=L-excel-formato&amp;utm_medium=act_formato_excel&amp;utm_source=act_formato_excel&amp;utm_campaign=act_formato_excel&amp;utm_content=act_formato_excel_link" TargetMode="External"/><Relationship Id="rId1059" Type="http://schemas.openxmlformats.org/officeDocument/2006/relationships/hyperlink" Target="https://actualicese.com/cesion-de-derechos-litigiosos/?referer=L-excel-formato&amp;utm_medium=act_formato_excel&amp;utm_source=act_formato_excel&amp;utm_campaign=act_formato_excel&amp;utm_content=act_formato_excel_link" TargetMode="External"/><Relationship Id="rId1266" Type="http://schemas.openxmlformats.org/officeDocument/2006/relationships/hyperlink" Target="https://actualicese.com/lista-de-chequeo-de-revelaciones-seccion-3-presentacion-de-estados-financieros/?referer=L-excel-formato&amp;utm_medium=act_formato_excel&amp;utm_source=act_formato_excel&amp;utm_campaign=act_formato_excel&amp;utm_content=act_formato_excel_link" TargetMode="External"/><Relationship Id="rId1473" Type="http://schemas.openxmlformats.org/officeDocument/2006/relationships/hyperlink" Target="https://actualicese.com/fideicomiso-civil/?referer=L-excel-formato&amp;utm_medium=act_formato_excel&amp;utm_source=act_formato_excel&amp;utm_campaign=act_formato_excel&amp;utm_content=act_formato_excel_link" TargetMode="External"/><Relationship Id="rId2012" Type="http://schemas.openxmlformats.org/officeDocument/2006/relationships/hyperlink" Target="https://actualicese.com/caso-practico-en-excel-utilidad-del-impuesto-diferido-en-la-correccion-del-efecto-de-las-normas-fiscales/?referer=L-excel-formato&amp;utm_medium=act_formato_excel&amp;utm_source=act_formato_excel&amp;utm_campaign=act_formato_excel&amp;utm_content=act_formato_excel_link" TargetMode="External"/><Relationship Id="rId2096" Type="http://schemas.openxmlformats.org/officeDocument/2006/relationships/hyperlink" Target="https://actualicese.com/declaracion-de-renta-de-personas-naturales-documentos-necesarios-para-su-elaboracion/?referer=L-excel-formato&amp;utm_medium=act_formato_excel&amp;utm_source=act_formato_excel&amp;utm_campaign=act_formato_excel&amp;utm_content=act_formato_excel_link" TargetMode="External"/><Relationship Id="rId2317" Type="http://schemas.openxmlformats.org/officeDocument/2006/relationships/hyperlink" Target="https://actualicese.com/formato-de-arqueo-de-caja-general/?referer=L-excel-formato&amp;utm_medium=act_formato_excel&amp;utm_source=act_formato_excel&amp;utm_campaign=act_formato_excel&amp;utm_content=act_formato_excel_link" TargetMode="External"/><Relationship Id="rId843" Type="http://schemas.openxmlformats.org/officeDocument/2006/relationships/hyperlink" Target="https://actualicese.com/guia-diferencias-entre-el-registro-de-una-marca-y-una-empresa/?referer=L-excel-formato&amp;utm_medium=act_formato_excel&amp;utm_source=act_formato_excel&amp;utm_campaign=act_formato_excel&amp;utm_content=act_formato_excel_link" TargetMode="External"/><Relationship Id="rId1126" Type="http://schemas.openxmlformats.org/officeDocument/2006/relationships/hyperlink" Target="https://actualicese.com/formatos-2276-2278-y-2280-para-el-reporte-de-informacion-exogena-por-2016/?referer=L-excel-formato&amp;utm_medium=act_formato_excel&amp;utm_source=act_formato_excel&amp;utm_campaign=act_formato_excel&amp;utm_content=act_formato_excel_link" TargetMode="External"/><Relationship Id="rId1680" Type="http://schemas.openxmlformats.org/officeDocument/2006/relationships/hyperlink" Target="https://actualicese.com/simulador-del-beneficio-de-auditoria-para-2021-2022-y-2023-con-las-novedades-de-la-ley-de-inversion-social/?referer=L-excel-formato&amp;utm_medium=act_formato_excel&amp;utm_source=act_formato_excel&amp;utm_campaign=act_formato_excel&amp;utm_content=act_formato_excel_link" TargetMode="External"/><Relationship Id="rId1778" Type="http://schemas.openxmlformats.org/officeDocument/2006/relationships/hyperlink" Target="https://actualicese.com/liquidador-de-retencion-en-la-fuente-con-procedimiento-1-durante-2023-sobre-rentas-de-trabajo-laborales-y-no-laborales/?referer=L-excel-formato&amp;utm_medium=act_formato_excel&amp;utm_source=act_formato_excel&amp;utm_campaign=act_formato_excel&amp;utm_content=act_formato_excel_link" TargetMode="External"/><Relationship Id="rId1901" Type="http://schemas.openxmlformats.org/officeDocument/2006/relationships/hyperlink" Target="https://actualicese.com/dictamen-de-revisor-fiscal-con-comunicacion-de-cuestiones-clave-nia-700-revisada-y-nia-701/?referer=L-excel-formato&amp;utm_medium=act_formato_excel&amp;utm_source=act_formato_excel&amp;utm_campaign=act_formato_excel&amp;utm_content=act_formato_excel_link" TargetMode="External"/><Relationship Id="rId1985" Type="http://schemas.openxmlformats.org/officeDocument/2006/relationships/hyperlink" Target="https://actualicese.com/liquidador-modelos-de-conciliacion-bancaria-individual-y-conjunta-en-excel/?referer=L-excel-formato&amp;utm_medium=act_formato_excel&amp;utm_source=act_formato_excel&amp;utm_campaign=act_formato_excel&amp;utm_content=act_formato_excel_link" TargetMode="External"/><Relationship Id="rId275" Type="http://schemas.openxmlformats.org/officeDocument/2006/relationships/hyperlink" Target="https://actualicese.com/formulario-260-ag-2021-declaracion-anual-del-regimen-simple-personas-naturales-que-no-llevan-contabilidad/?referer=L-excel-formato&amp;utm_medium=act_formato_excel&amp;utm_source=act_formato_excel&amp;utm_campaign=act_formato_excel&amp;utm_content=act_formato_excel_link" TargetMode="External"/><Relationship Id="rId482" Type="http://schemas.openxmlformats.org/officeDocument/2006/relationships/hyperlink" Target="https://actualicese.com/lista-de-chequeo-de-revelaciones-seccion-20-arrendamientos/?referer=L-excel-formato&amp;utm_medium=act_formato_excel&amp;utm_source=act_formato_excel&amp;utm_campaign=act_formato_excel&amp;utm_content=act_formato_excel_link" TargetMode="External"/><Relationship Id="rId703" Type="http://schemas.openxmlformats.org/officeDocument/2006/relationships/hyperlink" Target="https://actualicese.com/certificacion-de-bienes-y-derechos-recibidos-por-donaciones-inter-vivos/?referer=L-excel-formato&amp;utm_medium=act_formato_excel&amp;utm_source=act_formato_excel&amp;utm_campaign=act_formato_excel&amp;utm_content=act_formato_excel_link" TargetMode="External"/><Relationship Id="rId910" Type="http://schemas.openxmlformats.org/officeDocument/2006/relationships/hyperlink" Target="https://actualicese.com/nota-debito/?referer=L-excel-formato&amp;utm_medium=act_formato_excel&amp;utm_source=act_formato_excel&amp;utm_campaign=act_formato_excel&amp;utm_content=act_formato_excel_link" TargetMode="External"/><Relationship Id="rId1333" Type="http://schemas.openxmlformats.org/officeDocument/2006/relationships/hyperlink" Target="https://actualicese.com/lista-de-chequeo-de-revelaciones-nic-23-costos-por-prestamos-y-nic-24-partes-relacionadas/?referer=L-excel-formato&amp;utm_medium=act_formato_excel&amp;utm_source=act_formato_excel&amp;utm_campaign=act_formato_excel&amp;utm_content=act_formato_excel_link" TargetMode="External"/><Relationship Id="rId1540" Type="http://schemas.openxmlformats.org/officeDocument/2006/relationships/hyperlink" Target="https://actualicese.com/modelo-del-certificado-anual-a-socios-yo-accionistas-por-el-ano-2013/?referer=L-excel-formato&amp;utm_medium=act_formato_excel&amp;utm_source=act_formato_excel&amp;utm_campaign=act_formato_excel&amp;utm_content=act_formato_excel_link" TargetMode="External"/><Relationship Id="rId1638" Type="http://schemas.openxmlformats.org/officeDocument/2006/relationships/hyperlink" Target="https://actualicese.com/casos-practicos-en-excel-de-contabilizacion-de-contratos-de-prestacion-de-servicios-independientes/?referer=L-excel-formato&amp;utm_medium=act_formato_excel&amp;utm_source=act_formato_excel&amp;utm_campaign=act_formato_excel&amp;utm_content=act_formato_excel_link" TargetMode="External"/><Relationship Id="rId2163" Type="http://schemas.openxmlformats.org/officeDocument/2006/relationships/hyperlink" Target="https://actualicese.com/simulador-del-impuesto-para-dividendos-y-participaciones-gravados-de-2016-y-anteriores/?referer=L-excel-formato&amp;utm_medium=act_formato_excel&amp;utm_source=act_formato_excel&amp;utm_campaign=act_formato_excel&amp;utm_content=act_formato_excel_link" TargetMode="External"/><Relationship Id="rId2370" Type="http://schemas.openxmlformats.org/officeDocument/2006/relationships/hyperlink" Target="https://actualicese.com/ejercicio-en-excel-para-el-reconocimiento-del-deterioro-de-inventarios-al-cierre-contable-de-una-pyme/?referer=L-excel-formato&amp;utm_medium=act_formato_excel&amp;utm_source=act_formato_excel&amp;utm_campaign=act_formato_excel&amp;utm_content=act_formato_excel_link" TargetMode="External"/><Relationship Id="rId135" Type="http://schemas.openxmlformats.org/officeDocument/2006/relationships/hyperlink" Target="https://actualicese.com/casos-practicos-del-valor-patrimonial-de-los-vehiculos-en-la-declaracion-de-renta-de-personas-naturales/?referer=L-excel-formato&amp;utm_medium=act_formato_excel&amp;utm_source=act_formato_excel&amp;utm_campaign=act_formato_excel&amp;utm_content=act_formato_excel_link" TargetMode="External"/><Relationship Id="rId342" Type="http://schemas.openxmlformats.org/officeDocument/2006/relationships/hyperlink" Target="https://actualicese.com/informe-de-auditoria-sobre-un-solo-estado-financiero-elemento-partida-o-cuenta-especificos/?referer=L-excel-formato&amp;utm_medium=act_formato_excel&amp;utm_source=act_formato_excel&amp;utm_campaign=act_formato_excel&amp;utm_content=act_formato_excel_link" TargetMode="External"/><Relationship Id="rId787" Type="http://schemas.openxmlformats.org/officeDocument/2006/relationships/hyperlink" Target="https://actualicese.com/tablas-de-retencion-en-la-fuente-a-titulo-de-impuestos-nacionales-durante-el-ano-fiscal-2020/?referer=L-excel-formato&amp;utm_medium=act_formato_excel&amp;utm_source=act_formato_excel&amp;utm_campaign=act_formato_excel&amp;utm_content=act_formato_excel_link" TargetMode="External"/><Relationship Id="rId994" Type="http://schemas.openxmlformats.org/officeDocument/2006/relationships/hyperlink" Target="https://actualicese.com/reglamentacion-para-la-declaracion-de-renta-de-personas-juridicas-2017/?referer=L-excel-formato&amp;utm_medium=act_formato_excel&amp;utm_source=act_formato_excel&amp;utm_campaign=act_formato_excel&amp;utm_content=act_formato_excel_link" TargetMode="External"/><Relationship Id="rId1400" Type="http://schemas.openxmlformats.org/officeDocument/2006/relationships/hyperlink" Target="https://actualicese.com/obligaciones-tributarias-con-vencimiento-en-septiembre-del-2015/?referer=L-excel-formato&amp;utm_medium=act_formato_excel&amp;utm_source=act_formato_excel&amp;utm_campaign=act_formato_excel&amp;utm_content=act_formato_excel_link" TargetMode="External"/><Relationship Id="rId1845" Type="http://schemas.openxmlformats.org/officeDocument/2006/relationships/hyperlink" Target="https://actualicese.com/aportes-al-fondo-de-solidaridad-pensional-por-parte-de-un-empleado/?referer=L-excel-formato&amp;utm_medium=act_formato_excel&amp;utm_source=act_formato_excel&amp;utm_campaign=act_formato_excel&amp;utm_content=act_formato_excel_link" TargetMode="External"/><Relationship Id="rId2023" Type="http://schemas.openxmlformats.org/officeDocument/2006/relationships/hyperlink" Target="https://actualicese.com/formato-de-calculo-de-horas-extra-y-recargos-mensuales-o-quincenales/?referer=L-excel-formato&amp;utm_medium=act_formato_excel&amp;utm_source=act_formato_excel&amp;utm_campaign=act_formato_excel&amp;utm_content=act_formato_excel_link" TargetMode="External"/><Relationship Id="rId2230" Type="http://schemas.openxmlformats.org/officeDocument/2006/relationships/hyperlink" Target="https://actualicese.com/liquidador-plantilla-del-formato-1007-de-exogena-2023-informacion-de-ingresos-propios/?referer=L-excel-formato&amp;utm_medium=act_formato_excel&amp;utm_source=act_formato_excel&amp;utm_campaign=act_formato_excel&amp;utm_content=act_formato_excel_link" TargetMode="External"/><Relationship Id="rId202" Type="http://schemas.openxmlformats.org/officeDocument/2006/relationships/hyperlink" Target="https://actualicese.com/calendario-tributario-2022-version-en-excel/?referer=L-excel-formato&amp;utm_medium=act_formato_excel&amp;utm_source=act_formato_excel&amp;utm_campaign=act_formato_excel&amp;utm_content=act_formato_excel_link" TargetMode="External"/><Relationship Id="rId647" Type="http://schemas.openxmlformats.org/officeDocument/2006/relationships/hyperlink" Target="https://actualicese.com/certificado-de-persona-natural-no-declarante-del-impuesto-de-renta-y-complementario-2020/?referer=L-excel-formato&amp;utm_medium=act_formato_excel&amp;utm_source=act_formato_excel&amp;utm_campaign=act_formato_excel&amp;utm_content=act_formato_excel_link" TargetMode="External"/><Relationship Id="rId854" Type="http://schemas.openxmlformats.org/officeDocument/2006/relationships/hyperlink" Target="https://actualicese.com/formato-exogena-1009-por-el-ano-gravable-2018-reporte-de-cuentas-por-pagar/?referer=L-excel-formato&amp;utm_medium=act_formato_excel&amp;utm_source=act_formato_excel&amp;utm_campaign=act_formato_excel&amp;utm_content=act_formato_excel_link" TargetMode="External"/><Relationship Id="rId1277" Type="http://schemas.openxmlformats.org/officeDocument/2006/relationships/hyperlink" Target="https://actualicese.com/normatividad-aplicable-a-los-impuestos-de-renta-cree-y-riqueza-contenida-en-la-ley-1739-del-2014/?referer=L-excel-formato&amp;utm_medium=act_formato_excel&amp;utm_source=act_formato_excel&amp;utm_campaign=act_formato_excel&amp;utm_content=act_formato_excel_link" TargetMode="External"/><Relationship Id="rId1484" Type="http://schemas.openxmlformats.org/officeDocument/2006/relationships/hyperlink" Target="https://actualicese.com/indice-del-marco-tecnico-normativo-de-las-normas-de-aseguramiento-de-la-informacion/?referer=L-excel-formato&amp;utm_medium=act_formato_excel&amp;utm_source=act_formato_excel&amp;utm_campaign=act_formato_excel&amp;utm_content=act_formato_excel_link" TargetMode="External"/><Relationship Id="rId1691" Type="http://schemas.openxmlformats.org/officeDocument/2006/relationships/hyperlink" Target="https://actualicese.com/aportes-a-seguridad-social-para-trabajadores-independientes/?referer=L-excel-formato&amp;utm_medium=act_formato_excel&amp;utm_source=act_formato_excel&amp;utm_campaign=act_formato_excel&amp;utm_content=act_formato_excel_link" TargetMode="External"/><Relationship Id="rId1705" Type="http://schemas.openxmlformats.org/officeDocument/2006/relationships/hyperlink" Target="https://actualicese.com/modelo-de-dictamen-del-revisor-fiscal-para-empresas-en-liquidacion-opinion-favorable/?referer=L-excel-formato&amp;utm_medium=act_formato_excel&amp;utm_source=act_formato_excel&amp;utm_campaign=act_formato_excel&amp;utm_content=act_formato_excel_link" TargetMode="External"/><Relationship Id="rId1912" Type="http://schemas.openxmlformats.org/officeDocument/2006/relationships/hyperlink" Target="https://actualicese.com/reunion-del-maximo-organo-social-para-cambio-de-los-miembros-de-junta-directiva/?referer=L-excel-formato&amp;utm_medium=act_formato_excel&amp;utm_source=act_formato_excel&amp;utm_campaign=act_formato_excel&amp;utm_content=act_formato_excel_link" TargetMode="External"/><Relationship Id="rId2328" Type="http://schemas.openxmlformats.org/officeDocument/2006/relationships/hyperlink" Target="https://actualicese.com/liquidador-excel-del-formulario-210-para-la-declaracion-de-renta-de-personas-naturales-residentes-que-no-llevan-contabilidad-ag-2023/?referer=L-excel-formato&amp;utm_medium=act_formato_excel&amp;utm_source=act_formato_excel&amp;utm_campaign=act_formato_excel&amp;utm_content=act_formato_excel_link" TargetMode="External"/><Relationship Id="rId286" Type="http://schemas.openxmlformats.org/officeDocument/2006/relationships/hyperlink" Target="https://actualicese.com/plantilla-de-los-formatos-de-exogena-por-el-ano-gravable-2021-reportes-de-los-mandatarios/?referer=L-excel-formato&amp;utm_medium=act_formato_excel&amp;utm_source=act_formato_excel&amp;utm_campaign=act_formato_excel&amp;utm_content=act_formato_excel_link" TargetMode="External"/><Relationship Id="rId493" Type="http://schemas.openxmlformats.org/officeDocument/2006/relationships/hyperlink" Target="https://actualicese.com/liquidador-para-revisar-aportes-a-salud-y-pension-de-independientes-a-partir-del-reporte-de-exogena/?referer=L-excel-formato&amp;utm_medium=act_formato_excel&amp;utm_source=act_formato_excel&amp;utm_campaign=act_formato_excel&amp;utm_content=act_formato_excel_link" TargetMode="External"/><Relationship Id="rId507" Type="http://schemas.openxmlformats.org/officeDocument/2006/relationships/hyperlink" Target="https://actualicese.com/ejercicio-practico-en-excel-impuesto-diferido-cuando-hay-compensacion-de-perdidas-fiscales/?referer=L-excel-formato&amp;utm_medium=act_formato_excel&amp;utm_source=act_formato_excel&amp;utm_campaign=act_formato_excel&amp;utm_content=act_formato_excel_link" TargetMode="External"/><Relationship Id="rId714" Type="http://schemas.openxmlformats.org/officeDocument/2006/relationships/hyperlink" Target="https://actualicese.com/retenciones-a-practicar-entre-regimenes/?referer=L-excel-formato&amp;utm_medium=act_formato_excel&amp;utm_source=act_formato_excel&amp;utm_campaign=act_formato_excel&amp;utm_content=act_formato_excel_link" TargetMode="External"/><Relationship Id="rId921" Type="http://schemas.openxmlformats.org/officeDocument/2006/relationships/hyperlink" Target="https://actualicese.com/ofrecimiento-de-disculpas-a-un-cliente-por-la-no-prestacion-de-un-servicio/?referer=L-excel-formato&amp;utm_medium=act_formato_excel&amp;utm_source=act_formato_excel&amp;utm_campaign=act_formato_excel&amp;utm_content=act_formato_excel_link" TargetMode="External"/><Relationship Id="rId1137" Type="http://schemas.openxmlformats.org/officeDocument/2006/relationships/hyperlink" Target="https://actualicese.com/distribucion-de-productos/?referer=L-excel-formato&amp;utm_medium=act_formato_excel&amp;utm_source=act_formato_excel&amp;utm_campaign=act_formato_excel&amp;utm_content=act_formato_excel_link" TargetMode="External"/><Relationship Id="rId1344" Type="http://schemas.openxmlformats.org/officeDocument/2006/relationships/hyperlink" Target="https://actualicese.com/modelo-de-contrato-de-corretaje-inmobiliario/?referer=L-excel-formato&amp;utm_medium=act_formato_excel&amp;utm_source=act_formato_excel&amp;utm_campaign=act_formato_excel&amp;utm_content=act_formato_excel_link" TargetMode="External"/><Relationship Id="rId1551" Type="http://schemas.openxmlformats.org/officeDocument/2006/relationships/hyperlink" Target="https://actualicese.com/solicitudes-de-devolucion-yo-compensacion-por-saldos-a-favor-generados-en-declaraciones-de-renta-y-ventas/?referer=L-excel-formato&amp;utm_medium=act_formato_excel&amp;utm_source=act_formato_excel&amp;utm_campaign=act_formato_excel&amp;utm_content=act_formato_excel_link" TargetMode="External"/><Relationship Id="rId1789" Type="http://schemas.openxmlformats.org/officeDocument/2006/relationships/hyperlink" Target="https://actualicese.com/reunion-del-maximo-organo-social-para-cambio-de-los-miembros-de-junta-directiva/?referer=L-excel-formato&amp;utm_medium=act_formato_excel&amp;utm_source=act_formato_excel&amp;utm_campaign=act_formato_excel&amp;utm_content=act_formato_excel_link" TargetMode="External"/><Relationship Id="rId1996" Type="http://schemas.openxmlformats.org/officeDocument/2006/relationships/hyperlink" Target="https://actualicese.com/indicadores-financieros-de-liquidez/?referer=L-excel-formato&amp;utm_medium=act_formato_excel&amp;utm_source=act_formato_excel&amp;utm_campaign=act_formato_excel&amp;utm_content=act_formato_excel_link" TargetMode="External"/><Relationship Id="rId2174" Type="http://schemas.openxmlformats.org/officeDocument/2006/relationships/hyperlink" Target="https://actualicese.com/tarifas-de-autorretencion-especial-en-renta-automatizado/?referer=L-excel-formato&amp;utm_medium=act_formato_excel&amp;utm_source=act_formato_excel&amp;utm_campaign=act_formato_excel&amp;utm_content=act_formato_excel_link" TargetMode="External"/><Relationship Id="rId2381" Type="http://schemas.openxmlformats.org/officeDocument/2006/relationships/hyperlink" Target="https://actualicese.com/modelo-para-la-elaboracion-de-estados-financieros-y-calculo-de-los-indicadores-financieros/?referer=L-excel-formato&amp;utm_medium=act_formato_excel&amp;utm_source=act_formato_excel&amp;utm_campaign=act_formato_excel&amp;utm_content=act_formato_excel_link" TargetMode="External"/><Relationship Id="rId50" Type="http://schemas.openxmlformats.org/officeDocument/2006/relationships/hyperlink" Target="https://actualicese.com/carta-de-renuncia/?referer=L-excel-formato&amp;utm_medium=act_formato_excel&amp;utm_source=act_formato_excel&amp;utm_campaign=act_formato_excel&amp;utm_content=act_formato_excel_link" TargetMode="External"/><Relationship Id="rId146" Type="http://schemas.openxmlformats.org/officeDocument/2006/relationships/hyperlink" Target="https://actualicese.com/casos-practicos-de-contabilizacion-de-sanciones-e-intereses-tributarios-a-la-dian/?referer=L-excel-formato&amp;utm_medium=act_formato_excel&amp;utm_source=act_formato_excel&amp;utm_campaign=act_formato_excel&amp;utm_content=act_formato_excel_link" TargetMode="External"/><Relationship Id="rId353" Type="http://schemas.openxmlformats.org/officeDocument/2006/relationships/hyperlink" Target="https://actualicese.com/costo-fiscal-de-inventarios-para-obligados-a-llevar-contabilidad-como-determinarlo/?referer=L-excel-formato&amp;utm_medium=act_formato_excel&amp;utm_source=act_formato_excel&amp;utm_campaign=act_formato_excel&amp;utm_content=act_formato_excel_link" TargetMode="External"/><Relationship Id="rId560" Type="http://schemas.openxmlformats.org/officeDocument/2006/relationships/hyperlink" Target="https://actualicese.com/modelo-kardex/?referer=L-excel-formato&amp;utm_medium=act_formato_excel&amp;utm_source=act_formato_excel&amp;utm_campaign=act_formato_excel&amp;utm_content=act_formato_excel_link" TargetMode="External"/><Relationship Id="rId798" Type="http://schemas.openxmlformats.org/officeDocument/2006/relationships/hyperlink" Target="https://actualicese.com/cuadro-tematico-con-los-cambios-introducidos-por-la-ley-de-reforma-tributaria-2019/?referer=L-excel-formato&amp;utm_medium=act_formato_excel&amp;utm_source=act_formato_excel&amp;utm_campaign=act_formato_excel&amp;utm_content=act_formato_excel_link" TargetMode="External"/><Relationship Id="rId1190" Type="http://schemas.openxmlformats.org/officeDocument/2006/relationships/hyperlink" Target="https://actualicese.com/lista-de-chequeo-de-revelaciones-seccion-26-pagos-basados-en-acciones/?referer=L-excel-formato&amp;utm_medium=act_formato_excel&amp;utm_source=act_formato_excel&amp;utm_campaign=act_formato_excel&amp;utm_content=act_formato_excel_link" TargetMode="External"/><Relationship Id="rId1204" Type="http://schemas.openxmlformats.org/officeDocument/2006/relationships/hyperlink" Target="https://actualicese.com/estatuto-tributario-concordado-con-el-proyecto-de-ley-de-reforma-tributaria/?referer=L-excel-formato&amp;utm_medium=act_formato_excel&amp;utm_source=act_formato_excel&amp;utm_campaign=act_formato_excel&amp;utm_content=act_formato_excel_link" TargetMode="External"/><Relationship Id="rId1411" Type="http://schemas.openxmlformats.org/officeDocument/2006/relationships/hyperlink" Target="https://actualicese.com/modificaciones-realizadas-por-la-ley-1739-del-2014-en-materia-de-declaracion-de-renta/?referer=L-excel-formato&amp;utm_medium=act_formato_excel&amp;utm_source=act_formato_excel&amp;utm_campaign=act_formato_excel&amp;utm_content=act_formato_excel_link" TargetMode="External"/><Relationship Id="rId1649" Type="http://schemas.openxmlformats.org/officeDocument/2006/relationships/hyperlink" Target="https://actualicese.com/plantilla-del-estado-de-costos-de-produccion-y-ventas/?referer=L-excel-formato&amp;utm_medium=act_formato_excel&amp;utm_source=act_formato_excel&amp;utm_campaign=act_formato_excel&amp;utm_content=act_formato_excel_link" TargetMode="External"/><Relationship Id="rId1856" Type="http://schemas.openxmlformats.org/officeDocument/2006/relationships/hyperlink" Target="https://actualicese.com/liquidadores-de-sanciones-relacionadas-con-la-informacion-exogena/?referer=L-excel-formato&amp;utm_medium=act_formato_excel&amp;utm_source=act_formato_excel&amp;utm_campaign=act_formato_excel&amp;utm_content=act_formato_excel_link" TargetMode="External"/><Relationship Id="rId2034" Type="http://schemas.openxmlformats.org/officeDocument/2006/relationships/hyperlink" Target="https://actualicese.com/simulador-para-la-aplicacion-de-la-renta-exenta-de-las-cesantias-y-sus-intereses-ag-2022-numeral-4-del-articulo-206-del-et/?referer=L-excel-formato&amp;utm_medium=act_formato_excel&amp;utm_source=act_formato_excel&amp;utm_campaign=act_formato_excel&amp;utm_content=act_formato_excel_link" TargetMode="External"/><Relationship Id="rId2241" Type="http://schemas.openxmlformats.org/officeDocument/2006/relationships/hyperlink" Target="https://actualicese.com/modelo-de-carta-de-solicitud-de-correccion-de-informacion-exogena/?referer=L-excel-formato&amp;utm_medium=act_formato_excel&amp;utm_source=act_formato_excel&amp;utm_campaign=act_formato_excel&amp;utm_content=act_formato_excel_link" TargetMode="External"/><Relationship Id="rId213" Type="http://schemas.openxmlformats.org/officeDocument/2006/relationships/hyperlink" Target="https://actualicese.com/plantilla-para-el-control-y-auditoria-del-gasto-de-celulares/?referer=L-excel-formato&amp;utm_medium=act_formato_excel&amp;utm_source=act_formato_excel&amp;utm_campaign=act_formato_excel&amp;utm_content=act_formato_excel_link" TargetMode="External"/><Relationship Id="rId420" Type="http://schemas.openxmlformats.org/officeDocument/2006/relationships/hyperlink" Target="https://actualicese.com/liquidador-de-seguridad-social-parafiscales-y-prestaciones-en-vacaciones/?referer=L-excel-formato&amp;utm_medium=act_formato_excel&amp;utm_source=act_formato_excel&amp;utm_campaign=act_formato_excel&amp;utm_content=act_formato_excel_link" TargetMode="External"/><Relationship Id="rId658" Type="http://schemas.openxmlformats.org/officeDocument/2006/relationships/hyperlink" Target="https://actualicese.com/formularios-dian/?referer=L-excel-formato&amp;utm_medium=act_formato_excel&amp;utm_source=act_formato_excel&amp;utm_campaign=act_formato_excel&amp;utm_content=act_formato_excel_link" TargetMode="External"/><Relationship Id="rId865" Type="http://schemas.openxmlformats.org/officeDocument/2006/relationships/hyperlink" Target="https://actualicese.com/reglamentacion-para-la-declaracion-de-renta-de-personas-juridicas-por-el-ano-gravable-2018/?referer=L-excel-formato&amp;utm_medium=act_formato_excel&amp;utm_source=act_formato_excel&amp;utm_campaign=act_formato_excel&amp;utm_content=act_formato_excel_link" TargetMode="External"/><Relationship Id="rId1050" Type="http://schemas.openxmlformats.org/officeDocument/2006/relationships/hyperlink" Target="https://actualicese.com/distribucion-exclusiva/?referer=L-excel-formato&amp;utm_medium=act_formato_excel&amp;utm_source=act_formato_excel&amp;utm_campaign=act_formato_excel&amp;utm_content=act_formato_excel_link" TargetMode="External"/><Relationship Id="rId1288" Type="http://schemas.openxmlformats.org/officeDocument/2006/relationships/hyperlink" Target="https://actualicese.com/liquidador-impuesto-a-la-riqueza-calculo-valor-patrimonial-neto-para-acciones-poseidas-de-forma-indirecta-en-sociedades-nacionales/?referer=L-excel-formato&amp;utm_medium=act_formato_excel&amp;utm_source=act_formato_excel&amp;utm_campaign=act_formato_excel&amp;utm_content=act_formato_excel_link" TargetMode="External"/><Relationship Id="rId1495" Type="http://schemas.openxmlformats.org/officeDocument/2006/relationships/hyperlink" Target="https://actualicese.com/estructuracion-de-la-auditoria/?referer=L-excel-formato&amp;utm_medium=act_formato_excel&amp;utm_source=act_formato_excel&amp;utm_campaign=act_formato_excel&amp;utm_content=act_formato_excel_link" TargetMode="External"/><Relationship Id="rId1509" Type="http://schemas.openxmlformats.org/officeDocument/2006/relationships/hyperlink" Target="https://actualicese.com/indicadores-basicos-2015/?referer=L-excel-formato&amp;utm_medium=act_formato_excel&amp;utm_source=act_formato_excel&amp;utm_campaign=act_formato_excel&amp;utm_content=act_formato_excel_link" TargetMode="External"/><Relationship Id="rId1716" Type="http://schemas.openxmlformats.org/officeDocument/2006/relationships/hyperlink" Target="https://actualicese.com/informe-de-verificacion-del-cumplimiento-del-sistema-de-facturacion-y-de-nomina-electronica/?referer=L-excel-formato&amp;utm_medium=act_formato_excel&amp;utm_source=act_formato_excel&amp;utm_campaign=act_formato_excel&amp;utm_content=act_formato_excel_link" TargetMode="External"/><Relationship Id="rId1923" Type="http://schemas.openxmlformats.org/officeDocument/2006/relationships/hyperlink" Target="https://actualicese.com/informe-del-revisor-fiscal-dirigido-a-la-asamblea-de-accionistas-o-junta-de-socios/?referer=L-excel-formato&amp;utm_medium=act_formato_excel&amp;utm_source=act_formato_excel&amp;utm_campaign=act_formato_excel&amp;utm_content=act_formato_excel_link" TargetMode="External"/><Relationship Id="rId2101" Type="http://schemas.openxmlformats.org/officeDocument/2006/relationships/hyperlink" Target="https://actualicese.com/calendario-tributario-2023-version-automatizada-en-excel/?referer=L-excel-formato&amp;utm_medium=act_formato_excel&amp;utm_source=act_formato_excel&amp;utm_campaign=act_formato_excel&amp;utm_content=act_formato_excel_link" TargetMode="External"/><Relationship Id="rId2339" Type="http://schemas.openxmlformats.org/officeDocument/2006/relationships/hyperlink" Target="https://actualicese.com/liquidador-en-excel-para-calcular-la-contribucion-2024-a-supersociedades/?referer=L-excel-formato&amp;utm_medium=act_formato_excel&amp;utm_source=act_formato_excel&amp;utm_campaign=act_formato_excel&amp;utm_content=act_formato_excel_link" TargetMode="External"/><Relationship Id="rId297" Type="http://schemas.openxmlformats.org/officeDocument/2006/relationships/hyperlink" Target="https://actualicese.com/31-casos-practicos-sobre-el-reporte-de-informacion-exogena-por-el-ano-gravable-2021/?referer=L-excel-formato&amp;utm_medium=act_formato_excel&amp;utm_source=act_formato_excel&amp;utm_campaign=act_formato_excel&amp;utm_content=act_formato_excel_link" TargetMode="External"/><Relationship Id="rId518" Type="http://schemas.openxmlformats.org/officeDocument/2006/relationships/hyperlink" Target="https://actualicese.com/impuesto-diferido-por-activos-biologicos-en-2021-caso-practico-en-excel/?referer=L-excel-formato&amp;utm_medium=act_formato_excel&amp;utm_source=act_formato_excel&amp;utm_campaign=act_formato_excel&amp;utm_content=act_formato_excel_link" TargetMode="External"/><Relationship Id="rId725" Type="http://schemas.openxmlformats.org/officeDocument/2006/relationships/hyperlink" Target="https://actualicese.com/solicitud-intervencion-inspector-de-trabajo/?referer=L-excel-formato&amp;utm_medium=act_formato_excel&amp;utm_source=act_formato_excel&amp;utm_campaign=act_formato_excel&amp;utm_content=act_formato_excel_link" TargetMode="External"/><Relationship Id="rId932" Type="http://schemas.openxmlformats.org/officeDocument/2006/relationships/hyperlink" Target="https://actualicese.com/tratamiento-contable-arrendamiento-financiero-con-opcion-de-compra/?referer=L-excel-formato&amp;utm_medium=act_formato_excel&amp;utm_source=act_formato_excel&amp;utm_campaign=act_formato_excel&amp;utm_content=act_formato_excel_link" TargetMode="External"/><Relationship Id="rId1148" Type="http://schemas.openxmlformats.org/officeDocument/2006/relationships/hyperlink" Target="https://actualicese.com/cambios-en-conceptos-para-reportar-valores-de-costos-y-deducciones/?referer=L-excel-formato&amp;utm_medium=act_formato_excel&amp;utm_source=act_formato_excel&amp;utm_campaign=act_formato_excel&amp;utm_content=act_formato_excel_link" TargetMode="External"/><Relationship Id="rId1355" Type="http://schemas.openxmlformats.org/officeDocument/2006/relationships/hyperlink" Target="https://actualicese.com/basica-de-trabajo-auxilio-de-transporte-y-dotacion/?referer=L-excel-formato&amp;utm_medium=act_formato_excel&amp;utm_source=act_formato_excel&amp;utm_campaign=act_formato_excel&amp;utm_content=act_formato_excel_link" TargetMode="External"/><Relationship Id="rId1562" Type="http://schemas.openxmlformats.org/officeDocument/2006/relationships/hyperlink" Target="https://actualicese.com/modelo-para-estimar-reduccion-de-aportes-parafiscales-y-eps-segun-la-ley-1607/?referer=L-excel-formato&amp;utm_medium=act_formato_excel&amp;utm_source=act_formato_excel&amp;utm_campaign=act_formato_excel&amp;utm_content=act_formato_excel_link" TargetMode="External"/><Relationship Id="rId2185" Type="http://schemas.openxmlformats.org/officeDocument/2006/relationships/hyperlink" Target="https://actualicese.com/liquidador-de-aportes-a-arl-para-trabajadores-independientes/?referer=L-excel-formato&amp;utm_medium=act_formato_excel&amp;utm_source=act_formato_excel&amp;utm_campaign=act_formato_excel&amp;utm_content=act_formato_excel_link" TargetMode="External"/><Relationship Id="rId2392" Type="http://schemas.openxmlformats.org/officeDocument/2006/relationships/hyperlink" Target="https://actualicese.com/casos-practicos-para-comprender-la-contabilizacion-de-activos-en-el-cierre-contable/?referer=L-excel-formato&amp;utm_medium=act_formato_excel&amp;utm_source=act_formato_excel&amp;utm_campaign=act_formato_excel&amp;utm_content=act_formato_excel_link" TargetMode="External"/><Relationship Id="rId2406" Type="http://schemas.openxmlformats.org/officeDocument/2006/relationships/hyperlink" Target="https://actualicese.com/modelo-de-un-proyecto-de-distribucion-de-utilidades-en-una-sociedad-comercial/?referer=L-excel-formato&amp;utm_medium=act_formato_excel&amp;utm_source=act_formato_excel&amp;utm_campaign=act_formato_excel&amp;utm_content=act_formato_excel_link" TargetMode="External"/><Relationship Id="rId157" Type="http://schemas.openxmlformats.org/officeDocument/2006/relationships/hyperlink" Target="https://actualicese.com/plantilla-para-el-control-del-incremento-de-salario-de-empleados/?referer=L-excel-formato&amp;utm_medium=act_formato_excel&amp;utm_source=act_formato_excel&amp;utm_campaign=act_formato_excel&amp;utm_content=act_formato_excel_link" TargetMode="External"/><Relationship Id="rId364" Type="http://schemas.openxmlformats.org/officeDocument/2006/relationships/hyperlink" Target="https://actualicese.com/modelo-en-excel-calculo-de-intereses-presuntivos-en-2021-sobre-prestamos-entre-socios-y-sociedades/?referer=L-excel-formato&amp;utm_medium=act_formato_excel&amp;utm_source=act_formato_excel&amp;utm_campaign=act_formato_excel&amp;utm_content=act_formato_excel_link" TargetMode="External"/><Relationship Id="rId1008" Type="http://schemas.openxmlformats.org/officeDocument/2006/relationships/hyperlink" Target="https://actualicese.com/poder-para-adelantar-sucesion-ante-notaria/?referer=L-excel-formato&amp;utm_medium=act_formato_excel&amp;utm_source=act_formato_excel&amp;utm_campaign=act_formato_excel&amp;utm_content=act_formato_excel_link" TargetMode="External"/><Relationship Id="rId1215" Type="http://schemas.openxmlformats.org/officeDocument/2006/relationships/hyperlink" Target="https://actualicese.com/reglamento-para-la-emision-de-acciones/?referer=L-excel-formato&amp;utm_medium=act_formato_excel&amp;utm_source=act_formato_excel&amp;utm_campaign=act_formato_excel&amp;utm_content=act_formato_excel_link" TargetMode="External"/><Relationship Id="rId1422" Type="http://schemas.openxmlformats.org/officeDocument/2006/relationships/hyperlink" Target="https://actualicese.com/declaracion-renta-personas-naturales-requisitos-para-exoneracion-en-el-ano-gravable-2014/?referer=L-excel-formato&amp;utm_medium=act_formato_excel&amp;utm_source=act_formato_excel&amp;utm_campaign=act_formato_excel&amp;utm_content=act_formato_excel_link" TargetMode="External"/><Relationship Id="rId1867"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045" Type="http://schemas.openxmlformats.org/officeDocument/2006/relationships/hyperlink" Target="https://actualicese.com/ejercicio-practico-de-impuesto-diferido-compensacion-de-perdidas-fiscales-y-exceso-de-renta-presuntiva/?referer=L-excel-formato&amp;utm_medium=act_formato_excel&amp;utm_source=act_formato_excel&amp;utm_campaign=act_formato_excel&amp;utm_content=act_formato_excel_link" TargetMode="External"/><Relationship Id="rId61" Type="http://schemas.openxmlformats.org/officeDocument/2006/relationships/hyperlink" Target="https://actualicese.com/informe-de-entrega-de-soportes-de-declaracion-de-renta-de-persona-natural/?referer=L-excel-formato&amp;utm_medium=act_formato_excel&amp;utm_source=act_formato_excel&amp;utm_campaign=act_formato_excel&amp;utm_content=act_formato_excel_link" TargetMode="External"/><Relationship Id="rId571" Type="http://schemas.openxmlformats.org/officeDocument/2006/relationships/hyperlink" Target="https://actualicese.com/ejercicios-para-determinar-si-una-persona-natural-esta-obligada-a-presentar-renta-por-el-ag-2020/?referer=L-excel-formato&amp;utm_medium=act_formato_excel&amp;utm_source=act_formato_excel&amp;utm_campaign=act_formato_excel&amp;utm_content=act_formato_excel_link" TargetMode="External"/><Relationship Id="rId669" Type="http://schemas.openxmlformats.org/officeDocument/2006/relationships/hyperlink" Target="https://actualicese.com/ingresos-que-no-se-consideran-de-fuente-nacional-periodo-gravable-2020/?referer=L-excel-formato&amp;utm_medium=act_formato_excel&amp;utm_source=act_formato_excel&amp;utm_campaign=act_formato_excel&amp;utm_content=act_formato_excel_link" TargetMode="External"/><Relationship Id="rId876" Type="http://schemas.openxmlformats.org/officeDocument/2006/relationships/hyperlink" Target="https://actualicese.com/compraventa-de-un-establecimiento-de-comercio/?referer=L-excel-formato&amp;utm_medium=act_formato_excel&amp;utm_source=act_formato_excel&amp;utm_campaign=act_formato_excel&amp;utm_content=act_formato_excel_link" TargetMode="External"/><Relationship Id="rId1299" Type="http://schemas.openxmlformats.org/officeDocument/2006/relationships/hyperlink" Target="https://actualicese.com/certificacion-de-estados-financieros-ano-2015-a-entregar-a-la-supersociedades/?referer=L-excel-formato&amp;utm_medium=act_formato_excel&amp;utm_source=act_formato_excel&amp;utm_campaign=act_formato_excel&amp;utm_content=act_formato_excel_link" TargetMode="External"/><Relationship Id="rId1727" Type="http://schemas.openxmlformats.org/officeDocument/2006/relationships/hyperlink" Target="https://actualicese.com/dictamen-del-revisor-fiscal-en-entidades-del-grupo-3-opinion-favorable/?referer=L-excel-formato&amp;utm_medium=act_formato_excel&amp;utm_source=act_formato_excel&amp;utm_campaign=act_formato_excel&amp;utm_content=act_formato_excel_link" TargetMode="External"/><Relationship Id="rId1934" Type="http://schemas.openxmlformats.org/officeDocument/2006/relationships/hyperlink" Target="https://actualicese.com/simulador-del-impuesto-para-dividendos-y-participaciones-gravados-de-2016-y-anteriores/?referer=L-excel-formato&amp;utm_medium=act_formato_excel&amp;utm_source=act_formato_excel&amp;utm_campaign=act_formato_excel&amp;utm_content=act_formato_excel_link" TargetMode="External"/><Relationship Id="rId2252" Type="http://schemas.openxmlformats.org/officeDocument/2006/relationships/hyperlink" Target="https://actualicese.com/liquidador-de-seguridad-social-para-trabajadores-domesticos-por-dias-con-multiples-empleadores/?referer=L-excel-formato&amp;utm_medium=act_formato_excel&amp;utm_source=act_formato_excel&amp;utm_campaign=act_formato_excel&amp;utm_content=act_formato_excel_link" TargetMode="External"/><Relationship Id="rId19" Type="http://schemas.openxmlformats.org/officeDocument/2006/relationships/hyperlink" Target="https://actualicese.com/impuesto-diferido-por-diferencia-en-cambio-caso-practico-en-excel/?referer=L-excel-formato&amp;utm_medium=act_formato_excel&amp;utm_source=act_formato_excel&amp;utm_campaign=act_formato_excel&amp;utm_content=act_formato_excel_link" TargetMode="External"/><Relationship Id="rId224" Type="http://schemas.openxmlformats.org/officeDocument/2006/relationships/hyperlink" Target="https://actualicese.com/contrato-individual-de-obra/?referer=L-excel-formato&amp;utm_medium=act_formato_excel&amp;utm_source=act_formato_excel&amp;utm_campaign=act_formato_excel&amp;utm_content=act_formato_excel_link" TargetMode="External"/><Relationship Id="rId431" Type="http://schemas.openxmlformats.org/officeDocument/2006/relationships/hyperlink" Target="https://actualicese.com/liquidadores-de-sanciones-relacionadas-con-la-informacion-exogena-resueltas-en-2022/?referer=L-excel-formato&amp;utm_medium=act_formato_excel&amp;utm_source=act_formato_excel&amp;utm_campaign=act_formato_excel&amp;utm_content=act_formato_excel_link" TargetMode="External"/><Relationship Id="rId529" Type="http://schemas.openxmlformats.org/officeDocument/2006/relationships/hyperlink" Target="https://actualicese.com/carta-para-comunicar-asuntos-que-generan-amenazas-a-la-independencia/?referer=L-excel-formato&amp;utm_medium=act_formato_excel&amp;utm_source=act_formato_excel&amp;utm_campaign=act_formato_excel&amp;utm_content=act_formato_excel_link" TargetMode="External"/><Relationship Id="rId736" Type="http://schemas.openxmlformats.org/officeDocument/2006/relationships/hyperlink" Target="https://actualicese.com/aplicacion-de-las-rentas-exentas-a-la-renta-presuntiva-en-el-formulario-cedulado-210/?referer=L-excel-formato&amp;utm_medium=act_formato_excel&amp;utm_source=act_formato_excel&amp;utm_campaign=act_formato_excel&amp;utm_content=act_formato_excel_link" TargetMode="External"/><Relationship Id="rId1061" Type="http://schemas.openxmlformats.org/officeDocument/2006/relationships/hyperlink" Target="https://actualicese.com/levantamiento-de-fuero-sindical/?referer=L-excel-formato&amp;utm_medium=act_formato_excel&amp;utm_source=act_formato_excel&amp;utm_campaign=act_formato_excel&amp;utm_content=act_formato_excel_link" TargetMode="External"/><Relationship Id="rId1159" Type="http://schemas.openxmlformats.org/officeDocument/2006/relationships/hyperlink" Target="https://actualicese.com/comprobante-de-prestamos-sobre-salarios/?referer=L-excel-formato&amp;utm_medium=act_formato_excel&amp;utm_source=act_formato_excel&amp;utm_campaign=act_formato_excel&amp;utm_content=act_formato_excel_link" TargetMode="External"/><Relationship Id="rId1366" Type="http://schemas.openxmlformats.org/officeDocument/2006/relationships/hyperlink" Target="https://actualicese.com/documentos-de-marco-conceptual-orientaciones-tecnicas-002-y-003-del-ctcp/?referer=L-excel-formato&amp;utm_medium=act_formato_excel&amp;utm_source=act_formato_excel&amp;utm_campaign=act_formato_excel&amp;utm_content=act_formato_excel_link" TargetMode="External"/><Relationship Id="rId2112" Type="http://schemas.openxmlformats.org/officeDocument/2006/relationships/hyperlink" Target="https://actualicese.com/liquidador-de-sancion-por-correccion-presentada-por-el-contribuyente/?referer=L-excel-formato&amp;utm_medium=act_formato_excel&amp;utm_source=act_formato_excel&amp;utm_campaign=act_formato_excel&amp;utm_content=act_formato_excel_link" TargetMode="External"/><Relationship Id="rId2196" Type="http://schemas.openxmlformats.org/officeDocument/2006/relationships/hyperlink" Target="https://actualicese.com/tabla-para-liquidar-indemnizaciones-por-perdida-de-capacidad-laboral/?referer=L-excel-formato&amp;utm_medium=act_formato_excel&amp;utm_source=act_formato_excel&amp;utm_campaign=act_formato_excel&amp;utm_content=act_formato_excel_link" TargetMode="External"/><Relationship Id="rId2417" Type="http://schemas.openxmlformats.org/officeDocument/2006/relationships/hyperlink" Target="https://actualicese.com/ejemplos-sobre-hechos-posteriores-al-cierre-que-implican-o-no-ajustes/?referer=L-excel-formato&amp;utm_medium=act_formato_excel&amp;utm_source=act_formato_excel&amp;utm_campaign=act_formato_excel&amp;utm_content=act_formato_excel_link" TargetMode="External"/><Relationship Id="rId168" Type="http://schemas.openxmlformats.org/officeDocument/2006/relationships/hyperlink" Target="https://actualicese.com/certificado-de-practicas-realizadas-por-el-estudiante-o-pasante/?referer=L-excel-formato&amp;utm_medium=act_formato_excel&amp;utm_source=act_formato_excel&amp;utm_campaign=act_formato_excel&amp;utm_content=act_formato_excel_link" TargetMode="External"/><Relationship Id="rId943" Type="http://schemas.openxmlformats.org/officeDocument/2006/relationships/hyperlink" Target="https://actualicese.com/conceptos-que-se-someten-o-no-a-limites-de-rentas-y-deducciones-especiales/?referer=L-excel-formato&amp;utm_medium=act_formato_excel&amp;utm_source=act_formato_excel&amp;utm_campaign=act_formato_excel&amp;utm_content=act_formato_excel_link" TargetMode="External"/><Relationship Id="rId1019" Type="http://schemas.openxmlformats.org/officeDocument/2006/relationships/hyperlink" Target="https://actualicese.com/declaracion-de-extincion-de-la-obligacion-hipotecaria/?referer=L-excel-formato&amp;utm_medium=act_formato_excel&amp;utm_source=act_formato_excel&amp;utm_campaign=act_formato_excel&amp;utm_content=act_formato_excel_link" TargetMode="External"/><Relationship Id="rId1573" Type="http://schemas.openxmlformats.org/officeDocument/2006/relationships/hyperlink" Target="https://actualicese.com/calculo-valores-por-salud-y-pensiones-que-al-independiente-se-le-restarian-en-el-proceso-de-retencion/?referer=L-excel-formato&amp;utm_medium=act_formato_excel&amp;utm_source=act_formato_excel&amp;utm_campaign=act_formato_excel&amp;utm_content=act_formato_excel_link" TargetMode="External"/><Relationship Id="rId1780" Type="http://schemas.openxmlformats.org/officeDocument/2006/relationships/hyperlink" Target="https://actualicese.com/historico-de-tasas-de-intereses-moratorios-dian/?referer=L-excel-formato&amp;utm_medium=act_formato_excel&amp;utm_source=act_formato_excel&amp;utm_campaign=act_formato_excel&amp;utm_content=act_formato_excel_link" TargetMode="External"/><Relationship Id="rId1878" Type="http://schemas.openxmlformats.org/officeDocument/2006/relationships/hyperlink" Target="https://actualicese.com/renta-liquida-gravable-por-comparacion-patrimonial-calculos-para-su-determinacion/?referer=L-excel-formato&amp;utm_medium=act_formato_excel&amp;utm_source=act_formato_excel&amp;utm_campaign=act_formato_excel&amp;utm_content=act_formato_excel_link" TargetMode="External"/><Relationship Id="rId72" Type="http://schemas.openxmlformats.org/officeDocument/2006/relationships/hyperlink" Target="https://actualicese.com/formato-de-calculo-de-horas-extra-y-recargos-mensuales-o-quincenales/?referer=L-excel-formato&amp;utm_medium=act_formato_excel&amp;utm_source=act_formato_excel&amp;utm_campaign=act_formato_excel&amp;utm_content=act_formato_excel_link" TargetMode="External"/><Relationship Id="rId375" Type="http://schemas.openxmlformats.org/officeDocument/2006/relationships/hyperlink" Target="https://actualicese.com/poder-de-representacion-en-asamblea-de-accionistas-o-junta-de-socios/?referer=L-excel-formato&amp;utm_medium=act_formato_excel&amp;utm_source=act_formato_excel&amp;utm_campaign=act_formato_excel&amp;utm_content=act_formato_excel_link" TargetMode="External"/><Relationship Id="rId582" Type="http://schemas.openxmlformats.org/officeDocument/2006/relationships/hyperlink" Target="https://actualicese.com/calculo-del-impuesto-si-la-renta-presuntiva-es-mayor-a-la-renta-liquida-gravable-de-la-cedula-general/?referer=L-excel-formato&amp;utm_medium=act_formato_excel&amp;utm_source=act_formato_excel&amp;utm_campaign=act_formato_excel&amp;utm_content=act_formato_excel_link" TargetMode="External"/><Relationship Id="rId803" Type="http://schemas.openxmlformats.org/officeDocument/2006/relationships/hyperlink" Target="https://actualicese.com/cuestionario-control-interno-efectivo-y-equivalentes-de-efectivo/?referer=L-excel-formato&amp;utm_medium=act_formato_excel&amp;utm_source=act_formato_excel&amp;utm_campaign=act_formato_excel&amp;utm_content=act_formato_excel_link" TargetMode="External"/><Relationship Id="rId1226" Type="http://schemas.openxmlformats.org/officeDocument/2006/relationships/hyperlink" Target="https://actualicese.com/modelo-de-comprobante-de-pago-con-caja-menor/?referer=L-excel-formato&amp;utm_medium=act_formato_excel&amp;utm_source=act_formato_excel&amp;utm_campaign=act_formato_excel&amp;utm_content=act_formato_excel_link" TargetMode="External"/><Relationship Id="rId1433" Type="http://schemas.openxmlformats.org/officeDocument/2006/relationships/hyperlink" Target="https://actualicese.com/consecuencias-contables-y-tributarias-de-las-personas-naturales-yo-sucesiones-iliquidas-obligadas-o-no-a-llevar-contabilidad-por-el-ano-2014/?referer=L-excel-formato&amp;utm_medium=act_formato_excel&amp;utm_source=act_formato_excel&amp;utm_campaign=act_formato_excel&amp;utm_content=act_formato_excel_link" TargetMode="External"/><Relationship Id="rId1640" Type="http://schemas.openxmlformats.org/officeDocument/2006/relationships/hyperlink" Target="https://actualicese.com/liquidador-casos-practicos-de-contabilizacion-de-contratos-de-renting/?referer=L-excel-formato&amp;utm_medium=act_formato_excel&amp;utm_source=act_formato_excel&amp;utm_campaign=act_formato_excel&amp;utm_content=act_formato_excel_link" TargetMode="External"/><Relationship Id="rId1738" Type="http://schemas.openxmlformats.org/officeDocument/2006/relationships/hyperlink" Target="https://actualicese.com/indicadores-financieros-de-endeudamiento/?referer=L-excel-formato&amp;utm_medium=act_formato_excel&amp;utm_source=act_formato_excel&amp;utm_campaign=act_formato_excel&amp;utm_content=act_formato_excel_link" TargetMode="External"/><Relationship Id="rId2056" Type="http://schemas.openxmlformats.org/officeDocument/2006/relationships/hyperlink" Target="https://actualicese.com/determinacion-de-ganancia-ocasional-gravable-de-una-persona-natural-residente-caso-practico-en-excel/?referer=L-excel-formato&amp;utm_medium=act_formato_excel&amp;utm_source=act_formato_excel&amp;utm_campaign=act_formato_excel&amp;utm_content=act_formato_excel_link" TargetMode="External"/><Relationship Id="rId2263" Type="http://schemas.openxmlformats.org/officeDocument/2006/relationships/hyperlink" Target="https://actualicese.com/simulador-del-impuesto-para-dividendos-y-participaciones-no-gravados-de-2017-y-siguientes-luego-de-la-ley-2277-de-2022/?referer=L-excel-formato&amp;utm_medium=act_formato_excel&amp;utm_source=act_formato_excel&amp;utm_campaign=act_formato_excel&amp;utm_content=act_formato_excel_link" TargetMode="External"/><Relationship Id="rId3" Type="http://schemas.openxmlformats.org/officeDocument/2006/relationships/hyperlink" Target="https://actualicese.com/ejercicio-en-excel-para-el-reconocimiento-del-deterioro-de-inventarios-al-cierre-contable-de-una-pyme/?referer=L-excel-formato&amp;utm_medium=act_formato_excel&amp;utm_source=act_formato_excel&amp;utm_campaign=act_formato_excel&amp;utm_content=act_formato_excel_link" TargetMode="External"/><Relationship Id="rId235" Type="http://schemas.openxmlformats.org/officeDocument/2006/relationships/hyperlink" Target="https://actualicese.com/lista-de-documentos-para-la-terminacion-laboral-cuando-el-trabajador-se-retira/?referer=L-excel-formato&amp;utm_medium=act_formato_excel&amp;utm_source=act_formato_excel&amp;utm_campaign=act_formato_excel&amp;utm_content=act_formato_excel_link" TargetMode="External"/><Relationship Id="rId442" Type="http://schemas.openxmlformats.org/officeDocument/2006/relationships/hyperlink" Target="https://actualicese.com/liquidador-de-intereses-moratorios-con-tasa-transitoria-de-la-ley-de-inversion-social-2155-de-2021/?referer=L-excel-formato&amp;utm_medium=act_formato_excel&amp;utm_source=act_formato_excel&amp;utm_campaign=act_formato_excel&amp;utm_content=act_formato_excel_link" TargetMode="External"/><Relationship Id="rId887" Type="http://schemas.openxmlformats.org/officeDocument/2006/relationships/hyperlink" Target="https://actualicese.com/indicadores-basicos-para-tener-en-cuenta-durante-2019/?referer=L-excel-formato&amp;utm_medium=act_formato_excel&amp;utm_source=act_formato_excel&amp;utm_campaign=act_formato_excel&amp;utm_content=act_formato_excel_link" TargetMode="External"/><Relationship Id="rId1072" Type="http://schemas.openxmlformats.org/officeDocument/2006/relationships/hyperlink" Target="https://actualicese.com/lista-de-chequeo-de-requisitos-para-la-expedicion-de-la-tarjeta-de-registro-de-entidades/?referer=L-excel-formato&amp;utm_medium=act_formato_excel&amp;utm_source=act_formato_excel&amp;utm_campaign=act_formato_excel&amp;utm_content=act_formato_excel_link" TargetMode="External"/><Relationship Id="rId1500" Type="http://schemas.openxmlformats.org/officeDocument/2006/relationships/hyperlink" Target="https://actualicese.com/encargo-fiduciario-con-destinacion-especifica/?referer=L-excel-formato&amp;utm_medium=act_formato_excel&amp;utm_source=act_formato_excel&amp;utm_campaign=act_formato_excel&amp;utm_content=act_formato_excel_link" TargetMode="External"/><Relationship Id="rId1945" Type="http://schemas.openxmlformats.org/officeDocument/2006/relationships/hyperlink" Target="https://actualicese.com/lista-de-chequeo-para-efectuar-el-cierre-contable-y-fiscal-de-una-entidad/?referer=L-excel-formato&amp;utm_medium=act_formato_excel&amp;utm_source=act_formato_excel&amp;utm_campaign=act_formato_excel&amp;utm_content=act_formato_excel_link" TargetMode="External"/><Relationship Id="rId2123" Type="http://schemas.openxmlformats.org/officeDocument/2006/relationships/hyperlink" Target="https://actualicese.com/guia-de-informacion-laboral-2024/?referer=L-excel-formato&amp;utm_medium=act_formato_excel&amp;utm_source=act_formato_excel&amp;utm_campaign=act_formato_excel&amp;utm_content=act_formato_excel_link" TargetMode="External"/><Relationship Id="rId2330" Type="http://schemas.openxmlformats.org/officeDocument/2006/relationships/hyperlink" Target="https://actualicese.com/finalizacion-del-contrato-por-parte-del-arrendador-por-vencimiento-de-este/?referer=L-excel-formato&amp;utm_medium=act_formato_excel&amp;utm_source=act_formato_excel&amp;utm_campaign=act_formato_excel&amp;utm_content=act_formato_excel_link" TargetMode="External"/><Relationship Id="rId302" Type="http://schemas.openxmlformats.org/officeDocument/2006/relationships/hyperlink" Target="https://actualicese.com/historico-de-indice-de-precios-al-consumidor-ipc/?referer=L-excel-formato&amp;utm_medium=act_formato_excel&amp;utm_source=act_formato_excel&amp;utm_campaign=act_formato_excel&amp;utm_content=act_formato_excel_link" TargetMode="External"/><Relationship Id="rId747" Type="http://schemas.openxmlformats.org/officeDocument/2006/relationships/hyperlink" Target="https://actualicese.com/certificacion-para-que-una-persona-natural-acceda-al-subsidio-de-nomina-paef/?referer=L-excel-formato&amp;utm_medium=act_formato_excel&amp;utm_source=act_formato_excel&amp;utm_campaign=act_formato_excel&amp;utm_content=act_formato_excel_link" TargetMode="External"/><Relationship Id="rId954" Type="http://schemas.openxmlformats.org/officeDocument/2006/relationships/hyperlink" Target="https://actualicese.com/formulario-210-para-declaracion-renta-ano-gravable-2017-no-obligados-a-llevar-contabilidad/?referer=L-excel-formato&amp;utm_medium=act_formato_excel&amp;utm_source=act_formato_excel&amp;utm_campaign=act_formato_excel&amp;utm_content=act_formato_excel_link" TargetMode="External"/><Relationship Id="rId1377" Type="http://schemas.openxmlformats.org/officeDocument/2006/relationships/hyperlink" Target="https://actualicese.com/atencion-integral-en-seguridad-y-salud-en-el-trabajo-2015-hipocausia-neurosensorial-inducida-por-ruido-u-ototoxicos/?referer=L-excel-formato&amp;utm_medium=act_formato_excel&amp;utm_source=act_formato_excel&amp;utm_campaign=act_formato_excel&amp;utm_content=act_formato_excel_link" TargetMode="External"/><Relationship Id="rId1584" Type="http://schemas.openxmlformats.org/officeDocument/2006/relationships/hyperlink" Target="https://actualicese.com/indicadores-basicos-a-tener-en-cuenta-al-finalizar-2011-e-iniciar-el-2012/?referer=L-excel-formato&amp;utm_medium=act_formato_excel&amp;utm_source=act_formato_excel&amp;utm_campaign=act_formato_excel&amp;utm_content=act_formato_excel_link" TargetMode="External"/><Relationship Id="rId1791" Type="http://schemas.openxmlformats.org/officeDocument/2006/relationships/hyperlink" Target="https://actualicese.com/reunion-de-junta-de-socios-o-asamblea-general-por-derecho-propio/?referer=L-excel-formato&amp;utm_medium=act_formato_excel&amp;utm_source=act_formato_excel&amp;utm_campaign=act_formato_excel&amp;utm_content=act_formato_excel_link" TargetMode="External"/><Relationship Id="rId1805" Type="http://schemas.openxmlformats.org/officeDocument/2006/relationships/hyperlink" Target="https://actualicese.com/casos-practicos-sobre-el-reporte-de-informacion-exogena-ag-2022/?referer=L-excel-formato&amp;utm_medium=act_formato_excel&amp;utm_source=act_formato_excel&amp;utm_campaign=act_formato_excel&amp;utm_content=act_formato_excel_link" TargetMode="External"/><Relationship Id="rId2428" Type="http://schemas.openxmlformats.org/officeDocument/2006/relationships/hyperlink" Target="https://actualicese.com/convertidor-de-uvt/?referer=L-excel-formato&amp;utm_medium=act_formato_excel&amp;utm_source=act_formato_excel&amp;utm_campaign=act_formato_excel&amp;utm_content=act_formato_excel_link" TargetMode="External"/><Relationship Id="rId83" Type="http://schemas.openxmlformats.org/officeDocument/2006/relationships/hyperlink" Target="https://actualicese.com/cancelacion-cuenta-bancaria/?referer=L-excel-formato&amp;utm_medium=act_formato_excel&amp;utm_source=act_formato_excel&amp;utm_campaign=act_formato_excel&amp;utm_content=act_formato_excel_link" TargetMode="External"/><Relationship Id="rId179" Type="http://schemas.openxmlformats.org/officeDocument/2006/relationships/hyperlink" Target="https://actualicese.com/casos-practicos-de-liquidacion-de-intereses-moratorios-de-obligaciones-tributarias/?referer=L-excel-formato&amp;utm_medium=act_formato_excel&amp;utm_source=act_formato_excel&amp;utm_campaign=act_formato_excel&amp;utm_content=act_formato_excel_link" TargetMode="External"/><Relationship Id="rId386" Type="http://schemas.openxmlformats.org/officeDocument/2006/relationships/hyperlink" Target="https://actualicese.com/informe-sobre-los-hallazgos-obtenidos-en-los-inventarios/?referer=L-excel-formato&amp;utm_medium=act_formato_excel&amp;utm_source=act_formato_excel&amp;utm_campaign=act_formato_excel&amp;utm_content=act_formato_excel_link" TargetMode="External"/><Relationship Id="rId593" Type="http://schemas.openxmlformats.org/officeDocument/2006/relationships/hyperlink" Target="https://actualicese.com/contrato-de-prestacion-de-servicios-para-mensajeria-externa/?referer=L-excel-formato&amp;utm_medium=act_formato_excel&amp;utm_source=act_formato_excel&amp;utm_campaign=act_formato_excel&amp;utm_content=act_formato_excel_link" TargetMode="External"/><Relationship Id="rId607" Type="http://schemas.openxmlformats.org/officeDocument/2006/relationships/hyperlink" Target="https://actualicese.com/contrato-de-prestacion-de-servicios-de-administracion-de-propiedad-horizontal/?referer=L-excel-formato&amp;utm_medium=act_formato_excel&amp;utm_source=act_formato_excel&amp;utm_campaign=act_formato_excel&amp;utm_content=act_formato_excel_link" TargetMode="External"/><Relationship Id="rId814" Type="http://schemas.openxmlformats.org/officeDocument/2006/relationships/hyperlink" Target="https://actualicese.com/conozca-quienes-estan-obligados-a-aplicar-la-nicc-1/?referer=L-excel-formato&amp;utm_medium=act_formato_excel&amp;utm_source=act_formato_excel&amp;utm_campaign=act_formato_excel&amp;utm_content=act_formato_excel_link" TargetMode="External"/><Relationship Id="rId1237" Type="http://schemas.openxmlformats.org/officeDocument/2006/relationships/hyperlink" Target="https://actualicese.com/modelo-para-la-aprobacion-de-politicas-contables-para-entidades-del-sector-publico-resolucion-414/?referer=L-excel-formato&amp;utm_medium=act_formato_excel&amp;utm_source=act_formato_excel&amp;utm_campaign=act_formato_excel&amp;utm_content=act_formato_excel_link" TargetMode="External"/><Relationship Id="rId1444" Type="http://schemas.openxmlformats.org/officeDocument/2006/relationships/hyperlink" Target="https://actualicese.com/modelo-para-proyectar-efectos-2014-del-iman-y-el-imas-en-el-impuesto-de-renta-de-los-empleados/?referer=L-excel-formato&amp;utm_medium=act_formato_excel&amp;utm_source=act_formato_excel&amp;utm_campaign=act_formato_excel&amp;utm_content=act_formato_excel_link" TargetMode="External"/><Relationship Id="rId1651" Type="http://schemas.openxmlformats.org/officeDocument/2006/relationships/hyperlink" Target="https://actualicese.com/guia-plantilla-para-clasificar-una-entidad-en-un-grupo-de-aplicacion-de-las-niif-en-colombia/?referer=L-excel-formato&amp;utm_medium=act_formato_excel&amp;utm_source=act_formato_excel&amp;utm_campaign=act_formato_excel&amp;utm_content=act_formato_excel_link" TargetMode="External"/><Relationship Id="rId1889" Type="http://schemas.openxmlformats.org/officeDocument/2006/relationships/hyperlink" Target="https://actualicese.com/herramienta-con-macros-en-excel-para-elaborar-y-analizar-estados-financieros/?referer=L-excel-formato&amp;utm_medium=act_formato_excel&amp;utm_source=act_formato_excel&amp;utm_campaign=act_formato_excel&amp;utm_content=act_formato_excel_link" TargetMode="External"/><Relationship Id="rId2067" Type="http://schemas.openxmlformats.org/officeDocument/2006/relationships/hyperlink" Target="https://actualicese.com/guia-en-excel-y-casos-practicos-de-tributacion-en-el-impuesto-de-renta-de-los-dividendos-y-participaciones-2022/?referer=L-excel-formato&amp;utm_medium=act_formato_excel&amp;utm_source=act_formato_excel&amp;utm_campaign=act_formato_excel&amp;utm_content=act_formato_excel_link" TargetMode="External"/><Relationship Id="rId2274" Type="http://schemas.openxmlformats.org/officeDocument/2006/relationships/hyperlink" Target="https://actualicese.com/contrato-modelo-contrato-de-mandato/?referer=L-excel-formato&amp;utm_medium=act_formato_excel&amp;utm_source=act_formato_excel&amp;utm_campaign=act_formato_excel&amp;utm_content=act_formato_excel_link" TargetMode="External"/><Relationship Id="rId246" Type="http://schemas.openxmlformats.org/officeDocument/2006/relationships/hyperlink" Target="https://actualicese.com/modelo-de-contrato-de-trabajo-remoto/?referer=L-excel-formato&amp;utm_medium=act_formato_excel&amp;utm_source=act_formato_excel&amp;utm_campaign=act_formato_excel&amp;utm_content=act_formato_excel_link" TargetMode="External"/><Relationship Id="rId453" Type="http://schemas.openxmlformats.org/officeDocument/2006/relationships/hyperlink" Target="https://actualicese.com/casos-de-reduccion-de-sancion-por-extemporaneidad-despues-del-emplazamiento-reforma-tributaria-2021/?referer=L-excel-formato&amp;utm_medium=act_formato_excel&amp;utm_source=act_formato_excel&amp;utm_campaign=act_formato_excel&amp;utm_content=act_formato_excel_link" TargetMode="External"/><Relationship Id="rId660" Type="http://schemas.openxmlformats.org/officeDocument/2006/relationships/hyperlink" Target="https://actualicese.com/guia-tabla-de-retencion-en-la-fuente-para-el-ano-fiscal-2021/?referer=L-excel-formato&amp;utm_medium=act_formato_excel&amp;utm_source=act_formato_excel&amp;utm_campaign=act_formato_excel&amp;utm_content=act_formato_excel_link" TargetMode="External"/><Relationship Id="rId898" Type="http://schemas.openxmlformats.org/officeDocument/2006/relationships/hyperlink" Target="https://actualicese.com/guia-avanzada-tablas-de-retencion-en-la-fuente-a-titulo-de-impuestos-nacionales-2019/?referer=L-excel-formato&amp;utm_medium=act_formato_excel&amp;utm_source=act_formato_excel&amp;utm_campaign=act_formato_excel&amp;utm_content=act_formato_excel_link" TargetMode="External"/><Relationship Id="rId1083" Type="http://schemas.openxmlformats.org/officeDocument/2006/relationships/hyperlink" Target="https://actualicese.com/carta-de-interrupcion-de-la-prescripcion-de-las-acciones-laborales/?referer=L-excel-formato&amp;utm_medium=act_formato_excel&amp;utm_source=act_formato_excel&amp;utm_campaign=act_formato_excel&amp;utm_content=act_formato_excel_link" TargetMode="External"/><Relationship Id="rId1290" Type="http://schemas.openxmlformats.org/officeDocument/2006/relationships/hyperlink" Target="https://actualicese.com/liquidador-efectos-de-las-ventas-de-activos-fijos-depreciables-que-constituyen-ganancia-ocasional/?referer=L-excel-formato&amp;utm_medium=act_formato_excel&amp;utm_source=act_formato_excel&amp;utm_campaign=act_formato_excel&amp;utm_content=act_formato_excel_link" TargetMode="External"/><Relationship Id="rId1304" Type="http://schemas.openxmlformats.org/officeDocument/2006/relationships/hyperlink" Target="https://actualicese.com/formatos-1011-1012-y-2275-reportes-de-otros-datos-de-la-declaracion-de-renta-o-de-ingresos-y-patrimonio-del-2015/?referer=L-excel-formato&amp;utm_medium=act_formato_excel&amp;utm_source=act_formato_excel&amp;utm_campaign=act_formato_excel&amp;utm_content=act_formato_excel_link" TargetMode="External"/><Relationship Id="rId1511" Type="http://schemas.openxmlformats.org/officeDocument/2006/relationships/hyperlink" Target="https://actualicese.com/guia-de-referencia-2015/?referer=L-excel-formato&amp;utm_medium=act_formato_excel&amp;utm_source=act_formato_excel&amp;utm_campaign=act_formato_excel&amp;utm_content=act_formato_excel_link" TargetMode="External"/><Relationship Id="rId1749" Type="http://schemas.openxmlformats.org/officeDocument/2006/relationships/hyperlink" Target="https://actualicese.com/convocatoria-a-una-reunion-extraordinaria/?referer=L-excel-formato&amp;utm_medium=act_formato_excel&amp;utm_source=act_formato_excel&amp;utm_campaign=act_formato_excel&amp;utm_content=act_formato_excel_link" TargetMode="External"/><Relationship Id="rId1956" Type="http://schemas.openxmlformats.org/officeDocument/2006/relationships/hyperlink" Target="https://actualicese.com/analisis-vertical-y-horizontal-aplicados-a-la-interpretacion-de-informacion-financiera/?referer=L-excel-formato&amp;utm_medium=act_formato_excel&amp;utm_source=act_formato_excel&amp;utm_campaign=act_formato_excel&amp;utm_content=act_formato_excel_link" TargetMode="External"/><Relationship Id="rId2134" Type="http://schemas.openxmlformats.org/officeDocument/2006/relationships/hyperlink" Target="https://actualicese.com/pack-de-formatos-para-la-revisoria-fiscal-dictamenes-informes-certificaciones-y-mas/?referer=L-excel-formato&amp;utm_medium=act_formato_excel&amp;utm_source=act_formato_excel&amp;utm_campaign=act_formato_excel&amp;utm_content=act_formato_excel_link" TargetMode="External"/><Relationship Id="rId2341" Type="http://schemas.openxmlformats.org/officeDocument/2006/relationships/hyperlink" Target="https://actualicese.com/sanciones-relacionadas-con-la-declaracion-informativa/?referer=L-excel-formato&amp;utm_medium=act_formato_excel&amp;utm_source=act_formato_excel&amp;utm_campaign=act_formato_excel&amp;utm_content=act_formato_excel_link" TargetMode="External"/><Relationship Id="rId106" Type="http://schemas.openxmlformats.org/officeDocument/2006/relationships/hyperlink" Target="https://actualicese.com/propuesta-para-desarrollar-un-proyecto-o-proceso-empresarial/?referer=L-excel-formato&amp;utm_medium=act_formato_excel&amp;utm_source=act_formato_excel&amp;utm_campaign=act_formato_excel&amp;utm_content=act_formato_excel_link" TargetMode="External"/><Relationship Id="rId313" Type="http://schemas.openxmlformats.org/officeDocument/2006/relationships/hyperlink" Target="https://actualicese.com/casos-practicos-en-excel-sobre-ventas-en-los-dias-sin-iva-en-2022/?referer=L-excel-formato&amp;utm_medium=act_formato_excel&amp;utm_source=act_formato_excel&amp;utm_campaign=act_formato_excel&amp;utm_content=act_formato_excel_link" TargetMode="External"/><Relationship Id="rId758" Type="http://schemas.openxmlformats.org/officeDocument/2006/relationships/hyperlink" Target="https://actualicese.com/modificacion-de-la-jornada-laboral-y-concertacion-de-salario-covid-19/?referer=L-excel-formato&amp;utm_medium=act_formato_excel&amp;utm_source=act_formato_excel&amp;utm_campaign=act_formato_excel&amp;utm_content=act_formato_excel_link" TargetMode="External"/><Relationship Id="rId965" Type="http://schemas.openxmlformats.org/officeDocument/2006/relationships/hyperlink" Target="https://actualicese.com/plantilla-para-elaborar-xml-de-formatos-1004-1011-y-2275-para-el-ano-gravable-2017/?referer=L-excel-formato&amp;utm_medium=act_formato_excel&amp;utm_source=act_formato_excel&amp;utm_campaign=act_formato_excel&amp;utm_content=act_formato_excel_link" TargetMode="External"/><Relationship Id="rId1150" Type="http://schemas.openxmlformats.org/officeDocument/2006/relationships/hyperlink" Target="https://actualicese.com/modelo-informe-del-revisor-fiscal-con-isae/?referer=L-excel-formato&amp;utm_medium=act_formato_excel&amp;utm_source=act_formato_excel&amp;utm_campaign=act_formato_excel&amp;utm_content=act_formato_excel_link" TargetMode="External"/><Relationship Id="rId1388" Type="http://schemas.openxmlformats.org/officeDocument/2006/relationships/hyperlink" Target="https://actualicese.com/carta-de-gerencia/?referer=L-excel-formato&amp;utm_medium=act_formato_excel&amp;utm_source=act_formato_excel&amp;utm_campaign=act_formato_excel&amp;utm_content=act_formato_excel_link" TargetMode="External"/><Relationship Id="rId1595" Type="http://schemas.openxmlformats.org/officeDocument/2006/relationships/hyperlink" Target="https://actualicese.com/funciones-responsabilidades-y-conocimientos-para-aplicar-al-cargo-de-contador-general-de-una-empresa/?referer=L-excel-formato&amp;utm_medium=act_formato_excel&amp;utm_source=act_formato_excel&amp;utm_campaign=act_formato_excel&amp;utm_content=act_formato_excel_link" TargetMode="External"/><Relationship Id="rId1609" Type="http://schemas.openxmlformats.org/officeDocument/2006/relationships/hyperlink" Target="https://actualicese.com/word-cuadro-comparativo-de-modificaciones-hechas-por-la-ley-132809-al-estatuto-organico-financiero/?referer=L-excel-formato&amp;utm_medium=act_formato_excel&amp;utm_source=act_formato_excel&amp;utm_campaign=act_formato_excel&amp;utm_content=act_formato_excel_link" TargetMode="External"/><Relationship Id="rId1816" Type="http://schemas.openxmlformats.org/officeDocument/2006/relationships/hyperlink" Target="https://actualicese.com/modelo-certificacion-para-que-proceda-descuento-tributario-por-donacion-realizada/?referer=L-excel-formato&amp;utm_medium=act_formato_excel&amp;utm_source=act_formato_excel&amp;utm_campaign=act_formato_excel&amp;utm_content=act_formato_excel_link" TargetMode="External"/><Relationship Id="rId2439" Type="http://schemas.openxmlformats.org/officeDocument/2006/relationships/hyperlink" Target="https://actualicese.com/comprobante-de-pago-intereses-a-las-cesantias/?referer=L-excel-formato&amp;utm_medium=act_formato_excel&amp;utm_source=act_formato_excel&amp;utm_campaign=act_formato_excel&amp;utm_content=act_formato_excel_link" TargetMode="External"/><Relationship Id="rId10" Type="http://schemas.openxmlformats.org/officeDocument/2006/relationships/hyperlink" Target="https://actualicese.com/convenio-de-pago-o-acuerdo-de-pago/?referer=L-excel-formato&amp;utm_medium=act_formato_excel&amp;utm_source=act_formato_excel&amp;utm_campaign=act_formato_excel&amp;utm_content=act_formato_excel_link" TargetMode="External"/><Relationship Id="rId94" Type="http://schemas.openxmlformats.org/officeDocument/2006/relationships/hyperlink" Target="https://actualicese.com/casos-practicos-de-deterioro-de-cartera-fiscal-provision-individual-y-general/?referer=L-excel-formato&amp;utm_medium=act_formato_excel&amp;utm_source=act_formato_excel&amp;utm_campaign=act_formato_excel&amp;utm_content=act_formato_excel_link" TargetMode="External"/><Relationship Id="rId397" Type="http://schemas.openxmlformats.org/officeDocument/2006/relationships/hyperlink" Target="https://actualicese.com/responsabilidad-en-seguridad-social-de-trabajadores-independientes/?referer=L-excel-formato&amp;utm_medium=act_formato_excel&amp;utm_source=act_formato_excel&amp;utm_campaign=act_formato_excel&amp;utm_content=act_formato_excel_link" TargetMode="External"/><Relationship Id="rId520" Type="http://schemas.openxmlformats.org/officeDocument/2006/relationships/hyperlink" Target="https://actualicese.com/calendario-para-pago-de-aportes-a-seguridad-social-para-empleadores-e-independientes-2021-2022/?referer=L-excel-formato&amp;utm_medium=act_formato_excel&amp;utm_source=act_formato_excel&amp;utm_campaign=act_formato_excel&amp;utm_content=act_formato_excel_link" TargetMode="External"/><Relationship Id="rId618" Type="http://schemas.openxmlformats.org/officeDocument/2006/relationships/hyperlink" Target="https://actualicese.com/plantilla-del-formato-1004-exogena-de-2020-reporte-de-descuentos-al-impuesto-de-renta-y-regimen-simple/?referer=L-excel-formato&amp;utm_medium=act_formato_excel&amp;utm_source=act_formato_excel&amp;utm_campaign=act_formato_excel&amp;utm_content=act_formato_excel_link" TargetMode="External"/><Relationship Id="rId825" Type="http://schemas.openxmlformats.org/officeDocument/2006/relationships/hyperlink" Target="https://actualicese.com/formulario-420-declaracion-de-impuesto-al-patrimonio/?referer=L-excel-formato&amp;utm_medium=act_formato_excel&amp;utm_source=act_formato_excel&amp;utm_campaign=act_formato_excel&amp;utm_content=act_formato_excel_link" TargetMode="External"/><Relationship Id="rId1248" Type="http://schemas.openxmlformats.org/officeDocument/2006/relationships/hyperlink" Target="https://actualicese.com/beneficios-tributarios-por-vinculacion-laboral-de-personas-con-condiciones-especiales/?referer=L-excel-formato&amp;utm_medium=act_formato_excel&amp;utm_source=act_formato_excel&amp;utm_campaign=act_formato_excel&amp;utm_content=act_formato_excel_link" TargetMode="External"/><Relationship Id="rId1455" Type="http://schemas.openxmlformats.org/officeDocument/2006/relationships/hyperlink" Target="https://actualicese.com/modelo-de-politica-general-contable/?referer=L-excel-formato&amp;utm_medium=act_formato_excel&amp;utm_source=act_formato_excel&amp;utm_campaign=act_formato_excel&amp;utm_content=act_formato_excel_link" TargetMode="External"/><Relationship Id="rId1662" Type="http://schemas.openxmlformats.org/officeDocument/2006/relationships/hyperlink" Target="https://actualicese.com/guia-plantilla-en-excel-con-macros-de-la-nota-credito/?referer=L-excel-formato&amp;utm_medium=act_formato_excel&amp;utm_source=act_formato_excel&amp;utm_campaign=act_formato_excel&amp;utm_content=act_formato_excel_link" TargetMode="External"/><Relationship Id="rId2078" Type="http://schemas.openxmlformats.org/officeDocument/2006/relationships/hyperlink" Target="https://actualicese.com/lista-de-chequeo-para-trasladarse-de-regimen-de-pensiones/?referer=L-excel-formato&amp;utm_medium=act_formato_excel&amp;utm_source=act_formato_excel&amp;utm_campaign=act_formato_excel&amp;utm_content=act_formato_excel_link" TargetMode="External"/><Relationship Id="rId2201" Type="http://schemas.openxmlformats.org/officeDocument/2006/relationships/hyperlink" Target="https://actualicese.com/modelo-de-certificado-de-retencion-en-la-fuente-por-conceptos-diferentes-a-rentas-laborales/?referer=L-excel-formato&amp;utm_medium=act_formato_excel&amp;utm_source=act_formato_excel&amp;utm_campaign=act_formato_excel&amp;utm_content=act_formato_excel_link" TargetMode="External"/><Relationship Id="rId2285" Type="http://schemas.openxmlformats.org/officeDocument/2006/relationships/hyperlink" Target="https://actualicese.com/carta-otorgando-poder/?referer=L-excel-formato&amp;utm_medium=act_formato_excel&amp;utm_source=act_formato_excel&amp;utm_campaign=act_formato_excel&amp;utm_content=act_formato_excel_link" TargetMode="External"/><Relationship Id="rId257" Type="http://schemas.openxmlformats.org/officeDocument/2006/relationships/hyperlink" Target="https://actualicese.com/modelo-para-el-incremento-anual-del-arrendamiento-comercial/?referer=L-excel-formato&amp;utm_medium=act_formato_excel&amp;utm_source=act_formato_excel&amp;utm_campaign=act_formato_excel&amp;utm_content=act_formato_excel_link" TargetMode="External"/><Relationship Id="rId464" Type="http://schemas.openxmlformats.org/officeDocument/2006/relationships/hyperlink" Target="https://actualicese.com/grados-de-apalancamiento-financiero-y-operativo/?referer=L-excel-formato&amp;utm_medium=act_formato_excel&amp;utm_source=act_formato_excel&amp;utm_campaign=act_formato_excel&amp;utm_content=act_formato_excel_link" TargetMode="External"/><Relationship Id="rId1010" Type="http://schemas.openxmlformats.org/officeDocument/2006/relationships/hyperlink" Target="https://actualicese.com/calendario-tributario-de-cali-2018/?referer=L-excel-formato&amp;utm_medium=act_formato_excel&amp;utm_source=act_formato_excel&amp;utm_campaign=act_formato_excel&amp;utm_content=act_formato_excel_link" TargetMode="External"/><Relationship Id="rId1094" Type="http://schemas.openxmlformats.org/officeDocument/2006/relationships/hyperlink" Target="https://actualicese.com/listado-de-relaciones-de-intercambio-de-informacion-de-cuentas-financieras-que-tiene-colombia/?referer=L-excel-formato&amp;utm_medium=act_formato_excel&amp;utm_source=act_formato_excel&amp;utm_campaign=act_formato_excel&amp;utm_content=act_formato_excel_link" TargetMode="External"/><Relationship Id="rId1108" Type="http://schemas.openxmlformats.org/officeDocument/2006/relationships/hyperlink" Target="https://actualicese.com/porcentaje-fijo-de-retencion-en-la-fuente-sobre-salarios-en-junio-de-2017-procedimiento-2/?referer=L-excel-formato&amp;utm_medium=act_formato_excel&amp;utm_source=act_formato_excel&amp;utm_campaign=act_formato_excel&amp;utm_content=act_formato_excel_link" TargetMode="External"/><Relationship Id="rId1315" Type="http://schemas.openxmlformats.org/officeDocument/2006/relationships/hyperlink" Target="https://actualicese.com/formato-1001-informacion-de-pagos-o-causaciones-a-terceros-durante-el-2015-y-las-retenciones-practicadas-o-asumidas-sobre-los-mismos-caso-1/?referer=L-excel-formato&amp;utm_medium=act_formato_excel&amp;utm_source=act_formato_excel&amp;utm_campaign=act_formato_excel&amp;utm_content=act_formato_excel_link" TargetMode="External"/><Relationship Id="rId1967" Type="http://schemas.openxmlformats.org/officeDocument/2006/relationships/hyperlink" Target="https://actualicese.com/liquidador-de-indicadores-de-detrimento-patrimonial-e-insolvencia-financiera/?referer=L-excel-formato&amp;utm_medium=act_formato_excel&amp;utm_source=act_formato_excel&amp;utm_campaign=act_formato_excel&amp;utm_content=act_formato_excel_link" TargetMode="External"/><Relationship Id="rId2145" Type="http://schemas.openxmlformats.org/officeDocument/2006/relationships/hyperlink" Target="https://actualicese.com/tablas-de-retencion-en-la-fuente-a-titulo-de-impuestos-nacionales-durante-el-ano-fiscal-2024/?referer=L-excel-formato&amp;utm_medium=act_formato_excel&amp;utm_source=act_formato_excel&amp;utm_campaign=act_formato_excel&amp;utm_content=act_formato_excel_link" TargetMode="External"/><Relationship Id="rId117" Type="http://schemas.openxmlformats.org/officeDocument/2006/relationships/hyperlink" Target="https://actualicese.com/beneficio-de-auditoria-para-personas-naturales-ag-2021-casos-practicos-en-excel/?referer=L-excel-formato&amp;utm_medium=act_formato_excel&amp;utm_source=act_formato_excel&amp;utm_campaign=act_formato_excel&amp;utm_content=act_formato_excel_link" TargetMode="External"/><Relationship Id="rId671" Type="http://schemas.openxmlformats.org/officeDocument/2006/relationships/hyperlink" Target="https://actualicese.com/contabilizacion-de-los-rubros-asociados-a-la-dotacion-a-empleados/?referer=L-excel-formato&amp;utm_medium=act_formato_excel&amp;utm_source=act_formato_excel&amp;utm_campaign=act_formato_excel&amp;utm_content=act_formato_excel_link" TargetMode="External"/><Relationship Id="rId769" Type="http://schemas.openxmlformats.org/officeDocument/2006/relationships/hyperlink" Target="https://actualicese.com/formato-exogena-1003-por-el-ano-gravable-2019-retenciones-que-le-practicaron-al-informante/?referer=L-excel-formato&amp;utm_medium=act_formato_excel&amp;utm_source=act_formato_excel&amp;utm_campaign=act_formato_excel&amp;utm_content=act_formato_excel_link" TargetMode="External"/><Relationship Id="rId976" Type="http://schemas.openxmlformats.org/officeDocument/2006/relationships/hyperlink" Target="https://actualicese.com/denuncia-por-incumplimiento-de-obligacion-de-hacer-en-acuerdo-de-reorganizacion/?referer=L-excel-formato&amp;utm_medium=act_formato_excel&amp;utm_source=act_formato_excel&amp;utm_campaign=act_formato_excel&amp;utm_content=act_formato_excel_link" TargetMode="External"/><Relationship Id="rId1399" Type="http://schemas.openxmlformats.org/officeDocument/2006/relationships/hyperlink" Target="https://actualicese.com/revelaciones-exigidas-por-la-nic-2-lista-de-chequeo/?referer=L-excel-formato&amp;utm_medium=act_formato_excel&amp;utm_source=act_formato_excel&amp;utm_campaign=act_formato_excel&amp;utm_content=act_formato_excel_link" TargetMode="External"/><Relationship Id="rId2352" Type="http://schemas.openxmlformats.org/officeDocument/2006/relationships/hyperlink" Target="https://actualicese.com/politica-de-pago-a-proveedores-y-plantilla-de-control-de-cuentas-por-pagar/?referer=L-excel-formato&amp;utm_medium=act_formato_excel&amp;utm_source=act_formato_excel&amp;utm_campaign=act_formato_excel&amp;utm_content=act_formato_excel_link" TargetMode="External"/><Relationship Id="rId324" Type="http://schemas.openxmlformats.org/officeDocument/2006/relationships/hyperlink" Target="https://actualicese.com/codigos-de-responsabilidades-tributarias-rut-casilla-53/?referer=L-excel-formato&amp;utm_medium=act_formato_excel&amp;utm_source=act_formato_excel&amp;utm_campaign=act_formato_excel&amp;utm_content=act_formato_excel_link" TargetMode="External"/><Relationship Id="rId531" Type="http://schemas.openxmlformats.org/officeDocument/2006/relationships/hyperlink" Target="https://actualicese.com/notificacion-de-la-asignacion-de-responsabilidad-en-el-sistema-de-control-de-calidad/?referer=L-excel-formato&amp;utm_medium=act_formato_excel&amp;utm_source=act_formato_excel&amp;utm_campaign=act_formato_excel&amp;utm_content=act_formato_excel_link" TargetMode="External"/><Relationship Id="rId629" Type="http://schemas.openxmlformats.org/officeDocument/2006/relationships/hyperlink" Target="https://actualicese.com/conciliacion-contable-y-tributaria-casos-de-deducciones-especiales/?referer=L-excel-formato&amp;utm_medium=act_formato_excel&amp;utm_source=act_formato_excel&amp;utm_campaign=act_formato_excel&amp;utm_content=act_formato_excel_link" TargetMode="External"/><Relationship Id="rId1161" Type="http://schemas.openxmlformats.org/officeDocument/2006/relationships/hyperlink" Target="https://actualicese.com/allanamiento-a-las-pretensiones-de-la-demanda/?referer=L-excel-formato&amp;utm_medium=act_formato_excel&amp;utm_source=act_formato_excel&amp;utm_campaign=act_formato_excel&amp;utm_content=act_formato_excel_link" TargetMode="External"/><Relationship Id="rId1259" Type="http://schemas.openxmlformats.org/officeDocument/2006/relationships/hyperlink" Target="https://actualicese.com/formularios-210-y-230-con-anexos-para-declaracion-de-renta-de-personas-naturales-ano-gravable-2015/?referer=L-excel-formato&amp;utm_medium=act_formato_excel&amp;utm_source=act_formato_excel&amp;utm_campaign=act_formato_excel&amp;utm_content=act_formato_excel_link" TargetMode="External"/><Relationship Id="rId1466" Type="http://schemas.openxmlformats.org/officeDocument/2006/relationships/hyperlink" Target="https://actualicese.com/medicion-de-pasivos-financieros-a-costo-amortizado/?referer=L-excel-formato&amp;utm_medium=act_formato_excel&amp;utm_source=act_formato_excel&amp;utm_campaign=act_formato_excel&amp;utm_content=act_formato_excel_link" TargetMode="External"/><Relationship Id="rId2005" Type="http://schemas.openxmlformats.org/officeDocument/2006/relationships/hyperlink" Target="https://actualicese.com/solicitud-pago-de-acreencias-laborales/?referer=L-excel-formato&amp;utm_medium=act_formato_excel&amp;utm_source=act_formato_excel&amp;utm_campaign=act_formato_excel&amp;utm_content=act_formato_excel_link" TargetMode="External"/><Relationship Id="rId2212" Type="http://schemas.openxmlformats.org/officeDocument/2006/relationships/hyperlink" Target="https://actualicese.com/contrato-modelo-contrato-a-termino-indefinido-de-trabajo/?referer=L-excel-formato&amp;utm_medium=act_formato_excel&amp;utm_source=act_formato_excel&amp;utm_campaign=act_formato_excel&amp;utm_content=act_formato_excel_link" TargetMode="External"/><Relationship Id="rId836" Type="http://schemas.openxmlformats.org/officeDocument/2006/relationships/hyperlink" Target="https://actualicese.com/formulario-110-declaracion-de-renta-de-naturales-ag-2018-no-obligados-a-llevar-contabilidad/?referer=L-excel-formato&amp;utm_medium=act_formato_excel&amp;utm_source=act_formato_excel&amp;utm_campaign=act_formato_excel&amp;utm_content=act_formato_excel_link" TargetMode="External"/><Relationship Id="rId1021" Type="http://schemas.openxmlformats.org/officeDocument/2006/relationships/hyperlink" Target="https://actualicese.com/demanda-de-cancelacion-y-reposicion-de-titulo-valor-contra-entidad-bancaria/?referer=L-excel-formato&amp;utm_medium=act_formato_excel&amp;utm_source=act_formato_excel&amp;utm_campaign=act_formato_excel&amp;utm_content=act_formato_excel_link" TargetMode="External"/><Relationship Id="rId1119" Type="http://schemas.openxmlformats.org/officeDocument/2006/relationships/hyperlink" Target="https://actualicese.com/modelo-de-manifestacion-de-la-gerencia-dirigida-a-la-revisoria-fiscal/?referer=L-excel-formato&amp;utm_medium=act_formato_excel&amp;utm_source=act_formato_excel&amp;utm_campaign=act_formato_excel&amp;utm_content=act_formato_excel_link" TargetMode="External"/><Relationship Id="rId1673" Type="http://schemas.openxmlformats.org/officeDocument/2006/relationships/hyperlink" Target="https://actualicese.com/caso-practico-en-excel-sobre-adquisicion-de-activos-inventarios-con-interes-implicito/?referer=L-excel-formato&amp;utm_medium=act_formato_excel&amp;utm_source=act_formato_excel&amp;utm_campaign=act_formato_excel&amp;utm_content=act_formato_excel_link" TargetMode="External"/><Relationship Id="rId1880" Type="http://schemas.openxmlformats.org/officeDocument/2006/relationships/hyperlink" Target="https://actualicese.com/liquidador-del-componente-inflacionario-de-los-rendimientos-o-costos-financieros/?referer=L-excel-formato&amp;utm_medium=act_formato_excel&amp;utm_source=act_formato_excel&amp;utm_campaign=act_formato_excel&amp;utm_content=act_formato_excel_link" TargetMode="External"/><Relationship Id="rId1978" Type="http://schemas.openxmlformats.org/officeDocument/2006/relationships/hyperlink" Target="https://actualicese.com/modelo-de-llamado-de-atencion/?referer=L-excel-formato&amp;utm_medium=act_formato_excel&amp;utm_source=act_formato_excel&amp;utm_campaign=act_formato_excel&amp;utm_content=act_formato_excel_link" TargetMode="External"/><Relationship Id="rId903" Type="http://schemas.openxmlformats.org/officeDocument/2006/relationships/hyperlink" Target="https://actualicese.com/dictamen-para-empresas-que-aplican-el-estandar-internacional-para-pymes/?referer=L-excel-formato&amp;utm_medium=act_formato_excel&amp;utm_source=act_formato_excel&amp;utm_campaign=act_formato_excel&amp;utm_content=act_formato_excel_link" TargetMode="External"/><Relationship Id="rId1326" Type="http://schemas.openxmlformats.org/officeDocument/2006/relationships/hyperlink" Target="https://actualicese.com/sancion-por-extemporaneidad-en-declaracion-del-regimen-simplificado-del-impuesto-al-consumo/?referer=L-excel-formato&amp;utm_medium=act_formato_excel&amp;utm_source=act_formato_excel&amp;utm_campaign=act_formato_excel&amp;utm_content=act_formato_excel_link" TargetMode="External"/><Relationship Id="rId1533" Type="http://schemas.openxmlformats.org/officeDocument/2006/relationships/hyperlink" Target="https://actualicese.com/modelo-para-proyectar-efectos-del-iman-y-el-imas-en-el-impuesto-de-renta-de-los-empleados/?referer=L-excel-formato&amp;utm_medium=act_formato_excel&amp;utm_source=act_formato_excel&amp;utm_campaign=act_formato_excel&amp;utm_content=act_formato_excel_link" TargetMode="External"/><Relationship Id="rId1740" Type="http://schemas.openxmlformats.org/officeDocument/2006/relationships/hyperlink" Target="https://actualicese.com/casos-practicos-de-liquidacion-de-aportes-a-seguridad-social-de-independientes-con-varios-contratos-de-prestacion-de-servicios/?referer=L-excel-formato&amp;utm_medium=act_formato_excel&amp;utm_source=act_formato_excel&amp;utm_campaign=act_formato_excel&amp;utm_content=act_formato_excel_link" TargetMode="External"/><Relationship Id="rId32" Type="http://schemas.openxmlformats.org/officeDocument/2006/relationships/hyperlink" Target="https://actualicese.com/liquidador-impuesto-diferido-por-activos-biologicos-caso-practico-en-excel/?referer=L-excel-formato&amp;utm_medium=act_formato_excel&amp;utm_source=act_formato_excel&amp;utm_campaign=act_formato_excel&amp;utm_content=act_formato_excel_link" TargetMode="External"/><Relationship Id="rId1600" Type="http://schemas.openxmlformats.org/officeDocument/2006/relationships/hyperlink" Target="https://actualicese.com/word-modelo-de-accion-y-nota-de-cesion/?referer=L-excel-formato&amp;utm_medium=act_formato_excel&amp;utm_source=act_formato_excel&amp;utm_campaign=act_formato_excel&amp;utm_content=act_formato_excel_link" TargetMode="External"/><Relationship Id="rId1838" Type="http://schemas.openxmlformats.org/officeDocument/2006/relationships/hyperlink" Target="https://actualicese.com/contabilizacion-de-la-nomina-ejemplo-practico/?referer=L-excel-formato&amp;utm_medium=act_formato_excel&amp;utm_source=act_formato_excel&amp;utm_campaign=act_formato_excel&amp;utm_content=act_formato_excel_link" TargetMode="External"/><Relationship Id="rId181" Type="http://schemas.openxmlformats.org/officeDocument/2006/relationships/hyperlink" Target="https://actualicese.com/caso-practico-de-liquidacion-de-nomina-en-junio-de-trabajador-que-devenga-el-salario-minimo-2022/?referer=L-excel-formato&amp;utm_medium=act_formato_excel&amp;utm_source=act_formato_excel&amp;utm_campaign=act_formato_excel&amp;utm_content=act_formato_excel_link" TargetMode="External"/><Relationship Id="rId1905" Type="http://schemas.openxmlformats.org/officeDocument/2006/relationships/hyperlink" Target="https://actualicese.com/modelo-para-la-elaboracion-de-estados-financieros-y-calculo-de-los-indicadores-financieros/?referer=L-excel-formato&amp;utm_medium=act_formato_excel&amp;utm_source=act_formato_excel&amp;utm_campaign=act_formato_excel&amp;utm_content=act_formato_excel_link" TargetMode="External"/><Relationship Id="rId279" Type="http://schemas.openxmlformats.org/officeDocument/2006/relationships/hyperlink" Target="https://actualicese.com/matriz-de-categorias-para-el-reporte-de-informacion-exogena-y-los-formatos-para-el-ano-gravable-2021/?referer=L-excel-formato&amp;utm_medium=act_formato_excel&amp;utm_source=act_formato_excel&amp;utm_campaign=act_formato_excel&amp;utm_content=act_formato_excel_link" TargetMode="External"/><Relationship Id="rId486" Type="http://schemas.openxmlformats.org/officeDocument/2006/relationships/hyperlink" Target="https://actualicese.com/simulador-de-la-reduccion-de-multas-de-transito-contemplada-en-la-ley-de-inversion-social/?referer=L-excel-formato&amp;utm_medium=act_formato_excel&amp;utm_source=act_formato_excel&amp;utm_campaign=act_formato_excel&amp;utm_content=act_formato_excel_link" TargetMode="External"/><Relationship Id="rId693" Type="http://schemas.openxmlformats.org/officeDocument/2006/relationships/hyperlink" Target="https://actualicese.com/modelo-de-contrato-de-franquicia/?referer=L-excel-formato&amp;utm_medium=act_formato_excel&amp;utm_source=act_formato_excel&amp;utm_campaign=act_formato_excel&amp;utm_content=act_formato_excel_link" TargetMode="External"/><Relationship Id="rId2167" Type="http://schemas.openxmlformats.org/officeDocument/2006/relationships/hyperlink" Target="https://actualicese.com/modelo-en-word-de-carta-de-terminacion-del-contrato-de-trabajo-sin-justa-causa-por-parte-del-empleador/?referer=L-excel-formato&amp;utm_medium=act_formato_excel&amp;utm_source=act_formato_excel&amp;utm_campaign=act_formato_excel&amp;utm_content=act_formato_excel_link" TargetMode="External"/><Relationship Id="rId2374" Type="http://schemas.openxmlformats.org/officeDocument/2006/relationships/hyperlink" Target="https://actualicese.com/analisis-de-informacion-de-ventas-utilizando-el-metodo-del-indice-de-estacionalidad/?referer=L-excel-formato&amp;utm_medium=act_formato_excel&amp;utm_source=act_formato_excel&amp;utm_campaign=act_formato_excel&amp;utm_content=act_formato_excel_link" TargetMode="External"/><Relationship Id="rId139" Type="http://schemas.openxmlformats.org/officeDocument/2006/relationships/hyperlink" Target="https://actualicese.com/formato-de-quejas-y-reclamos/?referer=L-excel-formato&amp;utm_medium=act_formato_excel&amp;utm_source=act_formato_excel&amp;utm_campaign=act_formato_excel&amp;utm_content=act_formato_excel_link" TargetMode="External"/><Relationship Id="rId346" Type="http://schemas.openxmlformats.org/officeDocument/2006/relationships/hyperlink" Target="https://actualicese.com/modelo-de-dictamen-con-opinion-adversa-o-desfavorable/?referer=L-excel-formato&amp;utm_medium=act_formato_excel&amp;utm_source=act_formato_excel&amp;utm_campaign=act_formato_excel&amp;utm_content=act_formato_excel_link" TargetMode="External"/><Relationship Id="rId553" Type="http://schemas.openxmlformats.org/officeDocument/2006/relationships/hyperlink" Target="https://actualicese.com/liquidador-de-la-licencia-de-maternidad-cuando-procede-pago-proporcional/?referer=L-excel-formato&amp;utm_medium=act_formato_excel&amp;utm_source=act_formato_excel&amp;utm_campaign=act_formato_excel&amp;utm_content=act_formato_excel_link" TargetMode="External"/><Relationship Id="rId760" Type="http://schemas.openxmlformats.org/officeDocument/2006/relationships/hyperlink" Target="https://actualicese.com/sanciones-relacionadas-con-la-declaracion-informativa/?referer=L-excel-formato&amp;utm_medium=act_formato_excel&amp;utm_source=act_formato_excel&amp;utm_campaign=act_formato_excel&amp;utm_content=act_formato_excel_link" TargetMode="External"/><Relationship Id="rId998" Type="http://schemas.openxmlformats.org/officeDocument/2006/relationships/hyperlink" Target="https://actualicese.com/liquidador-basico-de-nomina/?referer=L-excel-formato&amp;utm_medium=act_formato_excel&amp;utm_source=act_formato_excel&amp;utm_campaign=act_formato_excel&amp;utm_content=act_formato_excel_link" TargetMode="External"/><Relationship Id="rId1183" Type="http://schemas.openxmlformats.org/officeDocument/2006/relationships/hyperlink" Target="https://actualicese.com/cedula-de-control-para-valoracion-de-riesgos-en-compras/?referer=L-excel-formato&amp;utm_medium=act_formato_excel&amp;utm_source=act_formato_excel&amp;utm_campaign=act_formato_excel&amp;utm_content=act_formato_excel_link" TargetMode="External"/><Relationship Id="rId1390" Type="http://schemas.openxmlformats.org/officeDocument/2006/relationships/hyperlink" Target="https://actualicese.com/modelo-de-certificacion-para-acreditar-que-la-empresa-se-encuentra-al-dia-en-pagos-de-parafiscales-y-seguridad-social/?referer=L-excel-formato&amp;utm_medium=act_formato_excel&amp;utm_source=act_formato_excel&amp;utm_campaign=act_formato_excel&amp;utm_content=act_formato_excel_link" TargetMode="External"/><Relationship Id="rId2027" Type="http://schemas.openxmlformats.org/officeDocument/2006/relationships/hyperlink" Target="https://actualicese.com/formato-de-solicitud-de-licencia-de-calamidad-domestica/?referer=L-excel-formato&amp;utm_medium=act_formato_excel&amp;utm_source=act_formato_excel&amp;utm_campaign=act_formato_excel&amp;utm_content=act_formato_excel_link" TargetMode="External"/><Relationship Id="rId2234" Type="http://schemas.openxmlformats.org/officeDocument/2006/relationships/hyperlink" Target="https://actualicese.com/plantilla-para-el-control-de-entrega-de-dotacion-a-empleados/?referer=L-excel-formato&amp;utm_medium=act_formato_excel&amp;utm_source=act_formato_excel&amp;utm_campaign=act_formato_excel&amp;utm_content=act_formato_excel_link" TargetMode="External"/><Relationship Id="rId2441" Type="http://schemas.openxmlformats.org/officeDocument/2006/relationships/hyperlink" Target="https://actualicese.com/liquidador-historico-de-porcentajes-de-reajuste-fiscal/?referer=L-excel-formato&amp;utm_medium=act_formato_excel&amp;utm_source=act_formato_excel&amp;utm_campaign=act_formato_excel&amp;utm_content=act_formato_excel_link" TargetMode="External"/><Relationship Id="rId206" Type="http://schemas.openxmlformats.org/officeDocument/2006/relationships/hyperlink" Target="https://actualicese.com/renta-liquida-gravable-por-comparacion-patrimonial-calculos-para-su-determinacion/?referer=L-excel-formato&amp;utm_medium=act_formato_excel&amp;utm_source=act_formato_excel&amp;utm_campaign=act_formato_excel&amp;utm_content=act_formato_excel_link" TargetMode="External"/><Relationship Id="rId413" Type="http://schemas.openxmlformats.org/officeDocument/2006/relationships/hyperlink" Target="https://actualicese.com/liquidador-prima/?referer=L-excel-formato&amp;utm_medium=act_formato_excel&amp;utm_source=act_formato_excel&amp;utm_campaign=act_formato_excel&amp;utm_content=act_formato_excel_link" TargetMode="External"/><Relationship Id="rId858" Type="http://schemas.openxmlformats.org/officeDocument/2006/relationships/hyperlink" Target="https://actualicese.com/formato-exogena-1007-por-el-ano-gravable-2018-reportes-de-ingresos-propios/?referer=L-excel-formato&amp;utm_medium=act_formato_excel&amp;utm_source=act_formato_excel&amp;utm_campaign=act_formato_excel&amp;utm_content=act_formato_excel_link" TargetMode="External"/><Relationship Id="rId1043" Type="http://schemas.openxmlformats.org/officeDocument/2006/relationships/hyperlink" Target="https://actualicese.com/recurso-de-queja-por-denegar-liquidacion-de-credito-en-proceso-ejecutivo/?referer=L-excel-formato&amp;utm_medium=act_formato_excel&amp;utm_source=act_formato_excel&amp;utm_campaign=act_formato_excel&amp;utm_content=act_formato_excel_link" TargetMode="External"/><Relationship Id="rId1488" Type="http://schemas.openxmlformats.org/officeDocument/2006/relationships/hyperlink" Target="https://actualicese.com/cuestionario-de-auditoria-para-area-de-auditoria/?referer=L-excel-formato&amp;utm_medium=act_formato_excel&amp;utm_source=act_formato_excel&amp;utm_campaign=act_formato_excel&amp;utm_content=act_formato_excel_link" TargetMode="External"/><Relationship Id="rId1695" Type="http://schemas.openxmlformats.org/officeDocument/2006/relationships/hyperlink" Target="https://actualicese.com/liquidador-del-auxilio-de-incapacidad-de-origen-comun-para-trabajador-independiente/?referer=L-excel-formato&amp;utm_medium=act_formato_excel&amp;utm_source=act_formato_excel&amp;utm_campaign=act_formato_excel&amp;utm_content=act_formato_excel_link" TargetMode="External"/><Relationship Id="rId620" Type="http://schemas.openxmlformats.org/officeDocument/2006/relationships/hyperlink" Target="https://actualicese.com/plantilla-del-formato-exogena-1010-por-el-ano-gravable-2020-reporte-de-socios-cooperados-o-comuneros/?referer=L-excel-formato&amp;utm_medium=act_formato_excel&amp;utm_source=act_formato_excel&amp;utm_campaign=act_formato_excel&amp;utm_content=act_formato_excel_link" TargetMode="External"/><Relationship Id="rId718" Type="http://schemas.openxmlformats.org/officeDocument/2006/relationships/hyperlink" Target="https://actualicese.com/formulario-210-y-formato-2517-para-declaracion-de-renta-ag-2019-residentes-que-llevan-contabilidad/?referer=L-excel-formato&amp;utm_medium=act_formato_excel&amp;utm_source=act_formato_excel&amp;utm_campaign=act_formato_excel&amp;utm_content=act_formato_excel_link" TargetMode="External"/><Relationship Id="rId925" Type="http://schemas.openxmlformats.org/officeDocument/2006/relationships/hyperlink" Target="https://actualicese.com/sistema-de-control-de-calidad-aplicado-a-recursos-humanos-en-un-encargo-de-auditoria/?referer=L-excel-formato&amp;utm_medium=act_formato_excel&amp;utm_source=act_formato_excel&amp;utm_campaign=act_formato_excel&amp;utm_content=act_formato_excel_link" TargetMode="External"/><Relationship Id="rId1250" Type="http://schemas.openxmlformats.org/officeDocument/2006/relationships/hyperlink" Target="https://actualicese.com/formato-otro-si-para-modificar-promesa-de-compraventa/?referer=L-excel-formato&amp;utm_medium=act_formato_excel&amp;utm_source=act_formato_excel&amp;utm_campaign=act_formato_excel&amp;utm_content=act_formato_excel_link" TargetMode="External"/><Relationship Id="rId1348" Type="http://schemas.openxmlformats.org/officeDocument/2006/relationships/hyperlink" Target="https://actualicese.com/autorizacion-para-desocupar-inmueble-por-finalizacion-del-contrato-de-arrendamiento-ph/?referer=L-excel-formato&amp;utm_medium=act_formato_excel&amp;utm_source=act_formato_excel&amp;utm_campaign=act_formato_excel&amp;utm_content=act_formato_excel_link" TargetMode="External"/><Relationship Id="rId1555" Type="http://schemas.openxmlformats.org/officeDocument/2006/relationships/hyperlink" Target="https://actualicese.com/calendario-tributario-automatizado-para-el-2014/?referer=L-excel-formato&amp;utm_medium=act_formato_excel&amp;utm_source=act_formato_excel&amp;utm_campaign=act_formato_excel&amp;utm_content=act_formato_excel_link" TargetMode="External"/><Relationship Id="rId1762" Type="http://schemas.openxmlformats.org/officeDocument/2006/relationships/hyperlink" Target="https://actualicese.com/modelo-del-certificado-anual-a-socios-o-accionistas/?referer=L-excel-formato&amp;utm_medium=act_formato_excel&amp;utm_source=act_formato_excel&amp;utm_campaign=act_formato_excel&amp;utm_content=act_formato_excel_link" TargetMode="External"/><Relationship Id="rId2301" Type="http://schemas.openxmlformats.org/officeDocument/2006/relationships/hyperlink" Target="https://actualicese.com/revocatoria-de-poder-otorgado-a-un-abogado/?referer=L-excel-formato&amp;utm_medium=act_formato_excel&amp;utm_source=act_formato_excel&amp;utm_campaign=act_formato_excel&amp;utm_content=act_formato_excel_link" TargetMode="External"/><Relationship Id="rId1110" Type="http://schemas.openxmlformats.org/officeDocument/2006/relationships/hyperlink" Target="https://actualicese.com/reclamacion-por-garantias-sobre-bienes-o-servicios/?referer=L-excel-formato&amp;utm_medium=act_formato_excel&amp;utm_source=act_formato_excel&amp;utm_campaign=act_formato_excel&amp;utm_content=act_formato_excel_link" TargetMode="External"/><Relationship Id="rId1208" Type="http://schemas.openxmlformats.org/officeDocument/2006/relationships/hyperlink" Target="https://actualicese.com/matriz-para-establecer-cumplimiento-de-criterios-para-ser-calificado-como-gran-contribuyente/?referer=L-excel-formato&amp;utm_medium=act_formato_excel&amp;utm_source=act_formato_excel&amp;utm_campaign=act_formato_excel&amp;utm_content=act_formato_excel_link" TargetMode="External"/><Relationship Id="rId1415" Type="http://schemas.openxmlformats.org/officeDocument/2006/relationships/hyperlink" Target="https://actualicese.com/acta-compromisoria-para-delegacion-de-tribunal-de-arbitramento/?referer=L-excel-formato&amp;utm_medium=act_formato_excel&amp;utm_source=act_formato_excel&amp;utm_campaign=act_formato_excel&amp;utm_content=act_formato_excel_link" TargetMode="External"/><Relationship Id="rId54" Type="http://schemas.openxmlformats.org/officeDocument/2006/relationships/hyperlink" Target="https://actualicese.com/liquidador-caso-practico-en-excel-contabilizacion-de-reembolso-de-caja-menor/?referer=L-excel-formato&amp;utm_medium=act_formato_excel&amp;utm_source=act_formato_excel&amp;utm_campaign=act_formato_excel&amp;utm_content=act_formato_excel_link" TargetMode="External"/><Relationship Id="rId1622" Type="http://schemas.openxmlformats.org/officeDocument/2006/relationships/hyperlink" Target="https://actualicese.com/tutela-para-reclamar-incapacidades/?referer=L-excel-formato&amp;utm_medium=act_formato_excel&amp;utm_source=act_formato_excel&amp;utm_campaign=act_formato_excel&amp;utm_content=act_formato_excel_link" TargetMode="External"/><Relationship Id="rId1927" Type="http://schemas.openxmlformats.org/officeDocument/2006/relationships/hyperlink" Target="https://actualicese.com/modelo-de-informe-de-gestion/?referer=L-excel-formato&amp;utm_medium=act_formato_excel&amp;utm_source=act_formato_excel&amp;utm_campaign=act_formato_excel&amp;utm_content=act_formato_excel_link" TargetMode="External"/><Relationship Id="rId2091" Type="http://schemas.openxmlformats.org/officeDocument/2006/relationships/hyperlink" Target="https://actualicese.com/listado-de-actividades-economicas-codigos-ciiu/?referer=L-excel-formato&amp;utm_medium=act_formato_excel&amp;utm_source=act_formato_excel&amp;utm_campaign=act_formato_excel&amp;utm_content=act_formato_excel_link" TargetMode="External"/><Relationship Id="rId2189" Type="http://schemas.openxmlformats.org/officeDocument/2006/relationships/hyperlink" Target="https://actualicese.com/modelo-de-contrato-de-prestacion-de-servicios/?referer=L-excel-formato&amp;utm_medium=act_formato_excel&amp;utm_source=act_formato_excel&amp;utm_campaign=act_formato_excel&amp;utm_content=act_formato_excel_link" TargetMode="External"/><Relationship Id="rId270" Type="http://schemas.openxmlformats.org/officeDocument/2006/relationships/hyperlink" Target="https://actualicese.com/caso-practico-de-determinacion-de-la-renta-liquida-cedular-por-pensiones-del-exterior/?referer=L-excel-formato&amp;utm_medium=act_formato_excel&amp;utm_source=act_formato_excel&amp;utm_campaign=act_formato_excel&amp;utm_content=act_formato_excel_link" TargetMode="External"/><Relationship Id="rId2396" Type="http://schemas.openxmlformats.org/officeDocument/2006/relationships/hyperlink" Target="https://actualicese.com/casos-practicos-sobre-metodos-para-determinar-la-naturaleza-del-impuesto-diferido/?referer=L-excel-formato&amp;utm_medium=act_formato_excel&amp;utm_source=act_formato_excel&amp;utm_campaign=act_formato_excel&amp;utm_content=act_formato_excel_link" TargetMode="External"/><Relationship Id="rId130" Type="http://schemas.openxmlformats.org/officeDocument/2006/relationships/hyperlink" Target="https://actualicese.com/calculadora-de-fechas/?referer=L-excel-formato&amp;utm_medium=act_formato_excel&amp;utm_source=act_formato_excel&amp;utm_campaign=act_formato_excel&amp;utm_content=act_formato_excel_link" TargetMode="External"/><Relationship Id="rId368" Type="http://schemas.openxmlformats.org/officeDocument/2006/relationships/hyperlink" Target="https://actualicese.com/reunion-del-maximo-organo-social-para-cambio-de-los-miembros-de-junta-directiva/?referer=L-excel-formato&amp;utm_medium=act_formato_excel&amp;utm_source=act_formato_excel&amp;utm_campaign=act_formato_excel&amp;utm_content=act_formato_excel_link" TargetMode="External"/><Relationship Id="rId575" Type="http://schemas.openxmlformats.org/officeDocument/2006/relationships/hyperlink" Target="https://actualicese.com/formulario-310-ag-2021-declaracion-del-impuesto-nacional-al-consumo-plantilla-para-borrador/?referer=L-excel-formato&amp;utm_medium=act_formato_excel&amp;utm_source=act_formato_excel&amp;utm_campaign=act_formato_excel&amp;utm_content=act_formato_excel_link" TargetMode="External"/><Relationship Id="rId782" Type="http://schemas.openxmlformats.org/officeDocument/2006/relationships/hyperlink" Target="https://actualicese.com/impuesto-de-renta-de-personas-naturales-residentes-en-el-regimen-ordinario-ano-gravable-2019-vs-2020/?referer=L-excel-formato&amp;utm_medium=act_formato_excel&amp;utm_source=act_formato_excel&amp;utm_campaign=act_formato_excel&amp;utm_content=act_formato_excel_link" TargetMode="External"/><Relationship Id="rId2049" Type="http://schemas.openxmlformats.org/officeDocument/2006/relationships/hyperlink" Target="https://actualicese.com/impuesto-diferido-en-la-depreciacion-de-propiedad-planta-y-equipo-caso-practico-en-excel/?referer=L-excel-formato&amp;utm_medium=act_formato_excel&amp;utm_source=act_formato_excel&amp;utm_campaign=act_formato_excel&amp;utm_content=act_formato_excel_link" TargetMode="External"/><Relationship Id="rId2256" Type="http://schemas.openxmlformats.org/officeDocument/2006/relationships/hyperlink" Target="https://actualicese.com/notificacion-a-empleado-de-la-reduccion-de-la-jornada-laboral/?referer=L-excel-formato&amp;utm_medium=act_formato_excel&amp;utm_source=act_formato_excel&amp;utm_campaign=act_formato_excel&amp;utm_content=act_formato_excel_link" TargetMode="External"/><Relationship Id="rId228" Type="http://schemas.openxmlformats.org/officeDocument/2006/relationships/hyperlink" Target="https://actualicese.com/simulador-del-beneficio-de-auditoria-para-2021-2022-y-2023-con-las-novedades-de-la-ley-de-inversion-social/?referer=L-excel-formato&amp;utm_medium=act_formato_excel&amp;utm_source=act_formato_excel&amp;utm_campaign=act_formato_excel&amp;utm_content=act_formato_excel_link" TargetMode="External"/><Relationship Id="rId435" Type="http://schemas.openxmlformats.org/officeDocument/2006/relationships/hyperlink" Target="https://actualicese.com/listado-de-ingresos-de-fuente-extranjera-periodo-gravable-2021/?referer=L-excel-formato&amp;utm_medium=act_formato_excel&amp;utm_source=act_formato_excel&amp;utm_campaign=act_formato_excel&amp;utm_content=act_formato_excel_link" TargetMode="External"/><Relationship Id="rId642" Type="http://schemas.openxmlformats.org/officeDocument/2006/relationships/hyperlink" Target="https://actualicese.com/modelo-de-accion-de-tutela-para-reclamar-incapacidades/?referer=L-excel-formato&amp;utm_medium=act_formato_excel&amp;utm_source=act_formato_excel&amp;utm_campaign=act_formato_excel&amp;utm_content=act_formato_excel_link" TargetMode="External"/><Relationship Id="rId1065" Type="http://schemas.openxmlformats.org/officeDocument/2006/relationships/hyperlink" Target="https://actualicese.com/conducta-sancionable-en-que-consiste-para-efectos-de-liquidar-sancion-reducida/?referer=L-excel-formato&amp;utm_medium=act_formato_excel&amp;utm_source=act_formato_excel&amp;utm_campaign=act_formato_excel&amp;utm_content=act_formato_excel_link" TargetMode="External"/><Relationship Id="rId1272" Type="http://schemas.openxmlformats.org/officeDocument/2006/relationships/hyperlink" Target="https://actualicese.com/lista-de-chequeo-de-revelaciones-nic-36-deterioro-del-valor-de-los-activos/?referer=L-excel-formato&amp;utm_medium=act_formato_excel&amp;utm_source=act_formato_excel&amp;utm_campaign=act_formato_excel&amp;utm_content=act_formato_excel_link" TargetMode="External"/><Relationship Id="rId2116" Type="http://schemas.openxmlformats.org/officeDocument/2006/relationships/hyperlink" Target="https://actualicese.com/formulas-para-liquidacion-de-prestaciones-vacaciones-y-horas-extras/?referer=L-excel-formato&amp;utm_medium=act_formato_excel&amp;utm_source=act_formato_excel&amp;utm_campaign=act_formato_excel&amp;utm_content=act_formato_excel_link" TargetMode="External"/><Relationship Id="rId2323" Type="http://schemas.openxmlformats.org/officeDocument/2006/relationships/hyperlink" Target="https://actualicese.com/formato-de-control-de-clientes-de-declaracion-de-renta-de-persona-natural/?referer=L-excel-formato&amp;utm_medium=act_formato_excel&amp;utm_source=act_formato_excel&amp;utm_campaign=act_formato_excel&amp;utm_content=act_formato_excel_link" TargetMode="External"/><Relationship Id="rId502" Type="http://schemas.openxmlformats.org/officeDocument/2006/relationships/hyperlink" Target="https://actualicese.com/impuesto-diferido-en-la-depreciacion-de-propiedad-planta-y-equipo-caso-practico-para-2021/?referer=L-excel-formato&amp;utm_medium=act_formato_excel&amp;utm_source=act_formato_excel&amp;utm_campaign=act_formato_excel&amp;utm_content=act_formato_excel_link" TargetMode="External"/><Relationship Id="rId947" Type="http://schemas.openxmlformats.org/officeDocument/2006/relationships/hyperlink" Target="https://actualicese.com/informe-sobre-los-hallazgos-obtenidos-en-las-propiedades-planta-y-equipo/?referer=L-excel-formato&amp;utm_medium=act_formato_excel&amp;utm_source=act_formato_excel&amp;utm_campaign=act_formato_excel&amp;utm_content=act_formato_excel_link" TargetMode="External"/><Relationship Id="rId1132" Type="http://schemas.openxmlformats.org/officeDocument/2006/relationships/hyperlink" Target="https://actualicese.com/solicitud-al-banco-de-cheques-originales-pagados/?referer=L-excel-formato&amp;utm_medium=act_formato_excel&amp;utm_source=act_formato_excel&amp;utm_campaign=act_formato_excel&amp;utm_content=act_formato_excel_link" TargetMode="External"/><Relationship Id="rId1577" Type="http://schemas.openxmlformats.org/officeDocument/2006/relationships/hyperlink" Target="https://actualicese.com/certificado-donaciones/?referer=L-excel-formato&amp;utm_medium=act_formato_excel&amp;utm_source=act_formato_excel&amp;utm_campaign=act_formato_excel&amp;utm_content=act_formato_excel_link" TargetMode="External"/><Relationship Id="rId1784" Type="http://schemas.openxmlformats.org/officeDocument/2006/relationships/hyperlink" Target="https://actualicese.com/carta-de-aceptacion-de-un-encargo-de-auditoria-concreto/?referer=L-excel-formato&amp;utm_medium=act_formato_excel&amp;utm_source=act_formato_excel&amp;utm_campaign=act_formato_excel&amp;utm_content=act_formato_excel_link" TargetMode="External"/><Relationship Id="rId1991" Type="http://schemas.openxmlformats.org/officeDocument/2006/relationships/hyperlink" Target="https://actualicese.com/liquidador-en-excel-para-calcular-la-contribucion-2023-a-supersociedades/?referer=L-excel-formato&amp;utm_medium=act_formato_excel&amp;utm_source=act_formato_excel&amp;utm_campaign=act_formato_excel&amp;utm_content=act_formato_excel_link" TargetMode="External"/><Relationship Id="rId76" Type="http://schemas.openxmlformats.org/officeDocument/2006/relationships/hyperlink" Target="https://actualicese.com/peticion-al-banco-por-desacuerdo-en-estado-de-cuenta-o-extracto/?referer=L-excel-formato&amp;utm_medium=act_formato_excel&amp;utm_source=act_formato_excel&amp;utm_campaign=act_formato_excel&amp;utm_content=act_formato_excel_link" TargetMode="External"/><Relationship Id="rId807" Type="http://schemas.openxmlformats.org/officeDocument/2006/relationships/hyperlink" Target="https://actualicese.com/rentas-exentas-para-personas-juridicas-periodo-gravable-2019/?referer=L-excel-formato&amp;utm_medium=act_formato_excel&amp;utm_source=act_formato_excel&amp;utm_campaign=act_formato_excel&amp;utm_content=act_formato_excel_link" TargetMode="External"/><Relationship Id="rId1437" Type="http://schemas.openxmlformats.org/officeDocument/2006/relationships/hyperlink" Target="https://actualicese.com/modelo-para-definir-porcentaje-fijo-de-retencion-en-la-fuente-sobre-salarios-en-junio-del-2015-procedimiento-2/?referer=L-excel-formato&amp;utm_medium=act_formato_excel&amp;utm_source=act_formato_excel&amp;utm_campaign=act_formato_excel&amp;utm_content=act_formato_excel_link" TargetMode="External"/><Relationship Id="rId1644" Type="http://schemas.openxmlformats.org/officeDocument/2006/relationships/hyperlink" Target="https://actualicese.com/guia-modelo-en-excel-de-la-estructura-del-balance-de-comprobacion/?referer=L-excel-formato&amp;utm_medium=act_formato_excel&amp;utm_source=act_formato_excel&amp;utm_campaign=act_formato_excel&amp;utm_content=act_formato_excel_link" TargetMode="External"/><Relationship Id="rId1851" Type="http://schemas.openxmlformats.org/officeDocument/2006/relationships/hyperlink" Target="https://actualicese.com/cesion-y-venta-de-cuotas-sociales-a-extranos-a-la-sociedad-ltda/?referer=L-excel-formato&amp;utm_medium=act_formato_excel&amp;utm_source=act_formato_excel&amp;utm_campaign=act_formato_excel&amp;utm_content=act_formato_excel_link" TargetMode="External"/><Relationship Id="rId1504" Type="http://schemas.openxmlformats.org/officeDocument/2006/relationships/hyperlink" Target="https://actualicese.com/modelo-de-dictamen-de-entidades-del-grupo-1/?referer=L-excel-formato&amp;utm_medium=act_formato_excel&amp;utm_source=act_formato_excel&amp;utm_campaign=act_formato_excel&amp;utm_content=act_formato_excel_link" TargetMode="External"/><Relationship Id="rId1711" Type="http://schemas.openxmlformats.org/officeDocument/2006/relationships/hyperlink" Target="https://actualicese.com/cuadro-tematico-con-las-normas-afectadas-por-la-ley-de-reforma-tributaria-2277-de-2022/?referer=L-excel-formato&amp;utm_medium=act_formato_excel&amp;utm_source=act_formato_excel&amp;utm_campaign=act_formato_excel&amp;utm_content=act_formato_excel_link" TargetMode="External"/><Relationship Id="rId1949" Type="http://schemas.openxmlformats.org/officeDocument/2006/relationships/hyperlink" Target="https://actualicese.com/plantilla-del-estado-de-costos-de-produccion-y-ventas/?referer=L-excel-formato&amp;utm_medium=act_formato_excel&amp;utm_source=act_formato_excel&amp;utm_campaign=act_formato_excel&amp;utm_content=act_formato_excel_link" TargetMode="External"/><Relationship Id="rId292" Type="http://schemas.openxmlformats.org/officeDocument/2006/relationships/hyperlink" Target="https://actualicese.com/pack-de-formatos-guias-para-el-reporte-de-informacion-exogena-2021-descargalas-ya/?referer=L-excel-formato&amp;utm_medium=act_formato_excel&amp;utm_source=act_formato_excel&amp;utm_campaign=act_formato_excel&amp;utm_content=act_formato_excel_link" TargetMode="External"/><Relationship Id="rId1809" Type="http://schemas.openxmlformats.org/officeDocument/2006/relationships/hyperlink" Target="https://actualicese.com/plantilla-del-formato-1001-por-el-ano-gravable-2022-reporte-de-exogena-de-pagos-o-abonos-en-cuenta/?referer=L-excel-formato&amp;utm_medium=act_formato_excel&amp;utm_source=act_formato_excel&amp;utm_campaign=act_formato_excel&amp;utm_content=act_formato_excel_link" TargetMode="External"/><Relationship Id="rId597" Type="http://schemas.openxmlformats.org/officeDocument/2006/relationships/hyperlink" Target="https://actualicese.com/simulador-de-deducciones-por-gmf-fiestas-a-empleados-publicidad-e-inversiones-en-transporte-aereo/?referer=L-excel-formato&amp;utm_medium=act_formato_excel&amp;utm_source=act_formato_excel&amp;utm_campaign=act_formato_excel&amp;utm_content=act_formato_excel_link" TargetMode="External"/><Relationship Id="rId2180" Type="http://schemas.openxmlformats.org/officeDocument/2006/relationships/hyperlink" Target="https://actualicese.com/modelo-del-certificado-anual-a-socios-o-accionistas/?referer=L-excel-formato&amp;utm_medium=act_formato_excel&amp;utm_source=act_formato_excel&amp;utm_campaign=act_formato_excel&amp;utm_content=act_formato_excel_link" TargetMode="External"/><Relationship Id="rId2278" Type="http://schemas.openxmlformats.org/officeDocument/2006/relationships/hyperlink" Target="https://actualicese.com/modelo-de-derecho-de-peticion-para-el-pago-de-incapacidades-de-trabajadores-independientes/?referer=L-excel-formato&amp;utm_medium=act_formato_excel&amp;utm_source=act_formato_excel&amp;utm_campaign=act_formato_excel&amp;utm_content=act_formato_excel_link" TargetMode="External"/><Relationship Id="rId152" Type="http://schemas.openxmlformats.org/officeDocument/2006/relationships/hyperlink" Target="https://actualicese.com/casos-practicos-de-sancion-por-extemporaneidad-despues-de-emplazamiento/?referer=L-excel-formato&amp;utm_medium=act_formato_excel&amp;utm_source=act_formato_excel&amp;utm_campaign=act_formato_excel&amp;utm_content=act_formato_excel_link" TargetMode="External"/><Relationship Id="rId457" Type="http://schemas.openxmlformats.org/officeDocument/2006/relationships/hyperlink" Target="https://actualicese.com/notificacion-al-empleador-sobre-eleccion-de-fondo-de-cesantias/?referer=L-excel-formato&amp;utm_medium=act_formato_excel&amp;utm_source=act_formato_excel&amp;utm_campaign=act_formato_excel&amp;utm_content=act_formato_excel_link" TargetMode="External"/><Relationship Id="rId1087" Type="http://schemas.openxmlformats.org/officeDocument/2006/relationships/hyperlink" Target="https://actualicese.com/pasos-que-debe-seguir-el-consumidor-financiero-para-exponer-una-inconformidad/?referer=L-excel-formato&amp;utm_medium=act_formato_excel&amp;utm_source=act_formato_excel&amp;utm_campaign=act_formato_excel&amp;utm_content=act_formato_excel_link" TargetMode="External"/><Relationship Id="rId1294" Type="http://schemas.openxmlformats.org/officeDocument/2006/relationships/hyperlink" Target="https://actualicese.com/formato-2278-informacion-de-compras-a-terceros-de-bonos-vales-y-otros-documentos-para-pagos-a-trabajadores-en-el-2015/?referer=L-excel-formato&amp;utm_medium=act_formato_excel&amp;utm_source=act_formato_excel&amp;utm_campaign=act_formato_excel&amp;utm_content=act_formato_excel_link" TargetMode="External"/><Relationship Id="rId2040" Type="http://schemas.openxmlformats.org/officeDocument/2006/relationships/hyperlink" Target="https://actualicese.com/liquidador-caso-practico-en-excel-impuesto-diferido-por-valorizacion-de-activos-intangibles/?referer=L-excel-formato&amp;utm_medium=act_formato_excel&amp;utm_source=act_formato_excel&amp;utm_campaign=act_formato_excel&amp;utm_content=act_formato_excel_link" TargetMode="External"/><Relationship Id="rId2138" Type="http://schemas.openxmlformats.org/officeDocument/2006/relationships/hyperlink" Target="https://actualicese.com/historico-de-la-variacion-nominal-del-salario-minimo-e-inflacion-1993-2024/?referer=L-excel-formato&amp;utm_medium=act_formato_excel&amp;utm_source=act_formato_excel&amp;utm_campaign=act_formato_excel&amp;utm_content=act_formato_excel_link" TargetMode="External"/><Relationship Id="rId664" Type="http://schemas.openxmlformats.org/officeDocument/2006/relationships/hyperlink" Target="https://actualicese.com/calendario-tributario-2021-version-para-imprimir/?referer=L-excel-formato&amp;utm_medium=act_formato_excel&amp;utm_source=act_formato_excel&amp;utm_campaign=act_formato_excel&amp;utm_content=act_formato_excel_link" TargetMode="External"/><Relationship Id="rId871" Type="http://schemas.openxmlformats.org/officeDocument/2006/relationships/hyperlink" Target="https://actualicese.com/guia-requisitos-para-acceder-a-beneficios-de-la-economia-naranja-y-desarrollo-del-campo-colombiano/?referer=L-excel-formato&amp;utm_medium=act_formato_excel&amp;utm_source=act_formato_excel&amp;utm_campaign=act_formato_excel&amp;utm_content=act_formato_excel_link" TargetMode="External"/><Relationship Id="rId969" Type="http://schemas.openxmlformats.org/officeDocument/2006/relationships/hyperlink" Target="https://actualicese.com/informe-de-revision-de-estados-financieros-de-una-pyme-conforme-a-la-nier-2400/?referer=L-excel-formato&amp;utm_medium=act_formato_excel&amp;utm_source=act_formato_excel&amp;utm_campaign=act_formato_excel&amp;utm_content=act_formato_excel_link" TargetMode="External"/><Relationship Id="rId1599" Type="http://schemas.openxmlformats.org/officeDocument/2006/relationships/hyperlink" Target="https://actualicese.com/certificado-comprobante-de-pago-de-los-intereses-de-cesantia/?referer=L-excel-formato&amp;utm_medium=act_formato_excel&amp;utm_source=act_formato_excel&amp;utm_campaign=act_formato_excel&amp;utm_content=act_formato_excel_link" TargetMode="External"/><Relationship Id="rId2345" Type="http://schemas.openxmlformats.org/officeDocument/2006/relationships/hyperlink" Target="https://actualicese.com/contrato-de-arrendamiento-de-local-comercial/?referer=L-excel-formato&amp;utm_medium=act_formato_excel&amp;utm_source=act_formato_excel&amp;utm_campaign=act_formato_excel&amp;utm_content=act_formato_excel_link" TargetMode="External"/><Relationship Id="rId317" Type="http://schemas.openxmlformats.org/officeDocument/2006/relationships/hyperlink" Target="https://actualicese.com/modelo-de-certificado-laboral/?referer=L-excel-formato&amp;utm_medium=act_formato_excel&amp;utm_source=act_formato_excel&amp;utm_campaign=act_formato_excel&amp;utm_content=act_formato_excel_link" TargetMode="External"/><Relationship Id="rId524" Type="http://schemas.openxmlformats.org/officeDocument/2006/relationships/hyperlink" Target="https://actualicese.com/acta-de-entrega-de-manual-de-procedimientos-y-politicas-de-calidad/?referer=L-excel-formato&amp;utm_medium=act_formato_excel&amp;utm_source=act_formato_excel&amp;utm_campaign=act_formato_excel&amp;utm_content=act_formato_excel_link" TargetMode="External"/><Relationship Id="rId731" Type="http://schemas.openxmlformats.org/officeDocument/2006/relationships/hyperlink" Target="https://actualicese.com/modelo-para-definir-el-iva-sobre-el-aiu-en-los-servicios-del-art-462-1-del-e-t/?referer=L-excel-formato&amp;utm_medium=act_formato_excel&amp;utm_source=act_formato_excel&amp;utm_campaign=act_formato_excel&amp;utm_content=act_formato_excel_link" TargetMode="External"/><Relationship Id="rId1154" Type="http://schemas.openxmlformats.org/officeDocument/2006/relationships/hyperlink" Target="https://actualicese.com/cambios-en-los-conceptos-para-reportar-ingresos-no-constitutivos-de-renta-ni-ganancia-ocasional/?referer=L-excel-formato&amp;utm_medium=act_formato_excel&amp;utm_source=act_formato_excel&amp;utm_campaign=act_formato_excel&amp;utm_content=act_formato_excel_link" TargetMode="External"/><Relationship Id="rId1361" Type="http://schemas.openxmlformats.org/officeDocument/2006/relationships/hyperlink" Target="https://actualicese.com/documentos-de-orientacion-pedagogica-para-la-aplicacion-de-las-niif-nif-y-nai/?referer=L-excel-formato&amp;utm_medium=act_formato_excel&amp;utm_source=act_formato_excel&amp;utm_campaign=act_formato_excel&amp;utm_content=act_formato_excel_link" TargetMode="External"/><Relationship Id="rId1459" Type="http://schemas.openxmlformats.org/officeDocument/2006/relationships/hyperlink" Target="https://actualicese.com/proyeccion-de-posibles-resultados-del-cree-menos-sus-autorretenciones-y-de-la-sobretasa-al-cree-mas-y-menos-sus-anticipos/?referer=L-excel-formato&amp;utm_medium=act_formato_excel&amp;utm_source=act_formato_excel&amp;utm_campaign=act_formato_excel&amp;utm_content=act_formato_excel_link" TargetMode="External"/><Relationship Id="rId2205" Type="http://schemas.openxmlformats.org/officeDocument/2006/relationships/hyperlink" Target="https://actualicese.com/herramienta-en-excel-para-la-consulta-automatica-de-terceros-en-la-dian/?referer=L-excel-formato&amp;utm_medium=act_formato_excel&amp;utm_source=act_formato_excel&amp;utm_campaign=act_formato_excel&amp;utm_content=act_formato_excel_link" TargetMode="External"/><Relationship Id="rId2412" Type="http://schemas.openxmlformats.org/officeDocument/2006/relationships/hyperlink" Target="https://actualicese.com/liquidador-en-excel-del-porcentaje-fijo-de-retencion-en-la-fuente-sobre-salarios-en-diciembre-de-2024-procedimiento-2/?referer=L-excel-formato&amp;utm_medium=act_formato_excel&amp;utm_source=act_formato_excel&amp;utm_campaign=act_formato_excel&amp;utm_content=act_formato_excel_link" TargetMode="External"/><Relationship Id="rId98" Type="http://schemas.openxmlformats.org/officeDocument/2006/relationships/hyperlink" Target="https://actualicese.com/derecho-de-peticion-para-solicitar-informacion-a-entidad-financiera/?referer=L-excel-formato&amp;utm_medium=act_formato_excel&amp;utm_source=act_formato_excel&amp;utm_campaign=act_formato_excel&amp;utm_content=act_formato_excel_link" TargetMode="External"/><Relationship Id="rId829" Type="http://schemas.openxmlformats.org/officeDocument/2006/relationships/hyperlink" Target="https://actualicese.com/tabla-para-liquidar-indemnizaciones-por-perdida-de-capacidad-laboral/?referer=L-excel-formato&amp;utm_medium=act_formato_excel&amp;utm_source=act_formato_excel&amp;utm_campaign=act_formato_excel&amp;utm_content=act_formato_excel_link" TargetMode="External"/><Relationship Id="rId1014" Type="http://schemas.openxmlformats.org/officeDocument/2006/relationships/hyperlink" Target="https://actualicese.com/plantilla-para-elaborar-formulario-220-certificado-por-rentas-de-trabajo-del-ano-gravable-2017/?referer=L-excel-formato&amp;utm_medium=act_formato_excel&amp;utm_source=act_formato_excel&amp;utm_campaign=act_formato_excel&amp;utm_content=act_formato_excel_link" TargetMode="External"/><Relationship Id="rId1221" Type="http://schemas.openxmlformats.org/officeDocument/2006/relationships/hyperlink" Target="https://actualicese.com/modelo-de-memorial-para-solicitarle-al-juez-librar-medida-cautelar/?referer=L-excel-formato&amp;utm_medium=act_formato_excel&amp;utm_source=act_formato_excel&amp;utm_campaign=act_formato_excel&amp;utm_content=act_formato_excel_link" TargetMode="External"/><Relationship Id="rId1666" Type="http://schemas.openxmlformats.org/officeDocument/2006/relationships/hyperlink" Target="https://actualicese.com/liquidador-caso-practico-en-excel-sobre-bancarizacion-por-el-ano-gravable-2022/?referer=L-excel-formato&amp;utm_medium=act_formato_excel&amp;utm_source=act_formato_excel&amp;utm_campaign=act_formato_excel&amp;utm_content=act_formato_excel_link" TargetMode="External"/><Relationship Id="rId1873" Type="http://schemas.openxmlformats.org/officeDocument/2006/relationships/hyperlink" Target="https://actualicese.com/plantilla-del-formulario-310-ag-2023-declaracion-del-impuesto-nacional-al-consumo/?referer=L-excel-formato&amp;utm_medium=act_formato_excel&amp;utm_source=act_formato_excel&amp;utm_campaign=act_formato_excel&amp;utm_content=act_formato_excel_link" TargetMode="External"/><Relationship Id="rId1319" Type="http://schemas.openxmlformats.org/officeDocument/2006/relationships/hyperlink" Target="https://actualicese.com/carta-de-finalizacion-del-contrato-individual-de-trabajo-por-pension-del-trabajador/?referer=L-excel-formato&amp;utm_medium=act_formato_excel&amp;utm_source=act_formato_excel&amp;utm_campaign=act_formato_excel&amp;utm_content=act_formato_excel_link" TargetMode="External"/><Relationship Id="rId1526" Type="http://schemas.openxmlformats.org/officeDocument/2006/relationships/hyperlink" Target="https://actualicese.com/liquidador-formulario-210-para-declaracion-de-renta-2013-de-personas-naturales-version-basica/?referer=L-excel-formato&amp;utm_medium=act_formato_excel&amp;utm_source=act_formato_excel&amp;utm_campaign=act_formato_excel&amp;utm_content=act_formato_excel_link" TargetMode="External"/><Relationship Id="rId1733" Type="http://schemas.openxmlformats.org/officeDocument/2006/relationships/hyperlink" Target="https://actualicese.com/estados-financieros-consolidados-dictamen-sin-salvedades/?referer=L-excel-formato&amp;utm_medium=act_formato_excel&amp;utm_source=act_formato_excel&amp;utm_campaign=act_formato_excel&amp;utm_content=act_formato_excel_link" TargetMode="External"/><Relationship Id="rId1940" Type="http://schemas.openxmlformats.org/officeDocument/2006/relationships/hyperlink" Target="https://actualicese.com/correccion-de-errores-de-periodos-anteriores-en-el-cierre-contable/?referer=L-excel-formato&amp;utm_medium=act_formato_excel&amp;utm_source=act_formato_excel&amp;utm_campaign=act_formato_excel&amp;utm_content=act_formato_excel_link" TargetMode="External"/><Relationship Id="rId25" Type="http://schemas.openxmlformats.org/officeDocument/2006/relationships/hyperlink" Target="https://actualicese.com/carta-de-finalizacion-de-un-contrato-de-prestacion-de-servicios/?referer=L-excel-formato&amp;utm_medium=act_formato_excel&amp;utm_source=act_formato_excel&amp;utm_campaign=act_formato_excel&amp;utm_content=act_formato_excel_link" TargetMode="External"/><Relationship Id="rId1800" Type="http://schemas.openxmlformats.org/officeDocument/2006/relationships/hyperlink" Target="https://actualicese.com/pack-de-formatos-para-elaborar-la-declaracion-de-renta-de-personas-juridicas-ano-gravable-2022/?referer=L-excel-formato&amp;utm_medium=act_formato_excel&amp;utm_source=act_formato_excel&amp;utm_campaign=act_formato_excel&amp;utm_content=act_formato_excel_link" TargetMode="External"/><Relationship Id="rId174" Type="http://schemas.openxmlformats.org/officeDocument/2006/relationships/hyperlink" Target="https://actualicese.com/carta-deseando-felices-fiestas-a-empleados/?referer=L-excel-formato&amp;utm_medium=act_formato_excel&amp;utm_source=act_formato_excel&amp;utm_campaign=act_formato_excel&amp;utm_content=act_formato_excel_link" TargetMode="External"/><Relationship Id="rId381" Type="http://schemas.openxmlformats.org/officeDocument/2006/relationships/hyperlink" Target="https://actualicese.com/rentas-exentas-para-empresas-de-economia-naranja/?referer=L-excel-formato&amp;utm_medium=act_formato_excel&amp;utm_source=act_formato_excel&amp;utm_campaign=act_formato_excel&amp;utm_content=act_formato_excel_link" TargetMode="External"/><Relationship Id="rId2062" Type="http://schemas.openxmlformats.org/officeDocument/2006/relationships/hyperlink" Target="https://actualicese.com/caso-practico-de-determinacion-de-la-renta-liquida-cedular-por-pensiones-recibidas-en-colombia/?referer=L-excel-formato&amp;utm_medium=act_formato_excel&amp;utm_source=act_formato_excel&amp;utm_campaign=act_formato_excel&amp;utm_content=act_formato_excel_link" TargetMode="External"/><Relationship Id="rId241" Type="http://schemas.openxmlformats.org/officeDocument/2006/relationships/hyperlink" Target="https://actualicese.com/liquidador-para-la-clasificacion-de-empresas-en-colombia-segun-sus-ingresos-y-sector-economico/?referer=L-excel-formato&amp;utm_medium=act_formato_excel&amp;utm_source=act_formato_excel&amp;utm_campaign=act_formato_excel&amp;utm_content=act_formato_excel_link" TargetMode="External"/><Relationship Id="rId479" Type="http://schemas.openxmlformats.org/officeDocument/2006/relationships/hyperlink" Target="https://actualicese.com/matriz-sobre-las-nuevas-condiciones-para-aplicar-a-la-exencion-de-los-3-dias-sin-iva/?referer=L-excel-formato&amp;utm_medium=act_formato_excel&amp;utm_source=act_formato_excel&amp;utm_campaign=act_formato_excel&amp;utm_content=act_formato_excel_link" TargetMode="External"/><Relationship Id="rId686" Type="http://schemas.openxmlformats.org/officeDocument/2006/relationships/hyperlink" Target="https://actualicese.com/tratamiento-contable-y-fiscal-de-los-gastos-de-establecimiento-caso-practico/?referer=L-excel-formato&amp;utm_medium=act_formato_excel&amp;utm_source=act_formato_excel&amp;utm_campaign=act_formato_excel&amp;utm_content=act_formato_excel_link" TargetMode="External"/><Relationship Id="rId893" Type="http://schemas.openxmlformats.org/officeDocument/2006/relationships/hyperlink" Target="https://actualicese.com/porcentaje-fijo-diciembre-2018-y-junio-2019-y-retencion-en-la-fuente-con-procedimiento-2-por-2019/?referer=L-excel-formato&amp;utm_medium=act_formato_excel&amp;utm_source=act_formato_excel&amp;utm_campaign=act_formato_excel&amp;utm_content=act_formato_excel_link" TargetMode="External"/><Relationship Id="rId2367" Type="http://schemas.openxmlformats.org/officeDocument/2006/relationships/hyperlink" Target="https://actualicese.com/lista-de-chequeo-de-las-etapas-requeridas-en-el-proceso-presupuestal/?referer=L-excel-formato&amp;utm_medium=act_formato_excel&amp;utm_source=act_formato_excel&amp;utm_campaign=act_formato_excel&amp;utm_content=act_formato_excel_link" TargetMode="External"/><Relationship Id="rId339" Type="http://schemas.openxmlformats.org/officeDocument/2006/relationships/hyperlink" Target="https://actualicese.com/simulador-para-determinar-el-valor-patrimonial-de-los-criptoactivos/?referer=L-excel-formato&amp;utm_medium=act_formato_excel&amp;utm_source=act_formato_excel&amp;utm_campaign=act_formato_excel&amp;utm_content=act_formato_excel_link" TargetMode="External"/><Relationship Id="rId546" Type="http://schemas.openxmlformats.org/officeDocument/2006/relationships/hyperlink" Target="https://actualicese.com/impuesto-diferido-por-gastos-de-establecimiento-en-2021-caso-practico-en-excel/?referer=L-excel-formato&amp;utm_medium=act_formato_excel&amp;utm_source=act_formato_excel&amp;utm_campaign=act_formato_excel&amp;utm_content=act_formato_excel_link" TargetMode="External"/><Relationship Id="rId753" Type="http://schemas.openxmlformats.org/officeDocument/2006/relationships/hyperlink" Target="https://actualicese.com/categorias-de-informantes-de-exogena-por-el-ano-gravable-2019-y-los-formatos-que-deben-usar/?referer=L-excel-formato&amp;utm_medium=act_formato_excel&amp;utm_source=act_formato_excel&amp;utm_campaign=act_formato_excel&amp;utm_content=act_formato_excel_link" TargetMode="External"/><Relationship Id="rId1176" Type="http://schemas.openxmlformats.org/officeDocument/2006/relationships/hyperlink" Target="https://actualicese.com/guia-tablas-de-retencion-en-la-fuente-a-titulo-de-los-impuestos-nacionales-durante-el-ano-fiscal-2017/?referer=L-excel-formato&amp;utm_medium=act_formato_excel&amp;utm_source=act_formato_excel&amp;utm_campaign=act_formato_excel&amp;utm_content=act_formato_excel_link" TargetMode="External"/><Relationship Id="rId1383" Type="http://schemas.openxmlformats.org/officeDocument/2006/relationships/hyperlink" Target="https://actualicese.com/atencion-integral-en-seguridad-y-salud-en-el-trabajo-2015-cancer-de-pulmon-de-origen-ocupacional/?referer=L-excel-formato&amp;utm_medium=act_formato_excel&amp;utm_source=act_formato_excel&amp;utm_campaign=act_formato_excel&amp;utm_content=act_formato_excel_link" TargetMode="External"/><Relationship Id="rId2227" Type="http://schemas.openxmlformats.org/officeDocument/2006/relationships/hyperlink" Target="https://actualicese.com/liquidador-plantilla-de-los-formatos-de-exogena-del-5247-al-5252-por-el-ag-2023-reportes-de-los-mandatarios/?referer=L-excel-formato&amp;utm_medium=act_formato_excel&amp;utm_source=act_formato_excel&amp;utm_campaign=act_formato_excel&amp;utm_content=act_formato_excel_link" TargetMode="External"/><Relationship Id="rId2434" Type="http://schemas.openxmlformats.org/officeDocument/2006/relationships/hyperlink" Target="https://actualicese.com/simulador-de-los-efectos-del-rechazo-de-costos-y-gastos-en-efectivo-a-partir-de-2018/?referer=L-excel-formato&amp;utm_medium=act_formato_excel&amp;utm_source=act_formato_excel&amp;utm_campaign=act_formato_excel&amp;utm_content=act_formato_excel_link" TargetMode="External"/><Relationship Id="rId101" Type="http://schemas.openxmlformats.org/officeDocument/2006/relationships/hyperlink" Target="https://actualicese.com/simulador-de-cdt-con-una-periodicidad-de-pago-de-intereses-mensual-o-al-vencimiento/?referer=L-excel-formato&amp;utm_medium=act_formato_excel&amp;utm_source=act_formato_excel&amp;utm_campaign=act_formato_excel&amp;utm_content=act_formato_excel_link" TargetMode="External"/><Relationship Id="rId406" Type="http://schemas.openxmlformats.org/officeDocument/2006/relationships/hyperlink" Target="https://actualicese.com/carta-entrega-de-dotacion/?referer=L-excel-formato&amp;utm_medium=act_formato_excel&amp;utm_source=act_formato_excel&amp;utm_campaign=act_formato_excel&amp;utm_content=act_formato_excel_link" TargetMode="External"/><Relationship Id="rId960" Type="http://schemas.openxmlformats.org/officeDocument/2006/relationships/hyperlink" Target="https://actualicese.com/formulario-110-declaracion-de-renta-2017-de-personas-naturales-no-obligadas-a-llevar-contabilidad/?referer=L-excel-formato&amp;utm_medium=act_formato_excel&amp;utm_source=act_formato_excel&amp;utm_campaign=act_formato_excel&amp;utm_content=act_formato_excel_link" TargetMode="External"/><Relationship Id="rId1036" Type="http://schemas.openxmlformats.org/officeDocument/2006/relationships/hyperlink" Target="https://actualicese.com/poder-para-constituir-una-sociedad-anonima-otorgado-por-persona-juridica-extranjera/?referer=L-excel-formato&amp;utm_medium=act_formato_excel&amp;utm_source=act_formato_excel&amp;utm_campaign=act_formato_excel&amp;utm_content=act_formato_excel_link" TargetMode="External"/><Relationship Id="rId1243" Type="http://schemas.openxmlformats.org/officeDocument/2006/relationships/hyperlink" Target="https://actualicese.com/lista-de-chequeo-de-revelaciones-seccion-17-propiedades-planta-y-equipo/?referer=L-excel-formato&amp;utm_medium=act_formato_excel&amp;utm_source=act_formato_excel&amp;utm_campaign=act_formato_excel&amp;utm_content=act_formato_excel_link" TargetMode="External"/><Relationship Id="rId1590" Type="http://schemas.openxmlformats.org/officeDocument/2006/relationships/hyperlink" Target="https://actualicese.com/reunion-extraordinaria-junta-directiva-autorizando-a-representante-legal-a-suscribir-creditos/?referer=L-excel-formato&amp;utm_medium=act_formato_excel&amp;utm_source=act_formato_excel&amp;utm_campaign=act_formato_excel&amp;utm_content=act_formato_excel_link" TargetMode="External"/><Relationship Id="rId1688" Type="http://schemas.openxmlformats.org/officeDocument/2006/relationships/hyperlink" Target="https://actualicese.com/indicadores-financieros-de-mercado/?referer=L-excel-formato&amp;utm_medium=act_formato_excel&amp;utm_source=act_formato_excel&amp;utm_campaign=act_formato_excel&amp;utm_content=act_formato_excel_link" TargetMode="External"/><Relationship Id="rId1895" Type="http://schemas.openxmlformats.org/officeDocument/2006/relationships/hyperlink" Target="https://actualicese.com/simulador-renta-liquida-de-la-cedula-general-y-distribucion-de-rentas-exentas-y-deducciones-limitadas/?referer=L-excel-formato&amp;utm_medium=act_formato_excel&amp;utm_source=act_formato_excel&amp;utm_campaign=act_formato_excel&amp;utm_content=act_formato_excel_link" TargetMode="External"/><Relationship Id="rId613" Type="http://schemas.openxmlformats.org/officeDocument/2006/relationships/hyperlink" Target="https://actualicese.com/plantilla-del-formato-exogena-1003-por-el-ano-gravable-2020-retenciones-que-le-practicaron-al-informante/?referer=L-excel-formato&amp;utm_medium=act_formato_excel&amp;utm_source=act_formato_excel&amp;utm_campaign=act_formato_excel&amp;utm_content=act_formato_excel_link" TargetMode="External"/><Relationship Id="rId820" Type="http://schemas.openxmlformats.org/officeDocument/2006/relationships/hyperlink" Target="https://actualicese.com/diligencias-en-la-dian/?referer=L-excel-formato&amp;utm_medium=act_formato_excel&amp;utm_source=act_formato_excel&amp;utm_campaign=act_formato_excel&amp;utm_content=act_formato_excel_link" TargetMode="External"/><Relationship Id="rId918" Type="http://schemas.openxmlformats.org/officeDocument/2006/relationships/hyperlink" Target="https://actualicese.com/carta-de-agradecimiento-a-empleador/?referer=L-excel-formato&amp;utm_medium=act_formato_excel&amp;utm_source=act_formato_excel&amp;utm_campaign=act_formato_excel&amp;utm_content=act_formato_excel_link" TargetMode="External"/><Relationship Id="rId1450" Type="http://schemas.openxmlformats.org/officeDocument/2006/relationships/hyperlink" Target="https://actualicese.com/formato-modelo-de-presupuesto-y-calculo-de-la-cuota-de-administracion-de-una-propiedad-horizontal/?referer=L-excel-formato&amp;utm_medium=act_formato_excel&amp;utm_source=act_formato_excel&amp;utm_campaign=act_formato_excel&amp;utm_content=act_formato_excel_link" TargetMode="External"/><Relationship Id="rId1548" Type="http://schemas.openxmlformats.org/officeDocument/2006/relationships/hyperlink" Target="https://actualicese.com/depuracion-impuesto-renta-ano-gravable-2013-para-las-copropiedades-comerciales-y-mixtas/?referer=L-excel-formato&amp;utm_medium=act_formato_excel&amp;utm_source=act_formato_excel&amp;utm_campaign=act_formato_excel&amp;utm_content=act_formato_excel_link" TargetMode="External"/><Relationship Id="rId1755" Type="http://schemas.openxmlformats.org/officeDocument/2006/relationships/hyperlink" Target="https://actualicese.com/guia-clasificacion-de-las-personas-juridicas-frente-al-impuesto-de-renta-y-al-simple-ag-2022/?referer=L-excel-formato&amp;utm_medium=act_formato_excel&amp;utm_source=act_formato_excel&amp;utm_campaign=act_formato_excel&amp;utm_content=act_formato_excel_link" TargetMode="External"/><Relationship Id="rId1103" Type="http://schemas.openxmlformats.org/officeDocument/2006/relationships/hyperlink" Target="https://actualicese.com/modelo-para-proyectar-efectos-de-imas-por-2016-de-trabajadores-por-cuenta-propia/?referer=L-excel-formato&amp;utm_medium=act_formato_excel&amp;utm_source=act_formato_excel&amp;utm_campaign=act_formato_excel&amp;utm_content=act_formato_excel_link" TargetMode="External"/><Relationship Id="rId1310" Type="http://schemas.openxmlformats.org/officeDocument/2006/relationships/hyperlink" Target="https://actualicese.com/formato-1009-reporte-de-cuentas-por-pagar-a-diciembre-31-del-2015/?referer=L-excel-formato&amp;utm_medium=act_formato_excel&amp;utm_source=act_formato_excel&amp;utm_campaign=act_formato_excel&amp;utm_content=act_formato_excel_link" TargetMode="External"/><Relationship Id="rId1408" Type="http://schemas.openxmlformats.org/officeDocument/2006/relationships/hyperlink" Target="https://actualicese.com/modelo-declaracion-grupo-empresarial-o-situacion-de-control-personas-juridicas/?referer=L-excel-formato&amp;utm_medium=act_formato_excel&amp;utm_source=act_formato_excel&amp;utm_campaign=act_formato_excel&amp;utm_content=act_formato_excel_link" TargetMode="External"/><Relationship Id="rId1962" Type="http://schemas.openxmlformats.org/officeDocument/2006/relationships/hyperlink" Target="https://actualicese.com/estado-de-flujos-de-efectivo-por-el-metodo-directo-ejercicio-practico-y-plantilla-en-excel/?referer=L-excel-formato&amp;utm_medium=act_formato_excel&amp;utm_source=act_formato_excel&amp;utm_campaign=act_formato_excel&amp;utm_content=act_formato_excel_link" TargetMode="External"/><Relationship Id="rId47" Type="http://schemas.openxmlformats.org/officeDocument/2006/relationships/hyperlink" Target="https://actualicese.com/estado-de-flujos-de-efectivo-por-el-metodo-directo-ejercicio-practico-y-plantilla-en-excel/?referer=L-excel-formato&amp;utm_medium=act_formato_excel&amp;utm_source=act_formato_excel&amp;utm_campaign=act_formato_excel&amp;utm_content=act_formato_excel_link" TargetMode="External"/><Relationship Id="rId1615" Type="http://schemas.openxmlformats.org/officeDocument/2006/relationships/hyperlink" Target="https://actualicese.com/excel-listado-de-los-codigos-para-identificar-en-la-pila-a-las-distintas-administradoras-de-la-seguridad-social/?referer=L-excel-formato&amp;utm_medium=act_formato_excel&amp;utm_source=act_formato_excel&amp;utm_campaign=act_formato_excel&amp;utm_content=act_formato_excel_link" TargetMode="External"/><Relationship Id="rId1822" Type="http://schemas.openxmlformats.org/officeDocument/2006/relationships/hyperlink" Target="https://actualicese.com/carta-entrega-de-dotacion/?referer=L-excel-formato&amp;utm_medium=act_formato_excel&amp;utm_source=act_formato_excel&amp;utm_campaign=act_formato_excel&amp;utm_content=act_formato_excel_link" TargetMode="External"/><Relationship Id="rId196" Type="http://schemas.openxmlformats.org/officeDocument/2006/relationships/hyperlink" Target="https://actualicese.com/casos-practicos-de-determinacion-del-valor-patrimonial-de-los-bienes-inmuebles-de-personas-naturales/?referer=L-excel-formato&amp;utm_medium=act_formato_excel&amp;utm_source=act_formato_excel&amp;utm_campaign=act_formato_excel&amp;utm_content=act_formato_excel_link" TargetMode="External"/><Relationship Id="rId2084" Type="http://schemas.openxmlformats.org/officeDocument/2006/relationships/hyperlink" Target="https://actualicese.com/modelo-para-definir-si-una-persona-natural-esta-obligada-a-declarar-renta/?referer=L-excel-formato&amp;utm_medium=act_formato_excel&amp;utm_source=act_formato_excel&amp;utm_campaign=act_formato_excel&amp;utm_content=act_formato_excel_link" TargetMode="External"/><Relationship Id="rId2291" Type="http://schemas.openxmlformats.org/officeDocument/2006/relationships/hyperlink" Target="https://actualicese.com/liquidador-del-anticipo-del-impuesto-de-renta-2024-para-personas-juridicas-y-naturales/?referer=L-excel-formato&amp;utm_medium=act_formato_excel&amp;utm_source=act_formato_excel&amp;utm_campaign=act_formato_excel&amp;utm_content=act_formato_excel_link" TargetMode="External"/><Relationship Id="rId263" Type="http://schemas.openxmlformats.org/officeDocument/2006/relationships/hyperlink" Target="https://actualicese.com/certificado-de-dependientes-para-efectos-de-deduccion-en-la-declaracion-de-renta/?referer=L-excel-formato&amp;utm_medium=act_formato_excel&amp;utm_source=act_formato_excel&amp;utm_campaign=act_formato_excel&amp;utm_content=act_formato_excel_link" TargetMode="External"/><Relationship Id="rId470" Type="http://schemas.openxmlformats.org/officeDocument/2006/relationships/hyperlink" Target="https://actualicese.com/analisis-vertical-y-horizontal-aplicados-a-la-interpretacion-de-informacion-financiera/?referer=L-excel-formato&amp;utm_medium=act_formato_excel&amp;utm_source=act_formato_excel&amp;utm_campaign=act_formato_excel&amp;utm_content=act_formato_excel_link" TargetMode="External"/><Relationship Id="rId2151" Type="http://schemas.openxmlformats.org/officeDocument/2006/relationships/hyperlink" Target="https://actualicese.com/liquidador-de-vacaciones-en-excel-aplicado-a-10-casos-practicos/?referer=L-excel-formato&amp;utm_medium=act_formato_excel&amp;utm_source=act_formato_excel&amp;utm_campaign=act_formato_excel&amp;utm_content=act_formato_excel_link" TargetMode="External"/><Relationship Id="rId2389" Type="http://schemas.openxmlformats.org/officeDocument/2006/relationships/hyperlink" Target="https://actualicese.com/seleccionador-de-politicas-contables-y-ejemplos-practicos/?referer=L-excel-formato&amp;utm_medium=act_formato_excel&amp;utm_source=act_formato_excel&amp;utm_campaign=act_formato_excel&amp;utm_content=act_formato_excel_link" TargetMode="External"/><Relationship Id="rId123" Type="http://schemas.openxmlformats.org/officeDocument/2006/relationships/hyperlink" Target="https://actualicese.com/formato-de-control-de-vacaciones-de-empleados/?referer=L-excel-formato&amp;utm_medium=act_formato_excel&amp;utm_source=act_formato_excel&amp;utm_campaign=act_formato_excel&amp;utm_content=act_formato_excel_link" TargetMode="External"/><Relationship Id="rId330" Type="http://schemas.openxmlformats.org/officeDocument/2006/relationships/hyperlink" Target="https://actualicese.com/propuesta-de-servicios-de-revisoria-fiscal-en-una-copropiedad/?referer=L-excel-formato&amp;utm_medium=act_formato_excel&amp;utm_source=act_formato_excel&amp;utm_campaign=act_formato_excel&amp;utm_content=act_formato_excel_link" TargetMode="External"/><Relationship Id="rId568" Type="http://schemas.openxmlformats.org/officeDocument/2006/relationships/hyperlink" Target="https://actualicese.com/liquidador-del-pago-faltante-de-aportes-al-sistema-general-de-pensiones-de-abril-y-mayo-de-2020/?referer=L-excel-formato&amp;utm_medium=act_formato_excel&amp;utm_source=act_formato_excel&amp;utm_campaign=act_formato_excel&amp;utm_content=act_formato_excel_link" TargetMode="External"/><Relationship Id="rId775" Type="http://schemas.openxmlformats.org/officeDocument/2006/relationships/hyperlink" Target="https://actualicese.com/plantilla-para-elaborar-formulario-220-certificado-de-ingresos-y-retenciones-ano-gravable-2019/?referer=L-excel-formato&amp;utm_medium=act_formato_excel&amp;utm_source=act_formato_excel&amp;utm_campaign=act_formato_excel&amp;utm_content=act_formato_excel_link" TargetMode="External"/><Relationship Id="rId982" Type="http://schemas.openxmlformats.org/officeDocument/2006/relationships/hyperlink" Target="https://actualicese.com/formato-exogena-1009-por-el-ano-gravable-2017-reporte-de-cuentas-por-pagar/?referer=L-excel-formato&amp;utm_medium=act_formato_excel&amp;utm_source=act_formato_excel&amp;utm_campaign=act_formato_excel&amp;utm_content=act_formato_excel_link" TargetMode="External"/><Relationship Id="rId1198" Type="http://schemas.openxmlformats.org/officeDocument/2006/relationships/hyperlink" Target="https://actualicese.com/calculos-para-determinar-valores-susceptibles-de-ser-compensados/?referer=L-excel-formato&amp;utm_medium=act_formato_excel&amp;utm_source=act_formato_excel&amp;utm_campaign=act_formato_excel&amp;utm_content=act_formato_excel_link" TargetMode="External"/><Relationship Id="rId2011" Type="http://schemas.openxmlformats.org/officeDocument/2006/relationships/hyperlink" Target="https://actualicese.com/determinacion-de-diferencias-temporarias-e-impuesto-diferido/?referer=L-excel-formato&amp;utm_medium=act_formato_excel&amp;utm_source=act_formato_excel&amp;utm_campaign=act_formato_excel&amp;utm_content=act_formato_excel_link" TargetMode="External"/><Relationship Id="rId2249" Type="http://schemas.openxmlformats.org/officeDocument/2006/relationships/hyperlink" Target="https://actualicese.com/liquidador-automatizado-de-intereses-a-las-cesantias-y-su-comprobante-de-pago/?referer=L-excel-formato&amp;utm_medium=act_formato_excel&amp;utm_source=act_formato_excel&amp;utm_campaign=act_formato_excel&amp;utm_content=act_formato_excel_link" TargetMode="External"/><Relationship Id="rId2456" Type="http://schemas.openxmlformats.org/officeDocument/2006/relationships/hyperlink" Target="https://actualicese.com/sancion-por-no-consignar-las-cesantias-y-no-pagar-los-intereses/?referer=L-excel-formato&amp;utm_medium=act_formato_excel&amp;utm_source=act_formato_excel&amp;utm_campaign=act_formato_excel&amp;utm_content=act_formato_excel_link" TargetMode="External"/><Relationship Id="rId428" Type="http://schemas.openxmlformats.org/officeDocument/2006/relationships/hyperlink" Target="https://actualicese.com/liquidador-de-sanciones-por-expedir-factura-sin-cumplir-los-requisitos-legales/?referer=L-excel-formato&amp;utm_medium=act_formato_excel&amp;utm_source=act_formato_excel&amp;utm_campaign=act_formato_excel&amp;utm_content=act_formato_excel_link" TargetMode="External"/><Relationship Id="rId635" Type="http://schemas.openxmlformats.org/officeDocument/2006/relationships/hyperlink" Target="https://actualicese.com/conciliacion-contable-y-tributaria-casos-de-descuentos-y-donaciones-especiales/?referer=L-excel-formato&amp;utm_medium=act_formato_excel&amp;utm_source=act_formato_excel&amp;utm_campaign=act_formato_excel&amp;utm_content=act_formato_excel_link" TargetMode="External"/><Relationship Id="rId842" Type="http://schemas.openxmlformats.org/officeDocument/2006/relationships/hyperlink" Target="https://actualicese.com/modelo-para-determinar-quien-puede-pertenecer-al-regimen-simple-de-tributacion/?referer=L-excel-formato&amp;utm_medium=act_formato_excel&amp;utm_source=act_formato_excel&amp;utm_campaign=act_formato_excel&amp;utm_content=act_formato_excel_link" TargetMode="External"/><Relationship Id="rId1058" Type="http://schemas.openxmlformats.org/officeDocument/2006/relationships/hyperlink" Target="https://actualicese.com/acta-final-de-arreglo-directo/?referer=L-excel-formato&amp;utm_medium=act_formato_excel&amp;utm_source=act_formato_excel&amp;utm_campaign=act_formato_excel&amp;utm_content=act_formato_excel_link" TargetMode="External"/><Relationship Id="rId1265" Type="http://schemas.openxmlformats.org/officeDocument/2006/relationships/hyperlink" Target="https://actualicese.com/derecho-de-peticion-para-solicitar-documentos-a-exempleador/?referer=L-excel-formato&amp;utm_medium=act_formato_excel&amp;utm_source=act_formato_excel&amp;utm_campaign=act_formato_excel&amp;utm_content=act_formato_excel_link" TargetMode="External"/><Relationship Id="rId1472" Type="http://schemas.openxmlformats.org/officeDocument/2006/relationships/hyperlink" Target="https://actualicese.com/contrato-de-confidencialidad/?referer=L-excel-formato&amp;utm_medium=act_formato_excel&amp;utm_source=act_formato_excel&amp;utm_campaign=act_formato_excel&amp;utm_content=act_formato_excel_link" TargetMode="External"/><Relationship Id="rId2109" Type="http://schemas.openxmlformats.org/officeDocument/2006/relationships/hyperlink" Target="https://actualicese.com/liquidador-del-componente-inflacionario-de-los-rendimientos-o-costos-financieros/?referer=L-excel-formato&amp;utm_medium=act_formato_excel&amp;utm_source=act_formato_excel&amp;utm_campaign=act_formato_excel&amp;utm_content=act_formato_excel_link" TargetMode="External"/><Relationship Id="rId2316" Type="http://schemas.openxmlformats.org/officeDocument/2006/relationships/hyperlink" Target="https://actualicese.com/comparativo-de-normas-de-la-resolucion-000165-de-2023-sobre-facturacion-electronica-modificadas-con-la-resolucion-000119-de-2024/?referer=L-excel-formato&amp;utm_medium=act_formato_excel&amp;utm_source=act_formato_excel&amp;utm_campaign=act_formato_excel&amp;utm_content=act_formato_excel_link" TargetMode="External"/><Relationship Id="rId702" Type="http://schemas.openxmlformats.org/officeDocument/2006/relationships/hyperlink" Target="https://actualicese.com/contrato-de-comision-o-corretaje-2/?referer=L-excel-formato&amp;utm_medium=act_formato_excel&amp;utm_source=act_formato_excel&amp;utm_campaign=act_formato_excel&amp;utm_content=act_formato_excel_link" TargetMode="External"/><Relationship Id="rId1125" Type="http://schemas.openxmlformats.org/officeDocument/2006/relationships/hyperlink" Target="https://actualicese.com/formato-1001-por-2016-reportes-de-pagos-o-abonos-en-cuenta-y-sus-retenciones-a-terceros/?referer=L-excel-formato&amp;utm_medium=act_formato_excel&amp;utm_source=act_formato_excel&amp;utm_campaign=act_formato_excel&amp;utm_content=act_formato_excel_link" TargetMode="External"/><Relationship Id="rId1332" Type="http://schemas.openxmlformats.org/officeDocument/2006/relationships/hyperlink" Target="https://actualicese.com/indicadores-basicos-para-tener-en-cuenta-en-el-2016/?referer=L-excel-formato&amp;utm_medium=act_formato_excel&amp;utm_source=act_formato_excel&amp;utm_campaign=act_formato_excel&amp;utm_content=act_formato_excel_link" TargetMode="External"/><Relationship Id="rId1777" Type="http://schemas.openxmlformats.org/officeDocument/2006/relationships/hyperlink" Target="https://actualicese.com/liquidador-de-vacaciones-en-excel-aplicado-a-10-casos-practicos/?referer=L-excel-formato&amp;utm_medium=act_formato_excel&amp;utm_source=act_formato_excel&amp;utm_campaign=act_formato_excel&amp;utm_content=act_formato_excel_link" TargetMode="External"/><Relationship Id="rId1984" Type="http://schemas.openxmlformats.org/officeDocument/2006/relationships/hyperlink" Target="https://actualicese.com/casos-practicos-para-comprender-la-contabilizacion-de-activos-en-el-cierre-contable/?referer=L-excel-formato&amp;utm_medium=act_formato_excel&amp;utm_source=act_formato_excel&amp;utm_campaign=act_formato_excel&amp;utm_content=act_formato_excel_link" TargetMode="External"/><Relationship Id="rId69" Type="http://schemas.openxmlformats.org/officeDocument/2006/relationships/hyperlink" Target="https://actualicese.com/casos-practicos-de-contabilizacion-de-utilidades-y-dividendos/?referer=L-excel-formato&amp;utm_medium=act_formato_excel&amp;utm_source=act_formato_excel&amp;utm_campaign=act_formato_excel&amp;utm_content=act_formato_excel_link" TargetMode="External"/><Relationship Id="rId1637" Type="http://schemas.openxmlformats.org/officeDocument/2006/relationships/hyperlink" Target="https://actualicese.com/hoja-de-costos-en-excel/?referer=L-excel-formato&amp;utm_medium=act_formato_excel&amp;utm_source=act_formato_excel&amp;utm_campaign=act_formato_excel&amp;utm_content=act_formato_excel_link" TargetMode="External"/><Relationship Id="rId1844" Type="http://schemas.openxmlformats.org/officeDocument/2006/relationships/hyperlink" Target="https://actualicese.com/liquidador-de-indemnizacion-por-despido-sin-justa-causa-contrato-indefinido/?referer=L-excel-formato&amp;utm_medium=act_formato_excel&amp;utm_source=act_formato_excel&amp;utm_campaign=act_formato_excel&amp;utm_content=act_formato_excel_link" TargetMode="External"/><Relationship Id="rId1704" Type="http://schemas.openxmlformats.org/officeDocument/2006/relationships/hyperlink" Target="https://actualicese.com/informe-de-revision-de-informacion-financiera-intermedia-con-salvedades/?referer=L-excel-formato&amp;utm_medium=act_formato_excel&amp;utm_source=act_formato_excel&amp;utm_campaign=act_formato_excel&amp;utm_content=act_formato_excel_link" TargetMode="External"/><Relationship Id="rId285" Type="http://schemas.openxmlformats.org/officeDocument/2006/relationships/hyperlink" Target="https://actualicese.com/plantilla-del-formato-1009-para-el-reporte-de-exogena-2021-informacion-de-cuentas-por-pagar/?referer=L-excel-formato&amp;utm_medium=act_formato_excel&amp;utm_source=act_formato_excel&amp;utm_campaign=act_formato_excel&amp;utm_content=act_formato_excel_link" TargetMode="External"/><Relationship Id="rId1911" Type="http://schemas.openxmlformats.org/officeDocument/2006/relationships/hyperlink" Target="https://actualicese.com/reparto-de-utilidades-pago-de-dividendos/?referer=L-excel-formato&amp;utm_medium=act_formato_excel&amp;utm_source=act_formato_excel&amp;utm_campaign=act_formato_excel&amp;utm_content=act_formato_excel_link" TargetMode="External"/><Relationship Id="rId492" Type="http://schemas.openxmlformats.org/officeDocument/2006/relationships/hyperlink" Target="https://actualicese.com/comparativo-de-normas-afectadas-con-la-ley-de-inversion-social-2155-de-septiembre-14-de-2021/?referer=L-excel-formato&amp;utm_medium=act_formato_excel&amp;utm_source=act_formato_excel&amp;utm_campaign=act_formato_excel&amp;utm_content=act_formato_excel_link" TargetMode="External"/><Relationship Id="rId797" Type="http://schemas.openxmlformats.org/officeDocument/2006/relationships/hyperlink" Target="https://actualicese.com/calendario-calendario-tributario-distrital-2020/?referer=L-excel-formato&amp;utm_medium=act_formato_excel&amp;utm_source=act_formato_excel&amp;utm_campaign=act_formato_excel&amp;utm_content=act_formato_excel_link" TargetMode="External"/><Relationship Id="rId2173" Type="http://schemas.openxmlformats.org/officeDocument/2006/relationships/hyperlink" Target="https://actualicese.com/tabla-en-excel-de-retencion-en-la-fuente-2024/?referer=L-excel-formato&amp;utm_medium=act_formato_excel&amp;utm_source=act_formato_excel&amp;utm_campaign=act_formato_excel&amp;utm_content=act_formato_excel_link" TargetMode="External"/><Relationship Id="rId2380" Type="http://schemas.openxmlformats.org/officeDocument/2006/relationships/hyperlink" Target="https://actualicese.com/calculo-de-la-tir-y-tecnica-del-costo-amortizado-en-el-analisis-financiero/?referer=L-excel-formato&amp;utm_medium=act_formato_excel&amp;utm_source=act_formato_excel&amp;utm_campaign=act_formato_excel&amp;utm_content=act_formato_excel_link" TargetMode="External"/><Relationship Id="rId145" Type="http://schemas.openxmlformats.org/officeDocument/2006/relationships/hyperlink" Target="https://actualicese.com/simulador-para-comparar-creditos-bancarios-con-tabla-de-amortizacion/?referer=L-excel-formato&amp;utm_medium=act_formato_excel&amp;utm_source=act_formato_excel&amp;utm_campaign=act_formato_excel&amp;utm_content=act_formato_excel_link" TargetMode="External"/><Relationship Id="rId352" Type="http://schemas.openxmlformats.org/officeDocument/2006/relationships/hyperlink" Target="https://actualicese.com/calculo-retencion-en-la-fuente-a-titulo-de-renta-por-concepto-de-pensiones/?referer=L-excel-formato&amp;utm_medium=act_formato_excel&amp;utm_source=act_formato_excel&amp;utm_campaign=act_formato_excel&amp;utm_content=act_formato_excel_link" TargetMode="External"/><Relationship Id="rId1287" Type="http://schemas.openxmlformats.org/officeDocument/2006/relationships/hyperlink" Target="https://actualicese.com/guia-plantilla-de-estados-financieros-2015-bajo-estandares-internacionales-plenos-para-supersociedades-con-xbrl-express/?referer=L-excel-formato&amp;utm_medium=act_formato_excel&amp;utm_source=act_formato_excel&amp;utm_campaign=act_formato_excel&amp;utm_content=act_formato_excel_link" TargetMode="External"/><Relationship Id="rId2033" Type="http://schemas.openxmlformats.org/officeDocument/2006/relationships/hyperlink" Target="https://actualicese.com/casos-practicos-sobre-aiu-calculo-del-iva-y-retencion-en-la-fuente-en-esta-figura/?referer=L-excel-formato&amp;utm_medium=act_formato_excel&amp;utm_source=act_formato_excel&amp;utm_campaign=act_formato_excel&amp;utm_content=act_formato_excel_link" TargetMode="External"/><Relationship Id="rId2240" Type="http://schemas.openxmlformats.org/officeDocument/2006/relationships/hyperlink" Target="https://actualicese.com/plantilla-en-excel-del-formulario-420-ag-2024-declaracion-anual-del-impuesto-al-patrimonio/?referer=L-excel-formato&amp;utm_medium=act_formato_excel&amp;utm_source=act_formato_excel&amp;utm_campaign=act_formato_excel&amp;utm_content=act_formato_excel_link" TargetMode="External"/><Relationship Id="rId212" Type="http://schemas.openxmlformats.org/officeDocument/2006/relationships/hyperlink" Target="https://actualicese.com/listado-de-contribuyentes-inscritos-en-el-regimen-simple/?referer=L-excel-formato&amp;utm_medium=act_formato_excel&amp;utm_source=act_formato_excel&amp;utm_campaign=act_formato_excel&amp;utm_content=act_formato_excel_link" TargetMode="External"/><Relationship Id="rId657" Type="http://schemas.openxmlformats.org/officeDocument/2006/relationships/hyperlink" Target="https://actualicese.com/liquidador-de-retencion-en-la-fuente-con-procedimiento-1-sobre-rentas-de-trabajo-durante-2021/?referer=L-excel-formato&amp;utm_medium=act_formato_excel&amp;utm_source=act_formato_excel&amp;utm_campaign=act_formato_excel&amp;utm_content=act_formato_excel_link" TargetMode="External"/><Relationship Id="rId864" Type="http://schemas.openxmlformats.org/officeDocument/2006/relationships/hyperlink" Target="https://actualicese.com/seguimiento-de-control-de-calidad-en-un-encargo-de-auditoria-bajo-nicc-1/?referer=L-excel-formato&amp;utm_medium=act_formato_excel&amp;utm_source=act_formato_excel&amp;utm_campaign=act_formato_excel&amp;utm_content=act_formato_excel_link" TargetMode="External"/><Relationship Id="rId1494" Type="http://schemas.openxmlformats.org/officeDocument/2006/relationships/hyperlink" Target="https://actualicese.com/planeacion-obligaciones-tributarias-2015/?referer=L-excel-formato&amp;utm_medium=act_formato_excel&amp;utm_source=act_formato_excel&amp;utm_campaign=act_formato_excel&amp;utm_content=act_formato_excel_link" TargetMode="External"/><Relationship Id="rId1799" Type="http://schemas.openxmlformats.org/officeDocument/2006/relationships/hyperlink" Target="https://actualicese.com/plantilla-de-los-formatos-de-exogena-del-5247-al-5252-por-el-ag-2022-reportes-de-los-mandatarios/?referer=L-excel-formato&amp;utm_medium=act_formato_excel&amp;utm_source=act_formato_excel&amp;utm_campaign=act_formato_excel&amp;utm_content=act_formato_excel_link" TargetMode="External"/><Relationship Id="rId2100" Type="http://schemas.openxmlformats.org/officeDocument/2006/relationships/hyperlink" Target="https://actualicese.com/notificacion-a-trabajadores-que-no-tienen-derecho-a-la-prima-de-servicios/?referer=L-excel-formato&amp;utm_medium=act_formato_excel&amp;utm_source=act_formato_excel&amp;utm_campaign=act_formato_excel&amp;utm_content=act_formato_excel_link" TargetMode="External"/><Relationship Id="rId2338"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517" Type="http://schemas.openxmlformats.org/officeDocument/2006/relationships/hyperlink" Target="https://actualicese.com/formato-de-evaluacion-de-desempeno-laboral-para-un-auditor/?referer=L-excel-formato&amp;utm_medium=act_formato_excel&amp;utm_source=act_formato_excel&amp;utm_campaign=act_formato_excel&amp;utm_content=act_formato_excel_link" TargetMode="External"/><Relationship Id="rId724" Type="http://schemas.openxmlformats.org/officeDocument/2006/relationships/hyperlink" Target="https://actualicese.com/carta-orden-de-no-pago-cheque/?referer=L-excel-formato&amp;utm_medium=act_formato_excel&amp;utm_source=act_formato_excel&amp;utm_campaign=act_formato_excel&amp;utm_content=act_formato_excel_link" TargetMode="External"/><Relationship Id="rId931" Type="http://schemas.openxmlformats.org/officeDocument/2006/relationships/hyperlink" Target="https://actualicese.com/personas-naturales-no-residentes-obligadas-o-no-a-declarar-impuesto-de-renta/?referer=L-excel-formato&amp;utm_medium=act_formato_excel&amp;utm_source=act_formato_excel&amp;utm_campaign=act_formato_excel&amp;utm_content=act_formato_excel_link" TargetMode="External"/><Relationship Id="rId1147" Type="http://schemas.openxmlformats.org/officeDocument/2006/relationships/hyperlink" Target="https://actualicese.com/autorizacion-de-aumento-del-capital/?referer=L-excel-formato&amp;utm_medium=act_formato_excel&amp;utm_source=act_formato_excel&amp;utm_campaign=act_formato_excel&amp;utm_content=act_formato_excel_link" TargetMode="External"/><Relationship Id="rId1354" Type="http://schemas.openxmlformats.org/officeDocument/2006/relationships/hyperlink" Target="https://actualicese.com/normatividad-reglamentaria-del-impuesto-a-la-riqueza-y-su-complementario/?referer=L-excel-formato&amp;utm_medium=act_formato_excel&amp;utm_source=act_formato_excel&amp;utm_campaign=act_formato_excel&amp;utm_content=act_formato_excel_link" TargetMode="External"/><Relationship Id="rId1561" Type="http://schemas.openxmlformats.org/officeDocument/2006/relationships/hyperlink" Target="https://actualicese.com/formato-unico-nacional-de-autorizacion-de-trabajo-para-ninos-ninas-o-adolescentes-nna/?referer=L-excel-formato&amp;utm_medium=act_formato_excel&amp;utm_source=act_formato_excel&amp;utm_campaign=act_formato_excel&amp;utm_content=act_formato_excel_link" TargetMode="External"/><Relationship Id="rId2405"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60" Type="http://schemas.openxmlformats.org/officeDocument/2006/relationships/hyperlink" Target="https://actualicese.com/simulador-de-casos-para-clasificar-instrumentos-financieros-como-pasivos-o-patrimonio/?referer=L-excel-formato&amp;utm_medium=act_formato_excel&amp;utm_source=act_formato_excel&amp;utm_campaign=act_formato_excel&amp;utm_content=act_formato_excel_link" TargetMode="External"/><Relationship Id="rId1007" Type="http://schemas.openxmlformats.org/officeDocument/2006/relationships/hyperlink" Target="https://actualicese.com/calculo-de-tasa-de-interes-efectiva-implicita-en-una-cuota/?referer=L-excel-formato&amp;utm_medium=act_formato_excel&amp;utm_source=act_formato_excel&amp;utm_campaign=act_formato_excel&amp;utm_content=act_formato_excel_link" TargetMode="External"/><Relationship Id="rId1214" Type="http://schemas.openxmlformats.org/officeDocument/2006/relationships/hyperlink" Target="https://actualicese.com/formato-especificaciones-de-los-servicios-para-acceder-a-incentivos-de-la-ley-1715-del-2014/?referer=L-excel-formato&amp;utm_medium=act_formato_excel&amp;utm_source=act_formato_excel&amp;utm_campaign=act_formato_excel&amp;utm_content=act_formato_excel_link" TargetMode="External"/><Relationship Id="rId1421" Type="http://schemas.openxmlformats.org/officeDocument/2006/relationships/hyperlink" Target="https://actualicese.com/propuesta-aplicacion-niif-en-propiedad-horizontal/?referer=L-excel-formato&amp;utm_medium=act_formato_excel&amp;utm_source=act_formato_excel&amp;utm_campaign=act_formato_excel&amp;utm_content=act_formato_excel_link" TargetMode="External"/><Relationship Id="rId1659" Type="http://schemas.openxmlformats.org/officeDocument/2006/relationships/hyperlink" Target="https://actualicese.com/formulario-de-reclamos-del-usuario-o-cliente/?referer=L-excel-formato&amp;utm_medium=act_formato_excel&amp;utm_source=act_formato_excel&amp;utm_campaign=act_formato_excel&amp;utm_content=act_formato_excel_link" TargetMode="External"/><Relationship Id="rId1866" Type="http://schemas.openxmlformats.org/officeDocument/2006/relationships/hyperlink" Target="https://actualicese.com/casos-practicos-de-liquidacion-de-intereses-moratorios-y-sancion-de-extemporaneidad-ley-2277-de-2022/?referer=L-excel-formato&amp;utm_medium=act_formato_excel&amp;utm_source=act_formato_excel&amp;utm_campaign=act_formato_excel&amp;utm_content=act_formato_excel_link" TargetMode="External"/><Relationship Id="rId1519" Type="http://schemas.openxmlformats.org/officeDocument/2006/relationships/hyperlink" Target="https://actualicese.com/manejo-del-iva-y-retencion-por-renta-de-las-empresas-que-manejan-a-i-u/?referer=L-excel-formato&amp;utm_medium=act_formato_excel&amp;utm_source=act_formato_excel&amp;utm_campaign=act_formato_excel&amp;utm_content=act_formato_excel_link" TargetMode="External"/><Relationship Id="rId1726" Type="http://schemas.openxmlformats.org/officeDocument/2006/relationships/hyperlink" Target="https://actualicese.com/informe-de-compilacion-de-estados-financieros-con-fines-especificos/?referer=L-excel-formato&amp;utm_medium=act_formato_excel&amp;utm_source=act_formato_excel&amp;utm_campaign=act_formato_excel&amp;utm_content=act_formato_excel_link" TargetMode="External"/><Relationship Id="rId1933" Type="http://schemas.openxmlformats.org/officeDocument/2006/relationships/hyperlink" Target="https://actualicese.com/solicitud-compensacion-de-vacaciones/?referer=L-excel-formato&amp;utm_medium=act_formato_excel&amp;utm_source=act_formato_excel&amp;utm_campaign=act_formato_excel&amp;utm_content=act_formato_excel_link" TargetMode="External"/><Relationship Id="rId18" Type="http://schemas.openxmlformats.org/officeDocument/2006/relationships/hyperlink" Target="https://actualicese.com/caso-practico-en-excel-impuesto-diferido-por-deterioro-de-inventario/?referer=L-excel-formato&amp;utm_medium=act_formato_excel&amp;utm_source=act_formato_excel&amp;utm_campaign=act_formato_excel&amp;utm_content=act_formato_excel_link" TargetMode="External"/><Relationship Id="rId2195" Type="http://schemas.openxmlformats.org/officeDocument/2006/relationships/hyperlink" Target="https://actualicese.com/liquidador-plantilla-para-elaborar-el-formulario-300-para-las-declaraciones-del-iva-en-2024/?referer=L-excel-formato&amp;utm_medium=act_formato_excel&amp;utm_source=act_formato_excel&amp;utm_campaign=act_formato_excel&amp;utm_content=act_formato_excel_link" TargetMode="External"/><Relationship Id="rId167" Type="http://schemas.openxmlformats.org/officeDocument/2006/relationships/hyperlink" Target="https://actualicese.com/certificacion-para-notificar-al-empleado-examenes-medicos-de-egreso/?referer=L-excel-formato&amp;utm_medium=act_formato_excel&amp;utm_source=act_formato_excel&amp;utm_campaign=act_formato_excel&amp;utm_content=act_formato_excel_link" TargetMode="External"/><Relationship Id="rId374" Type="http://schemas.openxmlformats.org/officeDocument/2006/relationships/hyperlink" Target="https://actualicese.com/convocatoria-a-una-reunion-extraordinaria/?referer=L-excel-formato&amp;utm_medium=act_formato_excel&amp;utm_source=act_formato_excel&amp;utm_campaign=act_formato_excel&amp;utm_content=act_formato_excel_link" TargetMode="External"/><Relationship Id="rId581" Type="http://schemas.openxmlformats.org/officeDocument/2006/relationships/hyperlink" Target="https://actualicese.com/modelo-de-contrato-de-permuta/?referer=L-excel-formato&amp;utm_medium=act_formato_excel&amp;utm_source=act_formato_excel&amp;utm_campaign=act_formato_excel&amp;utm_content=act_formato_excel_link" TargetMode="External"/><Relationship Id="rId2055" Type="http://schemas.openxmlformats.org/officeDocument/2006/relationships/hyperlink" Target="https://actualicese.com/liquidador-del-impuesto-sobre-la-renta-liquida-de-las-cedulas-general-y-de-pensiones/?referer=L-excel-formato&amp;utm_medium=act_formato_excel&amp;utm_source=act_formato_excel&amp;utm_campaign=act_formato_excel&amp;utm_content=act_formato_excel_link" TargetMode="External"/><Relationship Id="rId2262" Type="http://schemas.openxmlformats.org/officeDocument/2006/relationships/hyperlink" Target="https://actualicese.com/modelo-de-certificado-de-no-declarante-del-impuesto-de-renta-y-complementario/?referer=L-excel-formato&amp;utm_medium=act_formato_excel&amp;utm_source=act_formato_excel&amp;utm_campaign=act_formato_excel&amp;utm_content=act_formato_excel_link" TargetMode="External"/><Relationship Id="rId234" Type="http://schemas.openxmlformats.org/officeDocument/2006/relationships/hyperlink" Target="https://actualicese.com/normas-del-impuesto-de-renta-de-personas-naturales-que-sufrieron-cambios-para-el-ag-2021/?referer=L-excel-formato&amp;utm_medium=act_formato_excel&amp;utm_source=act_formato_excel&amp;utm_campaign=act_formato_excel&amp;utm_content=act_formato_excel_link" TargetMode="External"/><Relationship Id="rId679" Type="http://schemas.openxmlformats.org/officeDocument/2006/relationships/hyperlink" Target="https://actualicese.com/venta-de-bienes-inmuebles-a-largo-plazo-caso-practico-de-impuesto-diferido/?referer=L-excel-formato&amp;utm_medium=act_formato_excel&amp;utm_source=act_formato_excel&amp;utm_campaign=act_formato_excel&amp;utm_content=act_formato_excel_link" TargetMode="External"/><Relationship Id="rId886" Type="http://schemas.openxmlformats.org/officeDocument/2006/relationships/hyperlink" Target="https://actualicese.com/tarifas-de-autorretencion-especial-en-renta-automatizado/?referer=L-excel-formato&amp;utm_medium=act_formato_excel&amp;utm_source=act_formato_excel&amp;utm_campaign=act_formato_excel&amp;utm_content=act_formato_excel_link" TargetMode="External"/><Relationship Id="rId2" Type="http://schemas.openxmlformats.org/officeDocument/2006/relationships/hyperlink" Target="https://actualicese.com/guia-en-excel-para-revisiones-pertinentes-en-la-propiedad-planta-y-equipo-en-el-proceso-de-cierre-contable/?referer=L-excel-formato&amp;utm_medium=act_formato_excel&amp;utm_source=act_formato_excel&amp;utm_campaign=act_formato_excel&amp;utm_content=act_formato_excel_link" TargetMode="External"/><Relationship Id="rId441" Type="http://schemas.openxmlformats.org/officeDocument/2006/relationships/hyperlink" Target="https://actualicese.com/cuestionario-de-control-interno-de-provisiones-y-contingencias-en-excel/?referer=L-excel-formato&amp;utm_medium=act_formato_excel&amp;utm_source=act_formato_excel&amp;utm_campaign=act_formato_excel&amp;utm_content=act_formato_excel_link" TargetMode="External"/><Relationship Id="rId539" Type="http://schemas.openxmlformats.org/officeDocument/2006/relationships/hyperlink" Target="https://actualicese.com/solicitud-de-licencia-de-maternidad-ante-la-eps-por-parte-de-una-trabajadora-independiente/?referer=L-excel-formato&amp;utm_medium=act_formato_excel&amp;utm_source=act_formato_excel&amp;utm_campaign=act_formato_excel&amp;utm_content=act_formato_excel_link" TargetMode="External"/><Relationship Id="rId746" Type="http://schemas.openxmlformats.org/officeDocument/2006/relationships/hyperlink" Target="https://actualicese.com/certificacion-para-subsidio-de-nomina-paef-entidad-del-regimen-tributario-especial/?referer=L-excel-formato&amp;utm_medium=act_formato_excel&amp;utm_source=act_formato_excel&amp;utm_campaign=act_formato_excel&amp;utm_content=act_formato_excel_link" TargetMode="External"/><Relationship Id="rId1071" Type="http://schemas.openxmlformats.org/officeDocument/2006/relationships/hyperlink" Target="https://actualicese.com/formulario-de-reclamos-del-usuario-o-cliente/?referer=L-excel-formato&amp;utm_medium=act_formato_excel&amp;utm_source=act_formato_excel&amp;utm_campaign=act_formato_excel&amp;utm_content=act_formato_excel_link" TargetMode="External"/><Relationship Id="rId1169" Type="http://schemas.openxmlformats.org/officeDocument/2006/relationships/hyperlink" Target="https://actualicese.com/matriz-para-determinar-valor-de-perdidas-fiscales-susceptibles-de-compensacion-segun-reforma/?referer=L-excel-formato&amp;utm_medium=act_formato_excel&amp;utm_source=act_formato_excel&amp;utm_campaign=act_formato_excel&amp;utm_content=act_formato_excel_link" TargetMode="External"/><Relationship Id="rId1376" Type="http://schemas.openxmlformats.org/officeDocument/2006/relationships/hyperlink" Target="https://actualicese.com/doctrinas-de-la-dian-sobre-el-cree/?referer=L-excel-formato&amp;utm_medium=act_formato_excel&amp;utm_source=act_formato_excel&amp;utm_campaign=act_formato_excel&amp;utm_content=act_formato_excel_link" TargetMode="External"/><Relationship Id="rId1583" Type="http://schemas.openxmlformats.org/officeDocument/2006/relationships/hyperlink" Target="https://actualicese.com/autorizacion-para-que-un-tercero-solicite-en-la-dian-los-mecanismos-de-firma-digital/?referer=L-excel-formato&amp;utm_medium=act_formato_excel&amp;utm_source=act_formato_excel&amp;utm_campaign=act_formato_excel&amp;utm_content=act_formato_excel_link" TargetMode="External"/><Relationship Id="rId2122" Type="http://schemas.openxmlformats.org/officeDocument/2006/relationships/hyperlink" Target="https://actualicese.com/historico-del-salario-minimo-y-el-auxilio-de-transporte-1990-2024/?referer=L-excel-formato&amp;utm_medium=act_formato_excel&amp;utm_source=act_formato_excel&amp;utm_campaign=act_formato_excel&amp;utm_content=act_formato_excel_link" TargetMode="External"/><Relationship Id="rId2427" Type="http://schemas.openxmlformats.org/officeDocument/2006/relationships/hyperlink" Target="https://actualicese.com/cuadro-comparativo-con-la-estructura-del-sistema-de-pensiones-en-colombia-ley-100-de-1993-vs-ley-2381-de-2024/?referer=L-excel-formato&amp;utm_medium=act_formato_excel&amp;utm_source=act_formato_excel&amp;utm_campaign=act_formato_excel&amp;utm_content=act_formato_excel_link" TargetMode="External"/><Relationship Id="rId301" Type="http://schemas.openxmlformats.org/officeDocument/2006/relationships/hyperlink" Target="https://actualicese.com/formulario-310-ag-2022-declaracion-del-impuesto-nacional-al-consumo-plantilla-para-borrador/?referer=L-excel-formato&amp;utm_medium=act_formato_excel&amp;utm_source=act_formato_excel&amp;utm_campaign=act_formato_excel&amp;utm_content=act_formato_excel_link" TargetMode="External"/><Relationship Id="rId953" Type="http://schemas.openxmlformats.org/officeDocument/2006/relationships/hyperlink" Target="https://actualicese.com/notificacion-de-no-renovacion-de-contrato-laboral-a-termino-fijo/?referer=L-excel-formato&amp;utm_medium=act_formato_excel&amp;utm_source=act_formato_excel&amp;utm_campaign=act_formato_excel&amp;utm_content=act_formato_excel_link" TargetMode="External"/><Relationship Id="rId1029" Type="http://schemas.openxmlformats.org/officeDocument/2006/relationships/hyperlink" Target="https://actualicese.com/calendario-tributario-distrital-2018/?referer=L-excel-formato&amp;utm_medium=act_formato_excel&amp;utm_source=act_formato_excel&amp;utm_campaign=act_formato_excel&amp;utm_content=act_formato_excel_link" TargetMode="External"/><Relationship Id="rId1236" Type="http://schemas.openxmlformats.org/officeDocument/2006/relationships/hyperlink" Target="https://actualicese.com/herramienta-calculadora-de-tarifas-en-la-contaduria-publica/?referer=L-excel-formato&amp;utm_medium=act_formato_excel&amp;utm_source=act_formato_excel&amp;utm_campaign=act_formato_excel&amp;utm_content=act_formato_excel_link" TargetMode="External"/><Relationship Id="rId1790" Type="http://schemas.openxmlformats.org/officeDocument/2006/relationships/hyperlink" Target="https://actualicese.com/acta-asamblea-o-junta-extraordinaria-por-cambio-de-revisor-fiscal-renuncia-o-revocatoria/?referer=L-excel-formato&amp;utm_medium=act_formato_excel&amp;utm_source=act_formato_excel&amp;utm_campaign=act_formato_excel&amp;utm_content=act_formato_excel_link" TargetMode="External"/><Relationship Id="rId1888" Type="http://schemas.openxmlformats.org/officeDocument/2006/relationships/hyperlink" Target="https://actualicese.com/liquidador-de-topes-de-ingresos-para-presentar-formatos-de-conciliacion-fiscal-2516-y-2517/?referer=L-excel-formato&amp;utm_medium=act_formato_excel&amp;utm_source=act_formato_excel&amp;utm_campaign=act_formato_excel&amp;utm_content=act_formato_excel_link" TargetMode="External"/><Relationship Id="rId82" Type="http://schemas.openxmlformats.org/officeDocument/2006/relationships/hyperlink" Target="https://actualicese.com/liquidador-de-aportes-a-seguridad-social-de-independientes-por-cuenta-propia-y-rentistas-de-capital/?referer=L-excel-formato&amp;utm_medium=act_formato_excel&amp;utm_source=act_formato_excel&amp;utm_campaign=act_formato_excel&amp;utm_content=act_formato_excel_link" TargetMode="External"/><Relationship Id="rId606" Type="http://schemas.openxmlformats.org/officeDocument/2006/relationships/hyperlink" Target="https://actualicese.com/guias-para-el-reporte-de-exogena-2020-descargalas-ya/?referer=L-excel-formato&amp;utm_medium=act_formato_excel&amp;utm_source=act_formato_excel&amp;utm_campaign=act_formato_excel&amp;utm_content=act_formato_excel_link" TargetMode="External"/><Relationship Id="rId813" Type="http://schemas.openxmlformats.org/officeDocument/2006/relationships/hyperlink" Target="https://actualicese.com/formulario-350-de-retencion-en-la-fuente-plantilla-avanzada/?referer=L-excel-formato&amp;utm_medium=act_formato_excel&amp;utm_source=act_formato_excel&amp;utm_campaign=act_formato_excel&amp;utm_content=act_formato_excel_link" TargetMode="External"/><Relationship Id="rId1443" Type="http://schemas.openxmlformats.org/officeDocument/2006/relationships/hyperlink" Target="https://actualicese.com/plantilla-elaboracion-estados-financieros-en-niif-para-supersociedades-con-xbrl-express/?referer=L-excel-formato&amp;utm_medium=act_formato_excel&amp;utm_source=act_formato_excel&amp;utm_campaign=act_formato_excel&amp;utm_content=act_formato_excel_link" TargetMode="External"/><Relationship Id="rId1650" Type="http://schemas.openxmlformats.org/officeDocument/2006/relationships/hyperlink" Target="https://actualicese.com/casos-practicos-de-liquidacion-y-contabilizacion-de-sanciones-por-no-inscribirse-o-actualizar-el-rut/?referer=L-excel-formato&amp;utm_medium=act_formato_excel&amp;utm_source=act_formato_excel&amp;utm_campaign=act_formato_excel&amp;utm_content=act_formato_excel_link" TargetMode="External"/><Relationship Id="rId1748" Type="http://schemas.openxmlformats.org/officeDocument/2006/relationships/hyperlink" Target="https://actualicese.com/convocatoria-a-asamblea-general-ordinaria-de-sociosaccionistas/?referer=L-excel-formato&amp;utm_medium=act_formato_excel&amp;utm_source=act_formato_excel&amp;utm_campaign=act_formato_excel&amp;utm_content=act_formato_excel_link" TargetMode="External"/><Relationship Id="rId1303" Type="http://schemas.openxmlformats.org/officeDocument/2006/relationships/hyperlink" Target="https://actualicese.com/formato-1005-1006-reporte-de-iva-descontables-e-iva-e-inc-generados-en-el-2015/?referer=L-excel-formato&amp;utm_medium=act_formato_excel&amp;utm_source=act_formato_excel&amp;utm_campaign=act_formato_excel&amp;utm_content=act_formato_excel_link" TargetMode="External"/><Relationship Id="rId1510" Type="http://schemas.openxmlformats.org/officeDocument/2006/relationships/hyperlink" Target="https://actualicese.com/informacion-laboral-a-tener-en-cuenta-a-partir-del-1-de-enero-de-2015/?referer=L-excel-formato&amp;utm_medium=act_formato_excel&amp;utm_source=act_formato_excel&amp;utm_campaign=act_formato_excel&amp;utm_content=act_formato_excel_link" TargetMode="External"/><Relationship Id="rId1955" Type="http://schemas.openxmlformats.org/officeDocument/2006/relationships/hyperlink" Target="https://actualicese.com/simulador-del-punto-de-equilibrio-en-excel-herramienta-de-analisis-financiero/?referer=L-excel-formato&amp;utm_medium=act_formato_excel&amp;utm_source=act_formato_excel&amp;utm_campaign=act_formato_excel&amp;utm_content=act_formato_excel_link" TargetMode="External"/><Relationship Id="rId1608" Type="http://schemas.openxmlformats.org/officeDocument/2006/relationships/hyperlink" Target="https://actualicese.com/word-asamblea-extraordinaria-de-accionistas-para-la-entrega-de-acciones-a-acreedores/?referer=L-excel-formato&amp;utm_medium=act_formato_excel&amp;utm_source=act_formato_excel&amp;utm_campaign=act_formato_excel&amp;utm_content=act_formato_excel_link" TargetMode="External"/><Relationship Id="rId1815" Type="http://schemas.openxmlformats.org/officeDocument/2006/relationships/hyperlink" Target="https://actualicese.com/liquidador-del-anticipo-del-impuesto-de-renta-2023-para-personas-juridicas-y-naturales/?referer=L-excel-formato&amp;utm_medium=act_formato_excel&amp;utm_source=act_formato_excel&amp;utm_campaign=act_formato_excel&amp;utm_content=act_formato_excel_link" TargetMode="External"/><Relationship Id="rId189" Type="http://schemas.openxmlformats.org/officeDocument/2006/relationships/hyperlink" Target="https://actualicese.com/sanciones-relacionadas-con-la-declaracion-informativa/?referer=L-excel-formato&amp;utm_medium=act_formato_excel&amp;utm_source=act_formato_excel&amp;utm_campaign=act_formato_excel&amp;utm_content=act_formato_excel_link" TargetMode="External"/><Relationship Id="rId396" Type="http://schemas.openxmlformats.org/officeDocument/2006/relationships/hyperlink" Target="https://actualicese.com/cuadro-comparativo-de-regimenes-pensionales-en-colombia/?referer=L-excel-formato&amp;utm_medium=act_formato_excel&amp;utm_source=act_formato_excel&amp;utm_campaign=act_formato_excel&amp;utm_content=act_formato_excel_link" TargetMode="External"/><Relationship Id="rId2077" Type="http://schemas.openxmlformats.org/officeDocument/2006/relationships/hyperlink" Target="https://actualicese.com/liquidador-de-sanciones-por-incumplir-con-la-obligacion-de-inscribirse-al-rut/?referer=L-excel-formato&amp;utm_medium=act_formato_excel&amp;utm_source=act_formato_excel&amp;utm_campaign=act_formato_excel&amp;utm_content=act_formato_excel_link" TargetMode="External"/><Relationship Id="rId2284" Type="http://schemas.openxmlformats.org/officeDocument/2006/relationships/hyperlink" Target="https://actualicese.com/derecho-de-peticion-para-solicitar-certificado-laboral/?referer=L-excel-formato&amp;utm_medium=act_formato_excel&amp;utm_source=act_formato_excel&amp;utm_campaign=act_formato_excel&amp;utm_content=act_formato_excel_link" TargetMode="External"/><Relationship Id="rId256" Type="http://schemas.openxmlformats.org/officeDocument/2006/relationships/hyperlink" Target="https://actualicese.com/matriz-de-caracteristicas-basicas-de-la-depuracion-de-las-3-cedulas-del-formulario-210-ag-2021/?referer=L-excel-formato&amp;utm_medium=act_formato_excel&amp;utm_source=act_formato_excel&amp;utm_campaign=act_formato_excel&amp;utm_content=act_formato_excel_link" TargetMode="External"/><Relationship Id="rId463" Type="http://schemas.openxmlformats.org/officeDocument/2006/relationships/hyperlink" Target="https://actualicese.com/dupont-indice-de-rentabilidad/?referer=L-excel-formato&amp;utm_medium=act_formato_excel&amp;utm_source=act_formato_excel&amp;utm_campaign=act_formato_excel&amp;utm_content=act_formato_excel_link" TargetMode="External"/><Relationship Id="rId670" Type="http://schemas.openxmlformats.org/officeDocument/2006/relationships/hyperlink" Target="https://actualicese.com/ingresos-que-no-se-consideran-de-fuente-nacional-periodo-gravable-2020-2/?referer=L-excel-formato&amp;utm_medium=act_formato_excel&amp;utm_source=act_formato_excel&amp;utm_campaign=act_formato_excel&amp;utm_content=act_formato_excel_link" TargetMode="External"/><Relationship Id="rId1093" Type="http://schemas.openxmlformats.org/officeDocument/2006/relationships/hyperlink" Target="https://actualicese.com/formato-cuestionario-de-auditoria-para-area-de-produccion/?referer=L-excel-formato&amp;utm_medium=act_formato_excel&amp;utm_source=act_formato_excel&amp;utm_campaign=act_formato_excel&amp;utm_content=act_formato_excel_link" TargetMode="External"/><Relationship Id="rId2144" Type="http://schemas.openxmlformats.org/officeDocument/2006/relationships/hyperlink" Target="https://actualicese.com/tabla-en-excel-de-retencion-en-la-fuente-2024/?referer=L-excel-formato&amp;utm_medium=act_formato_excel&amp;utm_source=act_formato_excel&amp;utm_campaign=act_formato_excel&amp;utm_content=act_formato_excel_link" TargetMode="External"/><Relationship Id="rId2351" Type="http://schemas.openxmlformats.org/officeDocument/2006/relationships/hyperlink" Target="https://actualicese.com/papeles-de-trabajo-del-auditor-cuestionarios-de-control-interno-para-pymes/?referer=L-excel-formato&amp;utm_medium=act_formato_excel&amp;utm_source=act_formato_excel&amp;utm_campaign=act_formato_excel&amp;utm_content=act_formato_excel_link" TargetMode="External"/><Relationship Id="rId116" Type="http://schemas.openxmlformats.org/officeDocument/2006/relationships/hyperlink" Target="https://actualicese.com/sancion-por-extemporaneidad-despues-del-emplazamiento/?referer=L-excel-formato&amp;utm_medium=act_formato_excel&amp;utm_source=act_formato_excel&amp;utm_campaign=act_formato_excel&amp;utm_content=act_formato_excel_link" TargetMode="External"/><Relationship Id="rId323" Type="http://schemas.openxmlformats.org/officeDocument/2006/relationships/hyperlink" Target="https://actualicese.com/informe-de-verificacion-del-cumplimiento-del-sistema-de-facturacion-y-de-nomina-electronica/?referer=L-excel-formato&amp;utm_medium=act_formato_excel&amp;utm_source=act_formato_excel&amp;utm_campaign=act_formato_excel&amp;utm_content=act_formato_excel_link" TargetMode="External"/><Relationship Id="rId530" Type="http://schemas.openxmlformats.org/officeDocument/2006/relationships/hyperlink" Target="https://actualicese.com/acta-de-investigacion-para-la-aceptacion-de-los-clientes-del-revisor-fiscal/?referer=L-excel-formato&amp;utm_medium=act_formato_excel&amp;utm_source=act_formato_excel&amp;utm_campaign=act_formato_excel&amp;utm_content=act_formato_excel_link" TargetMode="External"/><Relationship Id="rId768" Type="http://schemas.openxmlformats.org/officeDocument/2006/relationships/hyperlink" Target="https://actualicese.com/formato-exogena-1008-por-el-ano-gravable-2019-reporte-de-cuentas-por-cobrar/?referer=L-excel-formato&amp;utm_medium=act_formato_excel&amp;utm_source=act_formato_excel&amp;utm_campaign=act_formato_excel&amp;utm_content=act_formato_excel_link" TargetMode="External"/><Relationship Id="rId975" Type="http://schemas.openxmlformats.org/officeDocument/2006/relationships/hyperlink" Target="https://actualicese.com/presentacion-de-reforma-de-acuerdo-de-reorganizacion/?referer=L-excel-formato&amp;utm_medium=act_formato_excel&amp;utm_source=act_formato_excel&amp;utm_campaign=act_formato_excel&amp;utm_content=act_formato_excel_link" TargetMode="External"/><Relationship Id="rId1160" Type="http://schemas.openxmlformats.org/officeDocument/2006/relationships/hyperlink" Target="https://actualicese.com/nota-2-base-de-preparacion-de-estados-financieros-bajo-el-estandar-internacional-para-pymes/?referer=L-excel-formato&amp;utm_medium=act_formato_excel&amp;utm_source=act_formato_excel&amp;utm_campaign=act_formato_excel&amp;utm_content=act_formato_excel_link" TargetMode="External"/><Relationship Id="rId1398" Type="http://schemas.openxmlformats.org/officeDocument/2006/relationships/hyperlink" Target="https://actualicese.com/revelaciones-exigidas-por-la-nic-7-estado-de-flujos-de-efectivo/?referer=L-excel-formato&amp;utm_medium=act_formato_excel&amp;utm_source=act_formato_excel&amp;utm_campaign=act_formato_excel&amp;utm_content=act_formato_excel_link" TargetMode="External"/><Relationship Id="rId2004" Type="http://schemas.openxmlformats.org/officeDocument/2006/relationships/hyperlink" Target="https://actualicese.com/modelo-de-carta-para-solicitar-a-la-empresa-de-servicios-publicos-la-suspension-del-contrato-de-telefonia-e-internet/?referer=L-excel-formato&amp;utm_medium=act_formato_excel&amp;utm_source=act_formato_excel&amp;utm_campaign=act_formato_excel&amp;utm_content=act_formato_excel_link" TargetMode="External"/><Relationship Id="rId2211" Type="http://schemas.openxmlformats.org/officeDocument/2006/relationships/hyperlink" Target="https://actualicese.com/liquidador-excel-del-formulario-350-de-retencion-en-la-fuente-vigente-a-partir-de-agosto-1-de-2024/?referer=L-excel-formato&amp;utm_medium=act_formato_excel&amp;utm_source=act_formato_excel&amp;utm_campaign=act_formato_excel&amp;utm_content=act_formato_excel_link" TargetMode="External"/><Relationship Id="rId2449" Type="http://schemas.openxmlformats.org/officeDocument/2006/relationships/hyperlink" Target="https://actualicese.com/liquidador-de-aportes-a-seguridad-social-de-independientes-bajo-el-esquema-de-presuncion-de-costos-resolucion-ugpp-532-de-2024/?referer=L-excel-formato&amp;utm_medium=act_formato_excel&amp;utm_source=act_formato_excel&amp;utm_campaign=act_formato_excel&amp;utm_content=act_formato_excel_link" TargetMode="External"/><Relationship Id="rId628" Type="http://schemas.openxmlformats.org/officeDocument/2006/relationships/hyperlink" Target="https://actualicese.com/27-formatos-para-preparar-la-declaracion-de-renta-de-personas-juridicas-por-el-ano-gravable-2020/?referer=L-excel-formato&amp;utm_medium=act_formato_excel&amp;utm_source=act_formato_excel&amp;utm_campaign=act_formato_excel&amp;utm_content=act_formato_excel_link" TargetMode="External"/><Relationship Id="rId835" Type="http://schemas.openxmlformats.org/officeDocument/2006/relationships/hyperlink" Target="https://actualicese.com/formulario-210-declaracion-renta-ano-gravable-2018-residentes-no-obligados-a-llevar-contabilidad/?referer=L-excel-formato&amp;utm_medium=act_formato_excel&amp;utm_source=act_formato_excel&amp;utm_campaign=act_formato_excel&amp;utm_content=act_formato_excel_link" TargetMode="External"/><Relationship Id="rId1258" Type="http://schemas.openxmlformats.org/officeDocument/2006/relationships/hyperlink" Target="https://actualicese.com/calculo-de-la-contribucion-2016-a-la-supersociedades/?referer=L-excel-formato&amp;utm_medium=act_formato_excel&amp;utm_source=act_formato_excel&amp;utm_campaign=act_formato_excel&amp;utm_content=act_formato_excel_link" TargetMode="External"/><Relationship Id="rId1465" Type="http://schemas.openxmlformats.org/officeDocument/2006/relationships/hyperlink" Target="https://actualicese.com/modelo-del-certificado-anual-a-socios-yo-accionistas-por-el-ano-2014/?referer=L-excel-formato&amp;utm_medium=act_formato_excel&amp;utm_source=act_formato_excel&amp;utm_campaign=act_formato_excel&amp;utm_content=act_formato_excel_link" TargetMode="External"/><Relationship Id="rId1672" Type="http://schemas.openxmlformats.org/officeDocument/2006/relationships/hyperlink" Target="https://actualicese.com/modelo-de-certificado-para-acceder-al-incentivo-a-la-creacion-de-nuevos-empleos/?referer=L-excel-formato&amp;utm_medium=act_formato_excel&amp;utm_source=act_formato_excel&amp;utm_campaign=act_formato_excel&amp;utm_content=act_formato_excel_link" TargetMode="External"/><Relationship Id="rId2309" Type="http://schemas.openxmlformats.org/officeDocument/2006/relationships/hyperlink" Target="https://actualicese.com/acta-de-diligencia-de-descargos/?referer=L-excel-formato&amp;utm_medium=act_formato_excel&amp;utm_source=act_formato_excel&amp;utm_campaign=act_formato_excel&amp;utm_content=act_formato_excel_link" TargetMode="External"/><Relationship Id="rId1020" Type="http://schemas.openxmlformats.org/officeDocument/2006/relationships/hyperlink" Target="https://actualicese.com/limite-de-pagos-en-efectivo-a-tener-en-cuenta-para-2018/?referer=L-excel-formato&amp;utm_medium=act_formato_excel&amp;utm_source=act_formato_excel&amp;utm_campaign=act_formato_excel&amp;utm_content=act_formato_excel_link" TargetMode="External"/><Relationship Id="rId1118" Type="http://schemas.openxmlformats.org/officeDocument/2006/relationships/hyperlink" Target="https://actualicese.com/elementos-conceptuales-para-informe-de-control-interno/?referer=L-excel-formato&amp;utm_medium=act_formato_excel&amp;utm_source=act_formato_excel&amp;utm_campaign=act_formato_excel&amp;utm_content=act_formato_excel_link" TargetMode="External"/><Relationship Id="rId1325" Type="http://schemas.openxmlformats.org/officeDocument/2006/relationships/hyperlink" Target="https://actualicese.com/costo-de-renovacion-de-la-matricula-mercantil-para-el-2016/?referer=L-excel-formato&amp;utm_medium=act_formato_excel&amp;utm_source=act_formato_excel&amp;utm_campaign=act_formato_excel&amp;utm_content=act_formato_excel_link" TargetMode="External"/><Relationship Id="rId1532" Type="http://schemas.openxmlformats.org/officeDocument/2006/relationships/hyperlink" Target="https://actualicese.com/modelo-para-proyectar-efectos-del-imas-en-la-declaracion-de-renta-de-los-trabajadores-por-cuenta-propia/?referer=L-excel-formato&amp;utm_medium=act_formato_excel&amp;utm_source=act_formato_excel&amp;utm_campaign=act_formato_excel&amp;utm_content=act_formato_excel_link" TargetMode="External"/><Relationship Id="rId1977" Type="http://schemas.openxmlformats.org/officeDocument/2006/relationships/hyperlink" Target="https://actualicese.com/carta-de-renuncia/?referer=L-excel-formato&amp;utm_medium=act_formato_excel&amp;utm_source=act_formato_excel&amp;utm_campaign=act_formato_excel&amp;utm_content=act_formato_excel_link" TargetMode="External"/><Relationship Id="rId902" Type="http://schemas.openxmlformats.org/officeDocument/2006/relationships/hyperlink" Target="https://actualicese.com/comparativo-de-normas-afectadas-por-la-ley-de-financiamiento-1943-de-diciembre-28-de-2018/?referer=L-excel-formato&amp;utm_medium=act_formato_excel&amp;utm_source=act_formato_excel&amp;utm_campaign=act_formato_excel&amp;utm_content=act_formato_excel_link" TargetMode="External"/><Relationship Id="rId1837" Type="http://schemas.openxmlformats.org/officeDocument/2006/relationships/hyperlink" Target="https://actualicese.com/liquidacion-de-nomina-cuando-hay-incapacidad-caso-practico/?referer=L-excel-formato&amp;utm_medium=act_formato_excel&amp;utm_source=act_formato_excel&amp;utm_campaign=act_formato_excel&amp;utm_content=act_formato_excel_link" TargetMode="External"/><Relationship Id="rId31" Type="http://schemas.openxmlformats.org/officeDocument/2006/relationships/hyperlink" Target="https://actualicese.com/liquidador-caso-practico-en-excel-impuesto-diferido-por-provisiones-no-aceptadas-fiscalmente/?referer=L-excel-formato&amp;utm_medium=act_formato_excel&amp;utm_source=act_formato_excel&amp;utm_campaign=act_formato_excel&amp;utm_content=act_formato_excel_link" TargetMode="External"/><Relationship Id="rId2099" Type="http://schemas.openxmlformats.org/officeDocument/2006/relationships/hyperlink" Target="https://actualicese.com/formulario-210-y-formato-2517-para-la-declaracion-de-renta-de-personas-naturales-residentes-que-llevan-contabilidad-ag-2022/?referer=L-excel-formato&amp;utm_medium=act_formato_excel&amp;utm_source=act_formato_excel&amp;utm_campaign=act_formato_excel&amp;utm_content=act_formato_excel_link" TargetMode="External"/><Relationship Id="rId180" Type="http://schemas.openxmlformats.org/officeDocument/2006/relationships/hyperlink" Target="https://actualicese.com/utilidad-por-venta-de-activo-fijo-depreciable-que-sera-renta-por-recuperacion-de-deducciones/?referer=L-excel-formato&amp;utm_medium=act_formato_excel&amp;utm_source=act_formato_excel&amp;utm_campaign=act_formato_excel&amp;utm_content=act_formato_excel_link" TargetMode="External"/><Relationship Id="rId278" Type="http://schemas.openxmlformats.org/officeDocument/2006/relationships/hyperlink" Target="https://actualicese.com/pack-de-formatos-formatos-para-elaborar-la-declaracion-de-renta-de-personas-juridicas/?referer=L-excel-formato&amp;utm_medium=act_formato_excel&amp;utm_source=act_formato_excel&amp;utm_campaign=act_formato_excel&amp;utm_content=act_formato_excel_link" TargetMode="External"/><Relationship Id="rId1904" Type="http://schemas.openxmlformats.org/officeDocument/2006/relationships/hyperlink" Target="https://actualicese.com/liquidador-automatizado-de-la-prima-de-servicios-con-comprobante-de-pago/?referer=L-excel-formato&amp;utm_medium=act_formato_excel&amp;utm_source=act_formato_excel&amp;utm_campaign=act_formato_excel&amp;utm_content=act_formato_excel_link" TargetMode="External"/><Relationship Id="rId485" Type="http://schemas.openxmlformats.org/officeDocument/2006/relationships/hyperlink" Target="https://actualicese.com/liquidador-del-numero-de-empleados-y-calculo-del-aporte-del-paef/?referer=L-excel-formato&amp;utm_medium=act_formato_excel&amp;utm_source=act_formato_excel&amp;utm_campaign=act_formato_excel&amp;utm_content=act_formato_excel_link" TargetMode="External"/><Relationship Id="rId692" Type="http://schemas.openxmlformats.org/officeDocument/2006/relationships/hyperlink" Target="https://actualicese.com/contrato-de-mutuo-comercial-o-prestamo-con-intereses/?referer=L-excel-formato&amp;utm_medium=act_formato_excel&amp;utm_source=act_formato_excel&amp;utm_campaign=act_formato_excel&amp;utm_content=act_formato_excel_link" TargetMode="External"/><Relationship Id="rId2166" Type="http://schemas.openxmlformats.org/officeDocument/2006/relationships/hyperlink" Target="https://actualicese.com/liquidador-de-sancion-por-inexactitud/?referer=L-excel-formato&amp;utm_medium=act_formato_excel&amp;utm_source=act_formato_excel&amp;utm_campaign=act_formato_excel&amp;utm_content=act_formato_excel_link" TargetMode="External"/><Relationship Id="rId2373" Type="http://schemas.openxmlformats.org/officeDocument/2006/relationships/hyperlink" Target="https://actualicese.com/simulador-del-punto-de-equilibrio-en-excel-herramienta-de-analisis-financiero/?referer=L-excel-formato&amp;utm_medium=act_formato_excel&amp;utm_source=act_formato_excel&amp;utm_campaign=act_formato_excel&amp;utm_content=act_formato_excel_link" TargetMode="External"/><Relationship Id="rId138" Type="http://schemas.openxmlformats.org/officeDocument/2006/relationships/hyperlink" Target="https://actualicese.com/caso-practico-del-tratamiento-de-las-cesantias-en-la-declaracion-de-renta/?referer=L-excel-formato&amp;utm_medium=act_formato_excel&amp;utm_source=act_formato_excel&amp;utm_campaign=act_formato_excel&amp;utm_content=act_formato_excel_link" TargetMode="External"/><Relationship Id="rId345" Type="http://schemas.openxmlformats.org/officeDocument/2006/relationships/hyperlink" Target="https://actualicese.com/estados-financieros-consolidados-opinion-con-salvedades-cuando-no-se-obtiene-evidencia/?referer=L-excel-formato&amp;utm_medium=act_formato_excel&amp;utm_source=act_formato_excel&amp;utm_campaign=act_formato_excel&amp;utm_content=act_formato_excel_link" TargetMode="External"/><Relationship Id="rId552" Type="http://schemas.openxmlformats.org/officeDocument/2006/relationships/hyperlink" Target="https://actualicese.com/beneficio-de-auditoria-para-personas-naturales-ano-gravable-2020-casos-practicos-en-excel/?referer=L-excel-formato&amp;utm_medium=act_formato_excel&amp;utm_source=act_formato_excel&amp;utm_campaign=act_formato_excel&amp;utm_content=act_formato_excel_link" TargetMode="External"/><Relationship Id="rId997" Type="http://schemas.openxmlformats.org/officeDocument/2006/relationships/hyperlink" Target="https://actualicese.com/beneficio-neto-o-excedente-de-las-entidades-del-regimen-tributario-especial/?referer=L-excel-formato&amp;utm_medium=act_formato_excel&amp;utm_source=act_formato_excel&amp;utm_campaign=act_formato_excel&amp;utm_content=act_formato_excel_link" TargetMode="External"/><Relationship Id="rId1182" Type="http://schemas.openxmlformats.org/officeDocument/2006/relationships/hyperlink" Target="https://actualicese.com/calendario-tributario-distrital-2017/?referer=L-excel-formato&amp;utm_medium=act_formato_excel&amp;utm_source=act_formato_excel&amp;utm_campaign=act_formato_excel&amp;utm_content=act_formato_excel_link" TargetMode="External"/><Relationship Id="rId2026" Type="http://schemas.openxmlformats.org/officeDocument/2006/relationships/hyperlink" Target="https://actualicese.com/solicitud-de-licencia-por-luto/?referer=L-excel-formato&amp;utm_medium=act_formato_excel&amp;utm_source=act_formato_excel&amp;utm_campaign=act_formato_excel&amp;utm_content=act_formato_excel_link" TargetMode="External"/><Relationship Id="rId2233" Type="http://schemas.openxmlformats.org/officeDocument/2006/relationships/hyperlink" Target="https://actualicese.com/liquidador-de-nomina-de-empleados-de-servicio-domestico-que-laboran-por-dias/?referer=L-excel-formato&amp;utm_medium=act_formato_excel&amp;utm_source=act_formato_excel&amp;utm_campaign=act_formato_excel&amp;utm_content=act_formato_excel_link" TargetMode="External"/><Relationship Id="rId2440" Type="http://schemas.openxmlformats.org/officeDocument/2006/relationships/hyperlink" Target="https://actualicese.com/tabla-de-tarifas-de-honorarios-profesionales-para-contadores-publicos/?referer=L-excel-formato&amp;utm_medium=act_formato_excel&amp;utm_source=act_formato_excel&amp;utm_campaign=act_formato_excel&amp;utm_content=act_formato_excel_link" TargetMode="External"/><Relationship Id="rId205" Type="http://schemas.openxmlformats.org/officeDocument/2006/relationships/hyperlink" Target="https://actualicese.com/modelo-de-certificacion-del-tamano-de-una-empresa-en-colombia/?referer=L-excel-formato&amp;utm_medium=act_formato_excel&amp;utm_source=act_formato_excel&amp;utm_campaign=act_formato_excel&amp;utm_content=act_formato_excel_link" TargetMode="External"/><Relationship Id="rId412" Type="http://schemas.openxmlformats.org/officeDocument/2006/relationships/hyperlink" Target="https://actualicese.com/liquidador-de-retencion-en-la-fuente-con-procedimiento-1-sobre-rentas-de-trabajo-durante-2022/?referer=L-excel-formato&amp;utm_medium=act_formato_excel&amp;utm_source=act_formato_excel&amp;utm_campaign=act_formato_excel&amp;utm_content=act_formato_excel_link" TargetMode="External"/><Relationship Id="rId857" Type="http://schemas.openxmlformats.org/officeDocument/2006/relationships/hyperlink" Target="https://actualicese.com/comunicacion-de-asuntos-que-generan-amenazas-a-la-independencia/?referer=L-excel-formato&amp;utm_medium=act_formato_excel&amp;utm_source=act_formato_excel&amp;utm_campaign=act_formato_excel&amp;utm_content=act_formato_excel_link" TargetMode="External"/><Relationship Id="rId1042" Type="http://schemas.openxmlformats.org/officeDocument/2006/relationships/hyperlink" Target="https://actualicese.com/persona-natural-empresa-unipersonal-o-sas-caracteristicas-frente-a-obligaciones-tributarias/?referer=L-excel-formato&amp;utm_medium=act_formato_excel&amp;utm_source=act_formato_excel&amp;utm_campaign=act_formato_excel&amp;utm_content=act_formato_excel_link" TargetMode="External"/><Relationship Id="rId1487" Type="http://schemas.openxmlformats.org/officeDocument/2006/relationships/hyperlink" Target="https://actualicese.com/demanda-para-iniciar-proceso-ordinario-laboral/?referer=L-excel-formato&amp;utm_medium=act_formato_excel&amp;utm_source=act_formato_excel&amp;utm_campaign=act_formato_excel&amp;utm_content=act_formato_excel_link" TargetMode="External"/><Relationship Id="rId1694" Type="http://schemas.openxmlformats.org/officeDocument/2006/relationships/hyperlink" Target="https://actualicese.com/convertidor-de-uvt/?referer=L-excel-formato&amp;utm_medium=act_formato_excel&amp;utm_source=act_formato_excel&amp;utm_campaign=act_formato_excel&amp;utm_content=act_formato_excel_link" TargetMode="External"/><Relationship Id="rId2300" Type="http://schemas.openxmlformats.org/officeDocument/2006/relationships/hyperlink" Target="https://actualicese.com/modelos-y-formatos-acuerdo-de-confidencialidad/?referer=L-excel-formato&amp;utm_medium=act_formato_excel&amp;utm_source=act_formato_excel&amp;utm_campaign=act_formato_excel&amp;utm_content=act_formato_excel_link" TargetMode="External"/><Relationship Id="rId717" Type="http://schemas.openxmlformats.org/officeDocument/2006/relationships/hyperlink" Target="https://actualicese.com/formulario-210-de-declaracion-de-renta-ano-gravable-2019-residentes-no-obligados-a-llevar-contabilidad/?referer=L-excel-formato&amp;utm_medium=act_formato_excel&amp;utm_source=act_formato_excel&amp;utm_campaign=act_formato_excel&amp;utm_content=act_formato_excel_link" TargetMode="External"/><Relationship Id="rId924" Type="http://schemas.openxmlformats.org/officeDocument/2006/relationships/hyperlink" Target="https://actualicese.com/solicitud-de-empleo/?referer=L-excel-formato&amp;utm_medium=act_formato_excel&amp;utm_source=act_formato_excel&amp;utm_campaign=act_formato_excel&amp;utm_content=act_formato_excel_link" TargetMode="External"/><Relationship Id="rId1347" Type="http://schemas.openxmlformats.org/officeDocument/2006/relationships/hyperlink" Target="https://actualicese.com/retencion-en-la-fuente-con-procedimiento-1-para-asalariados-y-demas-empleados-durante-el-2016/?referer=L-excel-formato&amp;utm_medium=act_formato_excel&amp;utm_source=act_formato_excel&amp;utm_campaign=act_formato_excel&amp;utm_content=act_formato_excel_link" TargetMode="External"/><Relationship Id="rId1554" Type="http://schemas.openxmlformats.org/officeDocument/2006/relationships/hyperlink" Target="https://actualicese.com/retencion-en-la-fuente-con-procedimiento-1-a-asalariados-y-demas-empleados-durante-el-2014/?referer=L-excel-formato&amp;utm_medium=act_formato_excel&amp;utm_source=act_formato_excel&amp;utm_campaign=act_formato_excel&amp;utm_content=act_formato_excel_link" TargetMode="External"/><Relationship Id="rId1761" Type="http://schemas.openxmlformats.org/officeDocument/2006/relationships/hyperlink" Target="https://actualicese.com/responsabilidad-en-seguridad-social-de-trabajadores-independientes/?referer=L-excel-formato&amp;utm_medium=act_formato_excel&amp;utm_source=act_formato_excel&amp;utm_campaign=act_formato_excel&amp;utm_content=act_formato_excel_link" TargetMode="External"/><Relationship Id="rId1999" Type="http://schemas.openxmlformats.org/officeDocument/2006/relationships/hyperlink" Target="https://actualicese.com/modelo-de-memorial-para-solicitarle-al-juez-librar-medida-cautelar/?referer=L-excel-formato&amp;utm_medium=act_formato_excel&amp;utm_source=act_formato_excel&amp;utm_campaign=act_formato_excel&amp;utm_content=act_formato_excel_link" TargetMode="External"/><Relationship Id="rId53" Type="http://schemas.openxmlformats.org/officeDocument/2006/relationships/hyperlink" Target="https://actualicese.com/liquidador-en-excel-para-calcular-la-contribucion-2022-a-la-supersociedades/?referer=L-excel-formato&amp;utm_medium=act_formato_excel&amp;utm_source=act_formato_excel&amp;utm_campaign=act_formato_excel&amp;utm_content=act_formato_excel_link" TargetMode="External"/><Relationship Id="rId1207" Type="http://schemas.openxmlformats.org/officeDocument/2006/relationships/hyperlink" Target="https://actualicese.com/contrato-de-trabajo-con-salario-integral/?referer=L-excel-formato&amp;utm_medium=act_formato_excel&amp;utm_source=act_formato_excel&amp;utm_campaign=act_formato_excel&amp;utm_content=act_formato_excel_link" TargetMode="External"/><Relationship Id="rId1414" Type="http://schemas.openxmlformats.org/officeDocument/2006/relationships/hyperlink" Target="https://actualicese.com/modelo-liquidacion-trabajadores-periodos-inferiores-a-30-dias/?referer=L-excel-formato&amp;utm_medium=act_formato_excel&amp;utm_source=act_formato_excel&amp;utm_campaign=act_formato_excel&amp;utm_content=act_formato_excel_link" TargetMode="External"/><Relationship Id="rId1621" Type="http://schemas.openxmlformats.org/officeDocument/2006/relationships/hyperlink" Target="https://actualicese.com/word-diferencias-entre-contribuyentes-y-no-contribuyentes-del-impuesto-sobre-la-renta-y-complementarios/?referer=L-excel-formato&amp;utm_medium=act_formato_excel&amp;utm_source=act_formato_excel&amp;utm_campaign=act_formato_excel&amp;utm_content=act_formato_excel_link" TargetMode="External"/><Relationship Id="rId1859" Type="http://schemas.openxmlformats.org/officeDocument/2006/relationships/hyperlink" Target="https://actualicese.com/plantilla-del-formato-1008-para-el-reporte-de-exogena-2022-informacion-de-cuentas-por-cobrar/?referer=L-excel-formato&amp;utm_medium=act_formato_excel&amp;utm_source=act_formato_excel&amp;utm_campaign=act_formato_excel&amp;utm_content=act_formato_excel_link" TargetMode="External"/><Relationship Id="rId1719" Type="http://schemas.openxmlformats.org/officeDocument/2006/relationships/hyperlink" Target="https://actualicese.com/liquidador-modelo-en-excel-para-calcular-la-nueva-tasa-minima-de-tributacion-de-las-personas-juridicas-segun-reforma-tributaria-2022/?referer=L-excel-formato&amp;utm_medium=act_formato_excel&amp;utm_source=act_formato_excel&amp;utm_campaign=act_formato_excel&amp;utm_content=act_formato_excel_link" TargetMode="External"/><Relationship Id="rId1926" Type="http://schemas.openxmlformats.org/officeDocument/2006/relationships/hyperlink" Target="https://actualicese.com/poder-de-representacion-en-asamblea-de-accionistas-o-junta-de-socios/?referer=L-excel-formato&amp;utm_medium=act_formato_excel&amp;utm_source=act_formato_excel&amp;utm_campaign=act_formato_excel&amp;utm_content=act_formato_excel_link" TargetMode="External"/><Relationship Id="rId2090" Type="http://schemas.openxmlformats.org/officeDocument/2006/relationships/hyperlink" Target="https://actualicese.com/beneficio-de-auditoria-para-personas-naturales-ag-2022-casos-practicos-en-excel/?referer=L-excel-formato&amp;utm_medium=act_formato_excel&amp;utm_source=act_formato_excel&amp;utm_campaign=act_formato_excel&amp;utm_content=act_formato_excel_link" TargetMode="External"/><Relationship Id="rId2188" Type="http://schemas.openxmlformats.org/officeDocument/2006/relationships/hyperlink" Target="https://actualicese.com/listado-de-actividades-economicas-codigos-ciiu/?referer=L-excel-formato&amp;utm_medium=act_formato_excel&amp;utm_source=act_formato_excel&amp;utm_campaign=act_formato_excel&amp;utm_content=act_formato_excel_link" TargetMode="External"/><Relationship Id="rId2395" Type="http://schemas.openxmlformats.org/officeDocument/2006/relationships/hyperlink" Target="https://actualicese.com/impuesto-diferido-en-la-depreciacion-de-propiedad-planta-y-equipo-caso-practico-en-excel/?referer=L-excel-formato&amp;utm_medium=act_formato_excel&amp;utm_source=act_formato_excel&amp;utm_campaign=act_formato_excel&amp;utm_content=act_formato_excel_link" TargetMode="External"/><Relationship Id="rId367" Type="http://schemas.openxmlformats.org/officeDocument/2006/relationships/hyperlink" Target="https://actualicese.com/reunion-de-asamblea-general-para-constituir-una-empresa-o-fundacion/?referer=L-excel-formato&amp;utm_medium=act_formato_excel&amp;utm_source=act_formato_excel&amp;utm_campaign=act_formato_excel&amp;utm_content=act_formato_excel_link" TargetMode="External"/><Relationship Id="rId574" Type="http://schemas.openxmlformats.org/officeDocument/2006/relationships/hyperlink" Target="https://actualicese.com/cuestionario-para-clasificar-una-obligacion-como-provision-o-pasivo-contingente/?referer=L-excel-formato&amp;utm_medium=act_formato_excel&amp;utm_source=act_formato_excel&amp;utm_campaign=act_formato_excel&amp;utm_content=act_formato_excel_link" TargetMode="External"/><Relationship Id="rId2048" Type="http://schemas.openxmlformats.org/officeDocument/2006/relationships/hyperlink" Target="https://actualicese.com/liquidador-caso-practico-en-excel-de-impuesto-diferido-por-acciones-medidas-a-valor-razonable/?referer=L-excel-formato&amp;utm_medium=act_formato_excel&amp;utm_source=act_formato_excel&amp;utm_campaign=act_formato_excel&amp;utm_content=act_formato_excel_link" TargetMode="External"/><Relationship Id="rId2255" Type="http://schemas.openxmlformats.org/officeDocument/2006/relationships/hyperlink" Target="https://actualicese.com/utilidad-por-venta-de-activo-fijo-depreciable-que-sera-renta-por-recuperacion-de-deducciones/?referer=L-excel-formato&amp;utm_medium=act_formato_excel&amp;utm_source=act_formato_excel&amp;utm_campaign=act_formato_excel&amp;utm_content=act_formato_excel_link" TargetMode="External"/><Relationship Id="rId227" Type="http://schemas.openxmlformats.org/officeDocument/2006/relationships/hyperlink" Target="https://actualicese.com/depuracion-del-impuesto-de-ganancias-ocasionales-bajo-los-4-escenarios-posibles-casos-practicos-en-excel/?referer=L-excel-formato&amp;utm_medium=act_formato_excel&amp;utm_source=act_formato_excel&amp;utm_campaign=act_formato_excel&amp;utm_content=act_formato_excel_link" TargetMode="External"/><Relationship Id="rId781" Type="http://schemas.openxmlformats.org/officeDocument/2006/relationships/hyperlink" Target="https://actualicese.com/calculo-del-costo-de-renovacion-de-matricula-mercantil-y-de-establecimientos-de-comercio-ano-2020/?referer=L-excel-formato&amp;utm_medium=act_formato_excel&amp;utm_source=act_formato_excel&amp;utm_campaign=act_formato_excel&amp;utm_content=act_formato_excel_link" TargetMode="External"/><Relationship Id="rId879" Type="http://schemas.openxmlformats.org/officeDocument/2006/relationships/hyperlink" Target="https://actualicese.com/cambios-en-la-tributacion-sobre-dividendos-luego-de-la-ley-de-financiamiento/?referer=L-excel-formato&amp;utm_medium=act_formato_excel&amp;utm_source=act_formato_excel&amp;utm_campaign=act_formato_excel&amp;utm_content=act_formato_excel_link" TargetMode="External"/><Relationship Id="rId434" Type="http://schemas.openxmlformats.org/officeDocument/2006/relationships/hyperlink" Target="https://actualicese.com/informe-del-revisor-fiscal-dirigido-a-la-asamblea-de-accionistas-o-junta-de-socios/?referer=L-excel-formato&amp;utm_medium=act_formato_excel&amp;utm_source=act_formato_excel&amp;utm_campaign=act_formato_excel&amp;utm_content=act_formato_excel_link" TargetMode="External"/><Relationship Id="rId641" Type="http://schemas.openxmlformats.org/officeDocument/2006/relationships/hyperlink" Target="https://actualicese.com/incidente-de-desacato-de-accion-de-tutela/?referer=L-excel-formato&amp;utm_medium=act_formato_excel&amp;utm_source=act_formato_excel&amp;utm_campaign=act_formato_excel&amp;utm_content=act_formato_excel_link" TargetMode="External"/><Relationship Id="rId739" Type="http://schemas.openxmlformats.org/officeDocument/2006/relationships/hyperlink" Target="https://actualicese.com/solicitud-de-no-cobro-del-iva-en-arrendamiento-de-local-o-establecimiento-comercial/?referer=L-excel-formato&amp;utm_medium=act_formato_excel&amp;utm_source=act_formato_excel&amp;utm_campaign=act_formato_excel&amp;utm_content=act_formato_excel_link" TargetMode="External"/><Relationship Id="rId1064" Type="http://schemas.openxmlformats.org/officeDocument/2006/relationships/hyperlink" Target="https://actualicese.com/demanda-para-iniciar-proceso-ejecutivo-laboral/?referer=L-excel-formato&amp;utm_medium=act_formato_excel&amp;utm_source=act_formato_excel&amp;utm_campaign=act_formato_excel&amp;utm_content=act_formato_excel_link" TargetMode="External"/><Relationship Id="rId1271" Type="http://schemas.openxmlformats.org/officeDocument/2006/relationships/hyperlink" Target="https://actualicese.com/calculo-de-intereses-presuntivos-por-prestamos-en-dinero-a-socios-durante-el-2015/?referer=L-excel-formato&amp;utm_medium=act_formato_excel&amp;utm_source=act_formato_excel&amp;utm_campaign=act_formato_excel&amp;utm_content=act_formato_excel_link" TargetMode="External"/><Relationship Id="rId1369" Type="http://schemas.openxmlformats.org/officeDocument/2006/relationships/hyperlink" Target="https://actualicese.com/normatividad-reglamentaria-del-cree/?referer=L-excel-formato&amp;utm_medium=act_formato_excel&amp;utm_source=act_formato_excel&amp;utm_campaign=act_formato_excel&amp;utm_content=act_formato_excel_link" TargetMode="External"/><Relationship Id="rId1576" Type="http://schemas.openxmlformats.org/officeDocument/2006/relationships/hyperlink" Target="https://actualicese.com/contrato-de-exw-ex-works/?referer=L-excel-formato&amp;utm_medium=act_formato_excel&amp;utm_source=act_formato_excel&amp;utm_campaign=act_formato_excel&amp;utm_content=act_formato_excel_link" TargetMode="External"/><Relationship Id="rId2115" Type="http://schemas.openxmlformats.org/officeDocument/2006/relationships/hyperlink" Target="https://actualicese.com/convertidor-de-uvt/?referer=L-excel-formato&amp;utm_medium=act_formato_excel&amp;utm_source=act_formato_excel&amp;utm_campaign=act_formato_excel&amp;utm_content=act_formato_excel_link" TargetMode="External"/><Relationship Id="rId2322" Type="http://schemas.openxmlformats.org/officeDocument/2006/relationships/hyperlink" Target="https://actualicese.com/liquidador-de-auxilio-de-incapacidad-valores-asumidos-por-el-empleador-la-eps-o-la-arl/?referer=L-excel-formato&amp;utm_medium=act_formato_excel&amp;utm_source=act_formato_excel&amp;utm_campaign=act_formato_excel&amp;utm_content=act_formato_excel_link" TargetMode="External"/><Relationship Id="rId501" Type="http://schemas.openxmlformats.org/officeDocument/2006/relationships/hyperlink" Target="https://actualicese.com/lista-de-chequeo-de-revelaciones-seccion-12-otros-temas-relacionados-con-los-instrumentos-financieros/?referer=L-excel-formato&amp;utm_medium=act_formato_excel&amp;utm_source=act_formato_excel&amp;utm_campaign=act_formato_excel&amp;utm_content=act_formato_excel_link" TargetMode="External"/><Relationship Id="rId946" Type="http://schemas.openxmlformats.org/officeDocument/2006/relationships/hyperlink" Target="https://actualicese.com/poder-de-sustitucion/?referer=L-excel-formato&amp;utm_medium=act_formato_excel&amp;utm_source=act_formato_excel&amp;utm_campaign=act_formato_excel&amp;utm_content=act_formato_excel_link" TargetMode="External"/><Relationship Id="rId1131" Type="http://schemas.openxmlformats.org/officeDocument/2006/relationships/hyperlink" Target="https://actualicese.com/formatos-1011-1012-y-2275-por-2016-reportes-de-otros-datos-en-renta-o-en-ingresos-y-patrimonio/?referer=L-excel-formato&amp;utm_medium=act_formato_excel&amp;utm_source=act_formato_excel&amp;utm_campaign=act_formato_excel&amp;utm_content=act_formato_excel_link" TargetMode="External"/><Relationship Id="rId1229" Type="http://schemas.openxmlformats.org/officeDocument/2006/relationships/hyperlink" Target="https://actualicese.com/cuota-mensual-en-el-pago-de-una-obligacion-financiera/?referer=L-excel-formato&amp;utm_medium=act_formato_excel&amp;utm_source=act_formato_excel&amp;utm_campaign=act_formato_excel&amp;utm_content=act_formato_excel_link" TargetMode="External"/><Relationship Id="rId1783" Type="http://schemas.openxmlformats.org/officeDocument/2006/relationships/hyperlink" Target="https://actualicese.com/manifestacion-sobre-las-pruebas-de-cumplimiento-y-sustantivas-en-informe-de-control-interno/?referer=L-excel-formato&amp;utm_medium=act_formato_excel&amp;utm_source=act_formato_excel&amp;utm_campaign=act_formato_excel&amp;utm_content=act_formato_excel_link" TargetMode="External"/><Relationship Id="rId1990" Type="http://schemas.openxmlformats.org/officeDocument/2006/relationships/hyperlink" Target="https://actualicese.com/simulador-con-las-diferencias-permanentes-temporales-y-temporarias-efectos-en-la-utilidad-contable-y-fiscal/?referer=L-excel-formato&amp;utm_medium=act_formato_excel&amp;utm_source=act_formato_excel&amp;utm_campaign=act_formato_excel&amp;utm_content=act_formato_excel_link" TargetMode="External"/><Relationship Id="rId75" Type="http://schemas.openxmlformats.org/officeDocument/2006/relationships/hyperlink" Target="https://actualicese.com/modelo-de-citacion-a-descargos/?referer=L-excel-formato&amp;utm_medium=act_formato_excel&amp;utm_source=act_formato_excel&amp;utm_campaign=act_formato_excel&amp;utm_content=act_formato_excel_link" TargetMode="External"/><Relationship Id="rId806" Type="http://schemas.openxmlformats.org/officeDocument/2006/relationships/hyperlink" Target="https://actualicese.com/ingresos-que-no-se-consideran-de-fuente-nacional-periodo-gravable-2019/?referer=L-excel-formato&amp;utm_medium=act_formato_excel&amp;utm_source=act_formato_excel&amp;utm_campaign=act_formato_excel&amp;utm_content=act_formato_excel_link" TargetMode="External"/><Relationship Id="rId1436" Type="http://schemas.openxmlformats.org/officeDocument/2006/relationships/hyperlink" Target="https://actualicese.com/revelaciones-exigidas-por-la-nic-1-lista-de-chequeo/?referer=L-excel-formato&amp;utm_medium=act_formato_excel&amp;utm_source=act_formato_excel&amp;utm_campaign=act_formato_excel&amp;utm_content=act_formato_excel_link" TargetMode="External"/><Relationship Id="rId1643" Type="http://schemas.openxmlformats.org/officeDocument/2006/relationships/hyperlink" Target="https://actualicese.com/simulador-de-estado-de-situacion-financiera-analisis-comparativo/?referer=L-excel-formato&amp;utm_medium=act_formato_excel&amp;utm_source=act_formato_excel&amp;utm_campaign=act_formato_excel&amp;utm_content=act_formato_excel_link" TargetMode="External"/><Relationship Id="rId1850" Type="http://schemas.openxmlformats.org/officeDocument/2006/relationships/hyperlink" Target="https://actualicese.com/reunion-de-asamblea-general-para-constituir-una-empresa-o-fundacion/?referer=L-excel-formato&amp;utm_medium=act_formato_excel&amp;utm_source=act_formato_excel&amp;utm_campaign=act_formato_excel&amp;utm_content=act_formato_excel_link" TargetMode="External"/><Relationship Id="rId1503" Type="http://schemas.openxmlformats.org/officeDocument/2006/relationships/hyperlink" Target="https://actualicese.com/factura-de-venta/?referer=L-excel-formato&amp;utm_medium=act_formato_excel&amp;utm_source=act_formato_excel&amp;utm_campaign=act_formato_excel&amp;utm_content=act_formato_excel_link" TargetMode="External"/><Relationship Id="rId1710" Type="http://schemas.openxmlformats.org/officeDocument/2006/relationships/hyperlink" Target="https://actualicese.com/costo-de-la-contratacion-de-un-trabajador-que-devenga-un-salario-minimo-caso-practico/?referer=L-excel-formato&amp;utm_medium=act_formato_excel&amp;utm_source=act_formato_excel&amp;utm_campaign=act_formato_excel&amp;utm_content=act_formato_excel_link" TargetMode="External"/><Relationship Id="rId1948" Type="http://schemas.openxmlformats.org/officeDocument/2006/relationships/hyperlink" Target="https://actualicese.com/guia-en-word-con-las-revelaciones-de-la-informacion-financiera-a-presentar-segun-el-estandar-para-pymes/?referer=L-excel-formato&amp;utm_medium=act_formato_excel&amp;utm_source=act_formato_excel&amp;utm_campaign=act_formato_excel&amp;utm_content=act_formato_excel_link" TargetMode="External"/><Relationship Id="rId291" Type="http://schemas.openxmlformats.org/officeDocument/2006/relationships/hyperlink" Target="https://actualicese.com/plantilla-del-formato-1004-de-exogena-de-2021-reporte-de-descuentos-al-impuesto-de-renta-y-el-simple/?referer=L-excel-formato&amp;utm_medium=act_formato_excel&amp;utm_source=act_formato_excel&amp;utm_campaign=act_formato_excel&amp;utm_content=act_formato_excel_link" TargetMode="External"/><Relationship Id="rId1808" Type="http://schemas.openxmlformats.org/officeDocument/2006/relationships/hyperlink" Target="https://actualicese.com/plantilla-del-formato-2276-2280-y-2743-para-el-reporte-de-informacion-exogena-de-2022/?referer=L-excel-formato&amp;utm_medium=act_formato_excel&amp;utm_source=act_formato_excel&amp;utm_campaign=act_formato_excel&amp;utm_content=act_formato_excel_link" TargetMode="External"/><Relationship Id="rId151" Type="http://schemas.openxmlformats.org/officeDocument/2006/relationships/hyperlink" Target="https://actualicese.com/liquidador-y-desprendible-de-nomina-basico-en-excel/?referer=L-excel-formato&amp;utm_medium=act_formato_excel&amp;utm_source=act_formato_excel&amp;utm_campaign=act_formato_excel&amp;utm_content=act_formato_excel_link" TargetMode="External"/><Relationship Id="rId389" Type="http://schemas.openxmlformats.org/officeDocument/2006/relationships/hyperlink" Target="https://actualicese.com/tabla-para-liquidar-indemnizaciones-por-perdida-de-capacidad-laboral/?referer=L-excel-formato&amp;utm_medium=act_formato_excel&amp;utm_source=act_formato_excel&amp;utm_campaign=act_formato_excel&amp;utm_content=act_formato_excel_link" TargetMode="External"/><Relationship Id="rId596" Type="http://schemas.openxmlformats.org/officeDocument/2006/relationships/hyperlink" Target="https://actualicese.com/acta-de-analisis-de-rotacion-del-equipo-de-auditoria-o-revisoria-fiscal/?referer=L-excel-formato&amp;utm_medium=act_formato_excel&amp;utm_source=act_formato_excel&amp;utm_campaign=act_formato_excel&amp;utm_content=act_formato_excel_link" TargetMode="External"/><Relationship Id="rId2277" Type="http://schemas.openxmlformats.org/officeDocument/2006/relationships/hyperlink" Target="https://actualicese.com/modelo-para-definir-si-una-persona-natural-esta-obligada-a-declarar-renta/?referer=L-excel-formato&amp;utm_medium=act_formato_excel&amp;utm_source=act_formato_excel&amp;utm_campaign=act_formato_excel&amp;utm_content=act_formato_excel_link" TargetMode="External"/><Relationship Id="rId249" Type="http://schemas.openxmlformats.org/officeDocument/2006/relationships/hyperlink" Target="https://actualicese.com/simulador-del-impuesto-para-dividendos-y-participaciones-gravados-de-2016-y-anteriores/?referer=L-excel-formato&amp;utm_medium=act_formato_excel&amp;utm_source=act_formato_excel&amp;utm_campaign=act_formato_excel&amp;utm_content=act_formato_excel_link" TargetMode="External"/><Relationship Id="rId456" Type="http://schemas.openxmlformats.org/officeDocument/2006/relationships/hyperlink" Target="https://actualicese.com/solicitud-de-retiro-parcial-de-cesantias-para-vivienda/?referer=L-excel-formato&amp;utm_medium=act_formato_excel&amp;utm_source=act_formato_excel&amp;utm_campaign=act_formato_excel&amp;utm_content=act_formato_excel_link" TargetMode="External"/><Relationship Id="rId663" Type="http://schemas.openxmlformats.org/officeDocument/2006/relationships/hyperlink" Target="https://actualicese.com/comparativo-de-normas-tributarias-afectadas-con-las-leyes-2068-2069-y-2070-de-diciembre-31-de-2020/?referer=L-excel-formato&amp;utm_medium=act_formato_excel&amp;utm_source=act_formato_excel&amp;utm_campaign=act_formato_excel&amp;utm_content=act_formato_excel_link" TargetMode="External"/><Relationship Id="rId870" Type="http://schemas.openxmlformats.org/officeDocument/2006/relationships/hyperlink" Target="https://actualicese.com/guia-lista-de-chequeo-estandares-minimos-de-seguridad-para-empresas-grandes-y-medianas/?referer=L-excel-formato&amp;utm_medium=act_formato_excel&amp;utm_source=act_formato_excel&amp;utm_campaign=act_formato_excel&amp;utm_content=act_formato_excel_link" TargetMode="External"/><Relationship Id="rId1086" Type="http://schemas.openxmlformats.org/officeDocument/2006/relationships/hyperlink" Target="https://actualicese.com/contrato-de-obra-para-construccion/?referer=L-excel-formato&amp;utm_medium=act_formato_excel&amp;utm_source=act_formato_excel&amp;utm_campaign=act_formato_excel&amp;utm_content=act_formato_excel_link" TargetMode="External"/><Relationship Id="rId1293" Type="http://schemas.openxmlformats.org/officeDocument/2006/relationships/hyperlink" Target="https://actualicese.com/calculo-de-intereses-de-mora-sobre-obligaciones-tributarias/?referer=L-excel-formato&amp;utm_medium=act_formato_excel&amp;utm_source=act_formato_excel&amp;utm_campaign=act_formato_excel&amp;utm_content=act_formato_excel_link" TargetMode="External"/><Relationship Id="rId2137" Type="http://schemas.openxmlformats.org/officeDocument/2006/relationships/hyperlink" Target="https://actualicese.com/liquidador-en-excel-de-retencion-en-la-fuente-con-procedimiento-1-durante-2024-sobre-rentas-de-trabajo-laborales-y-no-laborales/?referer=L-excel-formato&amp;utm_medium=act_formato_excel&amp;utm_source=act_formato_excel&amp;utm_campaign=act_formato_excel&amp;utm_content=act_formato_excel_link" TargetMode="External"/><Relationship Id="rId2344" Type="http://schemas.openxmlformats.org/officeDocument/2006/relationships/hyperlink" Target="https://actualicese.com/formato-de-circularizacion-de-proveedores-automatizado/?referer=L-excel-formato&amp;utm_medium=act_formato_excel&amp;utm_source=act_formato_excel&amp;utm_campaign=act_formato_excel&amp;utm_content=act_formato_excel_link" TargetMode="External"/><Relationship Id="rId109" Type="http://schemas.openxmlformats.org/officeDocument/2006/relationships/hyperlink" Target="https://actualicese.com/modelo-de-carta-de-solicitud-de-correccion-de-informacion-exogena/?referer=L-excel-formato&amp;utm_medium=act_formato_excel&amp;utm_source=act_formato_excel&amp;utm_campaign=act_formato_excel&amp;utm_content=act_formato_excel_link" TargetMode="External"/><Relationship Id="rId316" Type="http://schemas.openxmlformats.org/officeDocument/2006/relationships/hyperlink" Target="https://actualicese.com/modelo-certificacion-de-disminucion-de-inventarios-por-obsolescencia/?referer=L-excel-formato&amp;utm_medium=act_formato_excel&amp;utm_source=act_formato_excel&amp;utm_campaign=act_formato_excel&amp;utm_content=act_formato_excel_link" TargetMode="External"/><Relationship Id="rId523" Type="http://schemas.openxmlformats.org/officeDocument/2006/relationships/hyperlink" Target="https://actualicese.com/lista-de-chequeo-para-revisar-el-control-de-calidad-en-un-encargo-de-auditoria/?referer=L-excel-formato&amp;utm_medium=act_formato_excel&amp;utm_source=act_formato_excel&amp;utm_campaign=act_formato_excel&amp;utm_content=act_formato_excel_link" TargetMode="External"/><Relationship Id="rId968" Type="http://schemas.openxmlformats.org/officeDocument/2006/relationships/hyperlink" Target="https://actualicese.com/clasificacion-general-de-personas-juridicas-en-relacion-con-el-impuesto-de-renta-por-el-2017/?referer=L-excel-formato&amp;utm_medium=act_formato_excel&amp;utm_source=act_formato_excel&amp;utm_campaign=act_formato_excel&amp;utm_content=act_formato_excel_link" TargetMode="External"/><Relationship Id="rId1153" Type="http://schemas.openxmlformats.org/officeDocument/2006/relationships/hyperlink" Target="https://actualicese.com/matricula-mercantil-y-establecimientos-de-comercio-costo-de-renovacion-ano-2017/?referer=L-excel-formato&amp;utm_medium=act_formato_excel&amp;utm_source=act_formato_excel&amp;utm_campaign=act_formato_excel&amp;utm_content=act_formato_excel_link" TargetMode="External"/><Relationship Id="rId1598" Type="http://schemas.openxmlformats.org/officeDocument/2006/relationships/hyperlink" Target="https://actualicese.com/citacion-a-asamblea-de-propietarios-de-propiedad-horizontal/?referer=L-excel-formato&amp;utm_medium=act_formato_excel&amp;utm_source=act_formato_excel&amp;utm_campaign=act_formato_excel&amp;utm_content=act_formato_excel_link" TargetMode="External"/><Relationship Id="rId2204" Type="http://schemas.openxmlformats.org/officeDocument/2006/relationships/hyperlink" Target="https://actualicese.com/poder-para-adelantar-sucesion-ante-notaria/?referer=L-excel-formato&amp;utm_medium=act_formato_excel&amp;utm_source=act_formato_excel&amp;utm_campaign=act_formato_excel&amp;utm_content=act_formato_excel_link" TargetMode="External"/><Relationship Id="rId97" Type="http://schemas.openxmlformats.org/officeDocument/2006/relationships/hyperlink" Target="https://actualicese.com/calculos-de-operaciones-de-refinanciacion-de-deuda-metodo-ecuacion-de-valor-equivalente/?referer=L-excel-formato&amp;utm_medium=act_formato_excel&amp;utm_source=act_formato_excel&amp;utm_campaign=act_formato_excel&amp;utm_content=act_formato_excel_link" TargetMode="External"/><Relationship Id="rId730" Type="http://schemas.openxmlformats.org/officeDocument/2006/relationships/hyperlink" Target="https://actualicese.com/retencion-en-la-fuente-sobre-pagos-laborales-en-junio-de-2020-procedimiento-2/?referer=L-excel-formato&amp;utm_medium=act_formato_excel&amp;utm_source=act_formato_excel&amp;utm_campaign=act_formato_excel&amp;utm_content=act_formato_excel_link" TargetMode="External"/><Relationship Id="rId828" Type="http://schemas.openxmlformats.org/officeDocument/2006/relationships/hyperlink" Target="https://actualicese.com/consecuencias-derivadas-de-la-obligacion-de-llevar-contabilidad/?referer=L-excel-formato&amp;utm_medium=act_formato_excel&amp;utm_source=act_formato_excel&amp;utm_campaign=act_formato_excel&amp;utm_content=act_formato_excel_link" TargetMode="External"/><Relationship Id="rId1013" Type="http://schemas.openxmlformats.org/officeDocument/2006/relationships/hyperlink" Target="https://actualicese.com/escritura-publica-de-disolucion-de-sociedad-comercial/?referer=L-excel-formato&amp;utm_medium=act_formato_excel&amp;utm_source=act_formato_excel&amp;utm_campaign=act_formato_excel&amp;utm_content=act_formato_excel_link" TargetMode="External"/><Relationship Id="rId1360" Type="http://schemas.openxmlformats.org/officeDocument/2006/relationships/hyperlink" Target="https://actualicese.com/documento-de-orientacion-tecnica-014-entidades-sin-animo-de-lucro/?referer=L-excel-formato&amp;utm_medium=act_formato_excel&amp;utm_source=act_formato_excel&amp;utm_campaign=act_formato_excel&amp;utm_content=act_formato_excel_link" TargetMode="External"/><Relationship Id="rId1458" Type="http://schemas.openxmlformats.org/officeDocument/2006/relationships/hyperlink" Target="https://actualicese.com/modelo-de-contrato-de-mandato/?referer=L-excel-formato&amp;utm_medium=act_formato_excel&amp;utm_source=act_formato_excel&amp;utm_campaign=act_formato_excel&amp;utm_content=act_formato_excel_link" TargetMode="External"/><Relationship Id="rId1665" Type="http://schemas.openxmlformats.org/officeDocument/2006/relationships/hyperlink" Target="https://actualicese.com/modelo-en-word-de-carta-de-terminacion-del-contrato-de-trabajo-sin-justa-causa-por-parte-del-empleador/?referer=L-excel-formato&amp;utm_medium=act_formato_excel&amp;utm_source=act_formato_excel&amp;utm_campaign=act_formato_excel&amp;utm_content=act_formato_excel_link" TargetMode="External"/><Relationship Id="rId1872" Type="http://schemas.openxmlformats.org/officeDocument/2006/relationships/hyperlink" Target="https://actualicese.com/plantilla-en-excel-del-formulario-350-ag-2023-declaracion-de-retencion-en-la-fuente/?referer=L-excel-formato&amp;utm_medium=act_formato_excel&amp;utm_source=act_formato_excel&amp;utm_campaign=act_formato_excel&amp;utm_content=act_formato_excel_link" TargetMode="External"/><Relationship Id="rId2411" Type="http://schemas.openxmlformats.org/officeDocument/2006/relationships/hyperlink" Target="https://actualicese.com/guia-modelo-de-notas-a-los-estados-financieros-estado-de-resultados/?referer=L-excel-formato&amp;utm_medium=act_formato_excel&amp;utm_source=act_formato_excel&amp;utm_campaign=act_formato_excel&amp;utm_content=act_formato_excel_link" TargetMode="External"/><Relationship Id="rId1220" Type="http://schemas.openxmlformats.org/officeDocument/2006/relationships/hyperlink" Target="https://actualicese.com/modelos-de-autorizacion-para-obtener-renovar-o-cancelar-la-firma-digital/?referer=L-excel-formato&amp;utm_medium=act_formato_excel&amp;utm_source=act_formato_excel&amp;utm_campaign=act_formato_excel&amp;utm_content=act_formato_excel_link" TargetMode="External"/><Relationship Id="rId1318" Type="http://schemas.openxmlformats.org/officeDocument/2006/relationships/hyperlink" Target="https://actualicese.com/formato-1003-reportes-de-retenciones-que-le-practicaron-a-la-persona-o-entidad-informante-durante-el-2015/?referer=L-excel-formato&amp;utm_medium=act_formato_excel&amp;utm_source=act_formato_excel&amp;utm_campaign=act_formato_excel&amp;utm_content=act_formato_excel_link" TargetMode="External"/><Relationship Id="rId1525" Type="http://schemas.openxmlformats.org/officeDocument/2006/relationships/hyperlink" Target="https://actualicese.com/guia-cronograma-para-aplicacion-de-estandares-niif/?referer=L-excel-formato&amp;utm_medium=act_formato_excel&amp;utm_source=act_formato_excel&amp;utm_campaign=act_formato_excel&amp;utm_content=act_formato_excel_link" TargetMode="External"/><Relationship Id="rId1732" Type="http://schemas.openxmlformats.org/officeDocument/2006/relationships/hyperlink" Target="https://actualicese.com/dictamen-de-revisor-fiscal-con-parrafos-de-cuestiones-clave-y-otras-cuestiones/?referer=L-excel-formato&amp;utm_medium=act_formato_excel&amp;utm_source=act_formato_excel&amp;utm_campaign=act_formato_excel&amp;utm_content=act_formato_excel_link" TargetMode="External"/><Relationship Id="rId24" Type="http://schemas.openxmlformats.org/officeDocument/2006/relationships/hyperlink" Target="https://actualicese.com/modelo-de-contrato-de-prestacion-de-servicios/?referer=L-excel-formato&amp;utm_medium=act_formato_excel&amp;utm_source=act_formato_excel&amp;utm_campaign=act_formato_excel&amp;utm_content=act_formato_excel_link" TargetMode="External"/><Relationship Id="rId2299" Type="http://schemas.openxmlformats.org/officeDocument/2006/relationships/hyperlink" Target="https://actualicese.com/liquidador-excel-del-formulario-110-para-la-declaracion-de-renta-de-personas-naturales-no-residentes-que-no-llevan-contabilidad-ag-2023/?referer=L-excel-formato&amp;utm_medium=act_formato_excel&amp;utm_source=act_formato_excel&amp;utm_campaign=act_formato_excel&amp;utm_content=act_formato_excel_link" TargetMode="External"/><Relationship Id="rId173" Type="http://schemas.openxmlformats.org/officeDocument/2006/relationships/hyperlink" Target="https://actualicese.com/carta-de-bienvenida-para-un-nuevo-trabajador/?referer=L-excel-formato&amp;utm_medium=act_formato_excel&amp;utm_source=act_formato_excel&amp;utm_campaign=act_formato_excel&amp;utm_content=act_formato_excel_link" TargetMode="External"/><Relationship Id="rId380" Type="http://schemas.openxmlformats.org/officeDocument/2006/relationships/hyperlink" Target="https://actualicese.com/modelo-del-certificado-anual-para-socios-y-o-accionistas-por-el-ano-2021/?referer=L-excel-formato&amp;utm_medium=act_formato_excel&amp;utm_source=act_formato_excel&amp;utm_campaign=act_formato_excel&amp;utm_content=act_formato_excel_link" TargetMode="External"/><Relationship Id="rId2061" Type="http://schemas.openxmlformats.org/officeDocument/2006/relationships/hyperlink" Target="https://actualicese.com/listado-de-contribuyentes-inscritos-en-el-regimen-simple/?referer=L-excel-formato&amp;utm_medium=act_formato_excel&amp;utm_source=act_formato_excel&amp;utm_campaign=act_formato_excel&amp;utm_content=act_formato_excel_link" TargetMode="External"/><Relationship Id="rId240" Type="http://schemas.openxmlformats.org/officeDocument/2006/relationships/hyperlink" Target="https://actualicese.com/formulario-210-y-formato-2517-para-la-declaracion-de-renta-ag-2021-residentes-que-llevan-contabilidad/?referer=L-excel-formato&amp;utm_medium=act_formato_excel&amp;utm_source=act_formato_excel&amp;utm_campaign=act_formato_excel&amp;utm_content=act_formato_excel_link" TargetMode="External"/><Relationship Id="rId478" Type="http://schemas.openxmlformats.org/officeDocument/2006/relationships/hyperlink" Target="https://actualicese.com/casos-practicos-en-excel-sobre-ventas-en-los-dias-sin-iva/?referer=L-excel-formato&amp;utm_medium=act_formato_excel&amp;utm_source=act_formato_excel&amp;utm_campaign=act_formato_excel&amp;utm_content=act_formato_excel_link" TargetMode="External"/><Relationship Id="rId685" Type="http://schemas.openxmlformats.org/officeDocument/2006/relationships/hyperlink" Target="https://actualicese.com/calendario-de-implementacion-de-la-factura-electronica/?referer=L-excel-formato&amp;utm_medium=act_formato_excel&amp;utm_source=act_formato_excel&amp;utm_campaign=act_formato_excel&amp;utm_content=act_formato_excel_link" TargetMode="External"/><Relationship Id="rId892" Type="http://schemas.openxmlformats.org/officeDocument/2006/relationships/hyperlink" Target="https://actualicese.com/retencion-en-la-fuente-con-procedimiento-1-sobre-rentas-de-trabajo-durante-2019/?referer=L-excel-formato&amp;utm_medium=act_formato_excel&amp;utm_source=act_formato_excel&amp;utm_campaign=act_formato_excel&amp;utm_content=act_formato_excel_link" TargetMode="External"/><Relationship Id="rId2159" Type="http://schemas.openxmlformats.org/officeDocument/2006/relationships/hyperlink" Target="https://actualicese.com/sancion-por-extemporaneidad-despues-del-emplazamiento/?referer=L-excel-formato&amp;utm_medium=act_formato_excel&amp;utm_source=act_formato_excel&amp;utm_campaign=act_formato_excel&amp;utm_content=act_formato_excel_link" TargetMode="External"/><Relationship Id="rId2366" Type="http://schemas.openxmlformats.org/officeDocument/2006/relationships/hyperlink" Target="https://actualicese.com/contabilizacion-de-depreciacion-bajo-estandares-internacionales-casos-practicos-en-excel/?referer=L-excel-formato&amp;utm_medium=act_formato_excel&amp;utm_source=act_formato_excel&amp;utm_campaign=act_formato_excel&amp;utm_content=act_formato_excel_link" TargetMode="External"/><Relationship Id="rId100" Type="http://schemas.openxmlformats.org/officeDocument/2006/relationships/hyperlink" Target="https://actualicese.com/solicitud-de-inversion-de-capital/?referer=L-excel-formato&amp;utm_medium=act_formato_excel&amp;utm_source=act_formato_excel&amp;utm_campaign=act_formato_excel&amp;utm_content=act_formato_excel_link" TargetMode="External"/><Relationship Id="rId338" Type="http://schemas.openxmlformats.org/officeDocument/2006/relationships/hyperlink" Target="https://actualicese.com/clasificacion-de-las-personas-juridicas-frente-al-impuesto-de-renta-y-al-simple-ano-gravable-2021/?referer=L-excel-formato&amp;utm_medium=act_formato_excel&amp;utm_source=act_formato_excel&amp;utm_campaign=act_formato_excel&amp;utm_content=act_formato_excel_link" TargetMode="External"/><Relationship Id="rId545" Type="http://schemas.openxmlformats.org/officeDocument/2006/relationships/hyperlink" Target="https://actualicese.com/modelo-de-declaracion-de-confidencialidad-de-los-miembros-de-la-firma-de-auditoria/?referer=L-excel-formato&amp;utm_medium=act_formato_excel&amp;utm_source=act_formato_excel&amp;utm_campaign=act_formato_excel&amp;utm_content=act_formato_excel_link" TargetMode="External"/><Relationship Id="rId752" Type="http://schemas.openxmlformats.org/officeDocument/2006/relationships/hyperlink" Target="https://actualicese.com/guias-para-el-reporte-de-exogena-2019-descargalas-ya/?referer=L-excel-formato&amp;utm_medium=act_formato_excel&amp;utm_source=act_formato_excel&amp;utm_campaign=act_formato_excel&amp;utm_content=act_formato_excel_link" TargetMode="External"/><Relationship Id="rId1175" Type="http://schemas.openxmlformats.org/officeDocument/2006/relationships/hyperlink" Target="https://actualicese.com/guia-listado-de-bienes-y-servicios-cuya-clasificacion-frente-al-iva-fue-modificada-con-la-ley-1819/?referer=L-excel-formato&amp;utm_medium=act_formato_excel&amp;utm_source=act_formato_excel&amp;utm_campaign=act_formato_excel&amp;utm_content=act_formato_excel_link" TargetMode="External"/><Relationship Id="rId1382" Type="http://schemas.openxmlformats.org/officeDocument/2006/relationships/hyperlink" Target="https://actualicese.com/atencion-integral-en-seguridad-y-salud-en-el-trabajo-2015-dermatitis-de-origen-ocupacional/?referer=L-excel-formato&amp;utm_medium=act_formato_excel&amp;utm_source=act_formato_excel&amp;utm_campaign=act_formato_excel&amp;utm_content=act_formato_excel_link" TargetMode="External"/><Relationship Id="rId2019" Type="http://schemas.openxmlformats.org/officeDocument/2006/relationships/hyperlink" Target="https://actualicese.com/arqueo-caja-menor/?referer=L-excel-formato&amp;utm_medium=act_formato_excel&amp;utm_source=act_formato_excel&amp;utm_campaign=act_formato_excel&amp;utm_content=act_formato_excel_link" TargetMode="External"/><Relationship Id="rId2226" Type="http://schemas.openxmlformats.org/officeDocument/2006/relationships/hyperlink" Target="https://actualicese.com/liquidador-formulario-260-ag-2023-declaracion-anual-del-regimen-simple-personas-naturales-y-juridicas-que-llevan-contabilidad/?referer=L-excel-formato&amp;utm_medium=act_formato_excel&amp;utm_source=act_formato_excel&amp;utm_campaign=act_formato_excel&amp;utm_content=act_formato_excel_link" TargetMode="External"/><Relationship Id="rId2433" Type="http://schemas.openxmlformats.org/officeDocument/2006/relationships/hyperlink" Target="https://actualicese.com/cuadro-comparativo-con-la-estructura-del-sistema-de-pensiones-en-colombia-ley-100-de-1993-vs-ley-2381-de-2024/?referer=L-excel-formato&amp;utm_medium=act_formato_excel&amp;utm_source=act_formato_excel&amp;utm_campaign=act_formato_excel&amp;utm_content=act_formato_excel_link" TargetMode="External"/><Relationship Id="rId405" Type="http://schemas.openxmlformats.org/officeDocument/2006/relationships/hyperlink" Target="https://actualicese.com/liquidador-de-indemnizacion-por-despido-sin-justa-causa-para-contrato-fijo-u-obra-labor/?referer=L-excel-formato&amp;utm_medium=act_formato_excel&amp;utm_source=act_formato_excel&amp;utm_campaign=act_formato_excel&amp;utm_content=act_formato_excel_link" TargetMode="External"/><Relationship Id="rId612" Type="http://schemas.openxmlformats.org/officeDocument/2006/relationships/hyperlink" Target="https://actualicese.com/plantilla-de-los-formatos-2276-y-2280-para-el-reporte-de-informacion-exogena-de-2020/?referer=L-excel-formato&amp;utm_medium=act_formato_excel&amp;utm_source=act_formato_excel&amp;utm_campaign=act_formato_excel&amp;utm_content=act_formato_excel_link" TargetMode="External"/><Relationship Id="rId1035" Type="http://schemas.openxmlformats.org/officeDocument/2006/relationships/hyperlink" Target="https://actualicese.com/porcentaje-fijo-de-retencion-en-la-fuente-sobre-salarios-en-diciembre-de-2017-procedimiento-2/?referer=L-excel-formato&amp;utm_medium=act_formato_excel&amp;utm_source=act_formato_excel&amp;utm_campaign=act_formato_excel&amp;utm_content=act_formato_excel_link" TargetMode="External"/><Relationship Id="rId1242" Type="http://schemas.openxmlformats.org/officeDocument/2006/relationships/hyperlink" Target="https://actualicese.com/navegacion-en-el-marco-normativo-de-las-nai/?referer=L-excel-formato&amp;utm_medium=act_formato_excel&amp;utm_source=act_formato_excel&amp;utm_campaign=act_formato_excel&amp;utm_content=act_formato_excel_link" TargetMode="External"/><Relationship Id="rId1687" Type="http://schemas.openxmlformats.org/officeDocument/2006/relationships/hyperlink" Target="https://actualicese.com/modelo-para-analizar-el-valor-presente-y-el-valor-presente-neto-de-una-inversion/?referer=L-excel-formato&amp;utm_medium=act_formato_excel&amp;utm_source=act_formato_excel&amp;utm_campaign=act_formato_excel&amp;utm_content=act_formato_excel_link" TargetMode="External"/><Relationship Id="rId1894" Type="http://schemas.openxmlformats.org/officeDocument/2006/relationships/hyperlink" Target="https://actualicese.com/modelo-de-certificado-de-no-declarante-del-impuesto-de-renta-y-complementario-ag-2022/?referer=L-excel-formato&amp;utm_medium=act_formato_excel&amp;utm_source=act_formato_excel&amp;utm_campaign=act_formato_excel&amp;utm_content=act_formato_excel_link" TargetMode="External"/><Relationship Id="rId917" Type="http://schemas.openxmlformats.org/officeDocument/2006/relationships/hyperlink" Target="https://actualicese.com/modelo-recurso-de-suplica-proceso-laboral/?referer=L-excel-formato&amp;utm_medium=act_formato_excel&amp;utm_source=act_formato_excel&amp;utm_campaign=act_formato_excel&amp;utm_content=act_formato_excel_link" TargetMode="External"/><Relationship Id="rId1102" Type="http://schemas.openxmlformats.org/officeDocument/2006/relationships/hyperlink" Target="https://actualicese.com/clasificacion-tributaria-de-las-personas-naturales-y-sucesiones-iliquidas-por-el-ano-2016/?referer=L-excel-formato&amp;utm_medium=act_formato_excel&amp;utm_source=act_formato_excel&amp;utm_campaign=act_formato_excel&amp;utm_content=act_formato_excel_link" TargetMode="External"/><Relationship Id="rId1547" Type="http://schemas.openxmlformats.org/officeDocument/2006/relationships/hyperlink" Target="https://actualicese.com/oro-formularios-110-y-140-con-anexos-y-formato-1732-ano-gravable-2013/?referer=L-excel-formato&amp;utm_medium=act_formato_excel&amp;utm_source=act_formato_excel&amp;utm_campaign=act_formato_excel&amp;utm_content=act_formato_excel_link" TargetMode="External"/><Relationship Id="rId1754" Type="http://schemas.openxmlformats.org/officeDocument/2006/relationships/hyperlink" Target="https://actualicese.com/planilla-de-asistencia-y-toma-de-decisiones-en-asambleas-de-accionistas-o-juntas-de-socios/?referer=L-excel-formato&amp;utm_medium=act_formato_excel&amp;utm_source=act_formato_excel&amp;utm_campaign=act_formato_excel&amp;utm_content=act_formato_excel_link" TargetMode="External"/><Relationship Id="rId1961" Type="http://schemas.openxmlformats.org/officeDocument/2006/relationships/hyperlink" Target="https://actualicese.com/modelo-para-analizar-el-valor-presente-y-el-valor-presente-neto-de-una-inversion/?referer=L-excel-formato&amp;utm_medium=act_formato_excel&amp;utm_source=act_formato_excel&amp;utm_campaign=act_formato_excel&amp;utm_content=act_formato_excel_link" TargetMode="External"/><Relationship Id="rId46" Type="http://schemas.openxmlformats.org/officeDocument/2006/relationships/hyperlink" Target="https://actualicese.com/contabilizacion-de-depreciacion-bajo-estandares-internacionales-casos-practicos-en-excel/?referer=L-excel-formato&amp;utm_medium=act_formato_excel&amp;utm_source=act_formato_excel&amp;utm_campaign=act_formato_excel&amp;utm_content=act_formato_excel_link" TargetMode="External"/><Relationship Id="rId1407" Type="http://schemas.openxmlformats.org/officeDocument/2006/relationships/hyperlink" Target="https://actualicese.com/dictamen-revisor-fiscal-con-abstencion-segun-decreto-302-del-2015/?referer=L-excel-formato&amp;utm_medium=act_formato_excel&amp;utm_source=act_formato_excel&amp;utm_campaign=act_formato_excel&amp;utm_content=act_formato_excel_link" TargetMode="External"/><Relationship Id="rId1614" Type="http://schemas.openxmlformats.org/officeDocument/2006/relationships/hyperlink" Target="https://actualicese.com/excel-herramienta-calculadora-de-tarifas-en-la-profesion-de-contador-publico/?referer=L-excel-formato&amp;utm_medium=act_formato_excel&amp;utm_source=act_formato_excel&amp;utm_campaign=act_formato_excel&amp;utm_content=act_formato_excel_link" TargetMode="External"/><Relationship Id="rId1821" Type="http://schemas.openxmlformats.org/officeDocument/2006/relationships/hyperlink" Target="https://actualicese.com/modelo-de-certificacion-laboral-para-deduccion-del-primer-empleo/?referer=L-excel-formato&amp;utm_medium=act_formato_excel&amp;utm_source=act_formato_excel&amp;utm_campaign=act_formato_excel&amp;utm_content=act_formato_excel_link" TargetMode="External"/><Relationship Id="rId195" Type="http://schemas.openxmlformats.org/officeDocument/2006/relationships/hyperlink" Target="https://actualicese.com/caso-practico-de-contabilizacion-de-un-prestamo-bancario-en-pymes-y-microempresas/?referer=L-excel-formato&amp;utm_medium=act_formato_excel&amp;utm_source=act_formato_excel&amp;utm_campaign=act_formato_excel&amp;utm_content=act_formato_excel_link" TargetMode="External"/><Relationship Id="rId1919" Type="http://schemas.openxmlformats.org/officeDocument/2006/relationships/hyperlink" Target="https://actualicese.com/cuestionario-de-auditoria-para-area-de-ventas/?referer=L-excel-formato&amp;utm_medium=act_formato_excel&amp;utm_source=act_formato_excel&amp;utm_campaign=act_formato_excel&amp;utm_content=act_formato_excel_link" TargetMode="External"/><Relationship Id="rId2083" Type="http://schemas.openxmlformats.org/officeDocument/2006/relationships/hyperlink" Target="https://actualicese.com/formulario-110-y-formato-2516-para-la-declaracion-de-renta-de-personas-naturales-no-residentes-que-llevan-contabilidad-ag-2022/?referer=L-excel-formato&amp;utm_medium=act_formato_excel&amp;utm_source=act_formato_excel&amp;utm_campaign=act_formato_excel&amp;utm_content=act_formato_excel_link" TargetMode="External"/><Relationship Id="rId2290" Type="http://schemas.openxmlformats.org/officeDocument/2006/relationships/hyperlink" Target="https://actualicese.com/ejercicios-sobre-la-determinacion-de-la-renta-liquida-de-trabajo-cuando-hay-rentas-laborales-y-honorarios/?referer=L-excel-formato&amp;utm_medium=act_formato_excel&amp;utm_source=act_formato_excel&amp;utm_campaign=act_formato_excel&amp;utm_content=act_formato_excel_link" TargetMode="External"/><Relationship Id="rId2388" Type="http://schemas.openxmlformats.org/officeDocument/2006/relationships/hyperlink" Target="https://actualicese.com/liquidador-de-indicadores-financieros/?referer=L-excel-formato&amp;utm_medium=act_formato_excel&amp;utm_source=act_formato_excel&amp;utm_campaign=act_formato_excel&amp;utm_content=act_formato_excel_link" TargetMode="External"/><Relationship Id="rId262" Type="http://schemas.openxmlformats.org/officeDocument/2006/relationships/hyperlink" Target="https://actualicese.com/caso-practico-de-contabilizacion-de-devoluciones-en-ventas/?referer=L-excel-formato&amp;utm_medium=act_formato_excel&amp;utm_source=act_formato_excel&amp;utm_campaign=act_formato_excel&amp;utm_content=act_formato_excel_link" TargetMode="External"/><Relationship Id="rId567" Type="http://schemas.openxmlformats.org/officeDocument/2006/relationships/hyperlink" Target="https://actualicese.com/liquidador-del-anticipo-de-renta-2021-para-personas-juridicas-y-naturales/?referer=L-excel-formato&amp;utm_medium=act_formato_excel&amp;utm_source=act_formato_excel&amp;utm_campaign=act_formato_excel&amp;utm_content=act_formato_excel_link" TargetMode="External"/><Relationship Id="rId1197" Type="http://schemas.openxmlformats.org/officeDocument/2006/relationships/hyperlink" Target="https://actualicese.com/matriz-para-definir-obligados-a-declarar-renta-por-el-2017-segun-proyecto-reforma-tributaria/?referer=L-excel-formato&amp;utm_medium=act_formato_excel&amp;utm_source=act_formato_excel&amp;utm_campaign=act_formato_excel&amp;utm_content=act_formato_excel_link" TargetMode="External"/><Relationship Id="rId2150" Type="http://schemas.openxmlformats.org/officeDocument/2006/relationships/hyperlink" Target="https://actualicese.com/liquidador-de-cesantias-en-excel-aplicado-a-11-casos-practicos/?referer=L-excel-formato&amp;utm_medium=act_formato_excel&amp;utm_source=act_formato_excel&amp;utm_campaign=act_formato_excel&amp;utm_content=act_formato_excel_link" TargetMode="External"/><Relationship Id="rId2248" Type="http://schemas.openxmlformats.org/officeDocument/2006/relationships/hyperlink" Target="https://actualicese.com/liquidador-de-indemnizacion-por-despido-sin-justa-causa-contrato-indefinido/?referer=L-excel-formato&amp;utm_medium=act_formato_excel&amp;utm_source=act_formato_excel&amp;utm_campaign=act_formato_excel&amp;utm_content=act_formato_excel_link" TargetMode="External"/><Relationship Id="rId122" Type="http://schemas.openxmlformats.org/officeDocument/2006/relationships/hyperlink" Target="https://actualicese.com/solicitud-de-inmovilizacion-de-cesantias-para-adquisicion-de-vivienda/?referer=L-excel-formato&amp;utm_medium=act_formato_excel&amp;utm_source=act_formato_excel&amp;utm_campaign=act_formato_excel&amp;utm_content=act_formato_excel_link" TargetMode="External"/><Relationship Id="rId774" Type="http://schemas.openxmlformats.org/officeDocument/2006/relationships/hyperlink" Target="https://actualicese.com/pack-de-formatos-modelos-y-guias-para-asambleas-de-accionistas-socios-y-copropietarios/?referer=L-excel-formato&amp;utm_medium=act_formato_excel&amp;utm_source=act_formato_excel&amp;utm_campaign=act_formato_excel&amp;utm_content=act_formato_excel_link" TargetMode="External"/><Relationship Id="rId981" Type="http://schemas.openxmlformats.org/officeDocument/2006/relationships/hyperlink" Target="https://actualicese.com/formatos-exogena-1011-1012-y-2275-por-el-ano-gravable-2017-reporte-de-otros-datos-en-renta-e-iva/?referer=L-excel-formato&amp;utm_medium=act_formato_excel&amp;utm_source=act_formato_excel&amp;utm_campaign=act_formato_excel&amp;utm_content=act_formato_excel_link" TargetMode="External"/><Relationship Id="rId1057" Type="http://schemas.openxmlformats.org/officeDocument/2006/relationships/hyperlink" Target="https://actualicese.com/beneficio-en-renta-para-sociedades-ubicadas-en-zomac-requisitos-segun-el-tamano-de-la-empresa/?referer=L-excel-formato&amp;utm_medium=act_formato_excel&amp;utm_source=act_formato_excel&amp;utm_campaign=act_formato_excel&amp;utm_content=act_formato_excel_link" TargetMode="External"/><Relationship Id="rId2010" Type="http://schemas.openxmlformats.org/officeDocument/2006/relationships/hyperlink" Target="https://actualicese.com/liquidador-de-actualizacion-de-sanciones-tributarias/?referer=L-excel-formato&amp;utm_medium=act_formato_excel&amp;utm_source=act_formato_excel&amp;utm_campaign=act_formato_excel&amp;utm_content=act_formato_excel_link" TargetMode="External"/><Relationship Id="rId2455" Type="http://schemas.openxmlformats.org/officeDocument/2006/relationships/hyperlink" Target="https://actualicese.com/liquidadores-de-sancion-por-no-declarar/?referer=L-excel-formato&amp;utm_medium=act_formato_excel&amp;utm_source=act_formato_excel&amp;utm_campaign=act_formato_excel&amp;utm_content=act_formato_excel_link" TargetMode="External"/><Relationship Id="rId427" Type="http://schemas.openxmlformats.org/officeDocument/2006/relationships/hyperlink" Target="https://actualicese.com/liquidador-de-sanciones-por-no-expedir-factura/?referer=L-excel-formato&amp;utm_medium=act_formato_excel&amp;utm_source=act_formato_excel&amp;utm_campaign=act_formato_excel&amp;utm_content=act_formato_excel_link" TargetMode="External"/><Relationship Id="rId634" Type="http://schemas.openxmlformats.org/officeDocument/2006/relationships/hyperlink" Target="https://actualicese.com/notificacion-de-entrega-de-manual-de-funciones-del-auditor-dentro-de-la-firma/?referer=L-excel-formato&amp;utm_medium=act_formato_excel&amp;utm_source=act_formato_excel&amp;utm_campaign=act_formato_excel&amp;utm_content=act_formato_excel_link" TargetMode="External"/><Relationship Id="rId841" Type="http://schemas.openxmlformats.org/officeDocument/2006/relationships/hyperlink" Target="https://actualicese.com/retencion-en-la-fuente-sobre-pagos-laborales-en-junio-de-2019-procedimiento-2/?referer=L-excel-formato&amp;utm_medium=act_formato_excel&amp;utm_source=act_formato_excel&amp;utm_campaign=act_formato_excel&amp;utm_content=act_formato_excel_link" TargetMode="External"/><Relationship Id="rId1264" Type="http://schemas.openxmlformats.org/officeDocument/2006/relationships/hyperlink" Target="https://actualicese.com/clasificacion-tributaria-de-personas-naturales-y-sucesiones-iliquidas-frente-al-impuesto-de-renta-por-el-ano-gravable-2015/?referer=L-excel-formato&amp;utm_medium=act_formato_excel&amp;utm_source=act_formato_excel&amp;utm_campaign=act_formato_excel&amp;utm_content=act_formato_excel_link" TargetMode="External"/><Relationship Id="rId1471" Type="http://schemas.openxmlformats.org/officeDocument/2006/relationships/hyperlink" Target="https://actualicese.com/contrato-contrato-de-fianza/?referer=L-excel-formato&amp;utm_medium=act_formato_excel&amp;utm_source=act_formato_excel&amp;utm_campaign=act_formato_excel&amp;utm_content=act_formato_excel_link" TargetMode="External"/><Relationship Id="rId1569" Type="http://schemas.openxmlformats.org/officeDocument/2006/relationships/hyperlink" Target="https://actualicese.com/pagare-y-carta-de-instruccion/?referer=L-excel-formato&amp;utm_medium=act_formato_excel&amp;utm_source=act_formato_excel&amp;utm_campaign=act_formato_excel&amp;utm_content=act_formato_excel_link" TargetMode="External"/><Relationship Id="rId2108" Type="http://schemas.openxmlformats.org/officeDocument/2006/relationships/hyperlink" Target="https://actualicese.com/certificado-de-dependientes-para-efectos-de-deduccion-en-la-declaracion-de-renta/?referer=L-excel-formato&amp;utm_medium=act_formato_excel&amp;utm_source=act_formato_excel&amp;utm_campaign=act_formato_excel&amp;utm_content=act_formato_excel_link" TargetMode="External"/><Relationship Id="rId2315" Type="http://schemas.openxmlformats.org/officeDocument/2006/relationships/hyperlink" Target="https://actualicese.com/pagare-y-carta-de-instruccion/?referer=L-excel-formato&amp;utm_medium=act_formato_excel&amp;utm_source=act_formato_excel&amp;utm_campaign=act_formato_excel&amp;utm_content=act_formato_excel_link" TargetMode="External"/><Relationship Id="rId701" Type="http://schemas.openxmlformats.org/officeDocument/2006/relationships/hyperlink" Target="https://actualicese.com/promesa-de-compraventa/?referer=L-excel-formato&amp;utm_medium=act_formato_excel&amp;utm_source=act_formato_excel&amp;utm_campaign=act_formato_excel&amp;utm_content=act_formato_excel_link" TargetMode="External"/><Relationship Id="rId939" Type="http://schemas.openxmlformats.org/officeDocument/2006/relationships/hyperlink" Target="https://actualicese.com/politicas-contables-en-pymes-para-los-intangibles/?referer=L-excel-formato&amp;utm_medium=act_formato_excel&amp;utm_source=act_formato_excel&amp;utm_campaign=act_formato_excel&amp;utm_content=act_formato_excel_link" TargetMode="External"/><Relationship Id="rId1124" Type="http://schemas.openxmlformats.org/officeDocument/2006/relationships/hyperlink" Target="https://actualicese.com/formato-1007-por-2016-reportes-de-ingresos-propios/?referer=L-excel-formato&amp;utm_medium=act_formato_excel&amp;utm_source=act_formato_excel&amp;utm_campaign=act_formato_excel&amp;utm_content=act_formato_excel_link" TargetMode="External"/><Relationship Id="rId1331" Type="http://schemas.openxmlformats.org/officeDocument/2006/relationships/hyperlink" Target="https://actualicese.com/contrato-de-compraventa-de-vehiculo-automotor-automovil-o-motocicleta/?referer=L-excel-formato&amp;utm_medium=act_formato_excel&amp;utm_source=act_formato_excel&amp;utm_campaign=act_formato_excel&amp;utm_content=act_formato_excel_link" TargetMode="External"/><Relationship Id="rId1776" Type="http://schemas.openxmlformats.org/officeDocument/2006/relationships/hyperlink" Target="https://actualicese.com/liquidador-de-cesantias-en-excel-aplicado-a-11-casos-practicos/?referer=L-excel-formato&amp;utm_medium=act_formato_excel&amp;utm_source=act_formato_excel&amp;utm_campaign=act_formato_excel&amp;utm_content=act_formato_excel_link" TargetMode="External"/><Relationship Id="rId1983" Type="http://schemas.openxmlformats.org/officeDocument/2006/relationships/hyperlink" Target="https://actualicese.com/guia-en-excel-sobre-el-sistema-de-facturacion-electronica-documento-soporte-y-nomina-electronica-ag-2023/?referer=L-excel-formato&amp;utm_medium=act_formato_excel&amp;utm_source=act_formato_excel&amp;utm_campaign=act_formato_excel&amp;utm_content=act_formato_excel_link" TargetMode="External"/><Relationship Id="rId68" Type="http://schemas.openxmlformats.org/officeDocument/2006/relationships/hyperlink" Target="https://actualicese.com/modelo-calculo-intereses-de-mora-y-su-iva-en-cuentas-por-cobrar-vencidas/?referer=L-excel-formato&amp;utm_medium=act_formato_excel&amp;utm_source=act_formato_excel&amp;utm_campaign=act_formato_excel&amp;utm_content=act_formato_excel_link" TargetMode="External"/><Relationship Id="rId1429" Type="http://schemas.openxmlformats.org/officeDocument/2006/relationships/hyperlink" Target="https://actualicese.com/formularios-110-y-240-con-anexos-y-formato-1732-para-declaracion-de-renta-de-persona-natural-comerciante-ano-gravable-2014/?referer=L-excel-formato&amp;utm_medium=act_formato_excel&amp;utm_source=act_formato_excel&amp;utm_campaign=act_formato_excel&amp;utm_content=act_formato_excel_link" TargetMode="External"/><Relationship Id="rId1636" Type="http://schemas.openxmlformats.org/officeDocument/2006/relationships/hyperlink" Target="https://actualicese.com/modelo-kardex/?referer=L-excel-formato&amp;utm_medium=act_formato_excel&amp;utm_source=act_formato_excel&amp;utm_campaign=act_formato_excel&amp;utm_content=act_formato_excel_link" TargetMode="External"/><Relationship Id="rId1843" Type="http://schemas.openxmlformats.org/officeDocument/2006/relationships/hyperlink" Target="https://actualicese.com/formulario-260-ag-2022-declaracion-anual-regimen-simple-personas-naturales-y-juridicas-que-llevan-contabilidad/?referer=L-excel-formato&amp;utm_medium=act_formato_excel&amp;utm_source=act_formato_excel&amp;utm_campaign=act_formato_excel&amp;utm_content=act_formato_excel_link" TargetMode="External"/><Relationship Id="rId1703" Type="http://schemas.openxmlformats.org/officeDocument/2006/relationships/hyperlink" Target="https://actualicese.com/informe-de-revision-de-informacion-financiera-intermedia-sin-salvedades/?referer=L-excel-formato&amp;utm_medium=act_formato_excel&amp;utm_source=act_formato_excel&amp;utm_campaign=act_formato_excel&amp;utm_content=act_formato_excel_link" TargetMode="External"/><Relationship Id="rId1910" Type="http://schemas.openxmlformats.org/officeDocument/2006/relationships/hyperlink" Target="https://actualicese.com/modelo-en-excel-del-documento-soporte-para-operaciones-con-no-obligados-a-facturar/?referer=L-excel-formato&amp;utm_medium=act_formato_excel&amp;utm_source=act_formato_excel&amp;utm_campaign=act_formato_excel&amp;utm_content=act_formato_excel_link" TargetMode="External"/><Relationship Id="rId284" Type="http://schemas.openxmlformats.org/officeDocument/2006/relationships/hyperlink" Target="https://actualicese.com/plantilla-de-formatos-1011-1012-y-2275-de-exogena-reporte-de-otros-datos-en-renta-e-iva-en-2021/?referer=L-excel-formato&amp;utm_medium=act_formato_excel&amp;utm_source=act_formato_excel&amp;utm_campaign=act_formato_excel&amp;utm_content=act_formato_excel_link" TargetMode="External"/><Relationship Id="rId491" Type="http://schemas.openxmlformats.org/officeDocument/2006/relationships/hyperlink" Target="https://actualicese.com/matriz-requisitos-y-condiciones-para-la-normalizacion-tributaria-de-2022/?referer=L-excel-formato&amp;utm_medium=act_formato_excel&amp;utm_source=act_formato_excel&amp;utm_campaign=act_formato_excel&amp;utm_content=act_formato_excel_link" TargetMode="External"/><Relationship Id="rId2172" Type="http://schemas.openxmlformats.org/officeDocument/2006/relationships/hyperlink" Target="https://actualicese.com/liquidador-de-prestaciones-sociales-en-periodo-de-incapacidad/?referer=L-excel-formato&amp;utm_medium=act_formato_excel&amp;utm_source=act_formato_excel&amp;utm_campaign=act_formato_excel&amp;utm_content=act_formato_excel_link" TargetMode="External"/><Relationship Id="rId144" Type="http://schemas.openxmlformats.org/officeDocument/2006/relationships/hyperlink" Target="https://actualicese.com/sancion-por-inexactitud-para-declarantes-de-ingresos-y-patrimonio-liquidador-en-excel/?referer=L-excel-formato&amp;utm_medium=act_formato_excel&amp;utm_source=act_formato_excel&amp;utm_campaign=act_formato_excel&amp;utm_content=act_formato_excel_link" TargetMode="External"/><Relationship Id="rId589" Type="http://schemas.openxmlformats.org/officeDocument/2006/relationships/hyperlink" Target="https://actualicese.com/cuestionario-de-auditoria-para-el-area-de-compras/?referer=L-excel-formato&amp;utm_medium=act_formato_excel&amp;utm_source=act_formato_excel&amp;utm_campaign=act_formato_excel&amp;utm_content=act_formato_excel_link" TargetMode="External"/><Relationship Id="rId796" Type="http://schemas.openxmlformats.org/officeDocument/2006/relationships/hyperlink" Target="https://actualicese.com/novedades-en-la-clasificacion-de-bienes-y-servicios-frente-al-iva-y-el-inc-con-la-ley-2010-de-2019/?referer=L-excel-formato&amp;utm_medium=act_formato_excel&amp;utm_source=act_formato_excel&amp;utm_campaign=act_formato_excel&amp;utm_content=act_formato_excel_link" TargetMode="External"/><Relationship Id="rId351" Type="http://schemas.openxmlformats.org/officeDocument/2006/relationships/hyperlink" Target="https://actualicese.com/dictamen-de-revisor-fiscal-que-incluye-opinion-con-salvedades/?referer=L-excel-formato&amp;utm_medium=act_formato_excel&amp;utm_source=act_formato_excel&amp;utm_campaign=act_formato_excel&amp;utm_content=act_formato_excel_link" TargetMode="External"/><Relationship Id="rId449" Type="http://schemas.openxmlformats.org/officeDocument/2006/relationships/hyperlink" Target="https://actualicese.com/porcentaje-fijo-de-retencion-en-la-fuente-sobre-salarios-en-diciembre-de-2021-procedimiento-2/?referer=L-excel-formato&amp;utm_medium=act_formato_excel&amp;utm_source=act_formato_excel&amp;utm_campaign=act_formato_excel&amp;utm_content=act_formato_excel_link" TargetMode="External"/><Relationship Id="rId656" Type="http://schemas.openxmlformats.org/officeDocument/2006/relationships/hyperlink" Target="https://actualicese.com/20-liquidadores-de-sanciones-y-procedimiento-tributario-2022/?referer=L-excel-formato&amp;utm_medium=act_formato_excel&amp;utm_source=act_formato_excel&amp;utm_campaign=act_formato_excel&amp;utm_content=act_formato_excel_link" TargetMode="External"/><Relationship Id="rId863" Type="http://schemas.openxmlformats.org/officeDocument/2006/relationships/hyperlink" Target="https://actualicese.com/listado-de-actividades-economicas-codigos-ciiu-2/?referer=L-excel-formato&amp;utm_medium=act_formato_excel&amp;utm_source=act_formato_excel&amp;utm_campaign=act_formato_excel&amp;utm_content=act_formato_excel_link" TargetMode="External"/><Relationship Id="rId1079" Type="http://schemas.openxmlformats.org/officeDocument/2006/relationships/hyperlink" Target="https://actualicese.com/lista-de-chequeo-de-revelaciones-para-microempresas/?referer=L-excel-formato&amp;utm_medium=act_formato_excel&amp;utm_source=act_formato_excel&amp;utm_campaign=act_formato_excel&amp;utm_content=act_formato_excel_link" TargetMode="External"/><Relationship Id="rId1286" Type="http://schemas.openxmlformats.org/officeDocument/2006/relationships/hyperlink" Target="https://actualicese.com/clasificacion-de-las-personas-juridicas-en-el-impuesto-de-renta-y-cree-del-ano-gravable-2015/?referer=L-excel-formato&amp;utm_medium=act_formato_excel&amp;utm_source=act_formato_excel&amp;utm_campaign=act_formato_excel&amp;utm_content=act_formato_excel_link" TargetMode="External"/><Relationship Id="rId1493" Type="http://schemas.openxmlformats.org/officeDocument/2006/relationships/hyperlink" Target="https://actualicese.com/solicitud-de-transaccion-ante-juez-laboral/?referer=L-excel-formato&amp;utm_medium=act_formato_excel&amp;utm_source=act_formato_excel&amp;utm_campaign=act_formato_excel&amp;utm_content=act_formato_excel_link" TargetMode="External"/><Relationship Id="rId2032" Type="http://schemas.openxmlformats.org/officeDocument/2006/relationships/hyperlink" Target="https://actualicese.com/plantilla-para-el-control-y-auditoria-del-gasto-de-celulares/?referer=L-excel-formato&amp;utm_medium=act_formato_excel&amp;utm_source=act_formato_excel&amp;utm_campaign=act_formato_excel&amp;utm_content=act_formato_excel_link" TargetMode="External"/><Relationship Id="rId2337" Type="http://schemas.openxmlformats.org/officeDocument/2006/relationships/hyperlink" Target="https://actualicese.com/casos-practicos-de-contabilizacion-de-arrendamientos-financiero-y-operativo/?referer=L-excel-formato&amp;utm_medium=act_formato_excel&amp;utm_source=act_formato_excel&amp;utm_campaign=act_formato_excel&amp;utm_content=act_formato_excel_link" TargetMode="External"/><Relationship Id="rId211" Type="http://schemas.openxmlformats.org/officeDocument/2006/relationships/hyperlink" Target="https://actualicese.com/implicaciones-basicas-de-ser-residente-fiscal-frente-al-impuesto-de-renta-de-personas-naturales-ag-2021/?referer=L-excel-formato&amp;utm_medium=act_formato_excel&amp;utm_source=act_formato_excel&amp;utm_campaign=act_formato_excel&amp;utm_content=act_formato_excel_link" TargetMode="External"/><Relationship Id="rId309" Type="http://schemas.openxmlformats.org/officeDocument/2006/relationships/hyperlink" Target="https://actualicese.com/liquidador-del-anticipo-del-impuesto-de-renta-2022-para-personas-juridicas-y-naturales/?referer=L-excel-formato&amp;utm_medium=act_formato_excel&amp;utm_source=act_formato_excel&amp;utm_campaign=act_formato_excel&amp;utm_content=act_formato_excel_link" TargetMode="External"/><Relationship Id="rId516" Type="http://schemas.openxmlformats.org/officeDocument/2006/relationships/hyperlink" Target="https://actualicese.com/modelo-de-derecho-de-peticion-para-el-pago-de-incapacidades-de-trabajadores-independientes/?referer=L-excel-formato&amp;utm_medium=act_formato_excel&amp;utm_source=act_formato_excel&amp;utm_campaign=act_formato_excel&amp;utm_content=act_formato_excel_link" TargetMode="External"/><Relationship Id="rId1146" Type="http://schemas.openxmlformats.org/officeDocument/2006/relationships/hyperlink" Target="https://actualicese.com/reunion-de-junta-directiva/?referer=L-excel-formato&amp;utm_medium=act_formato_excel&amp;utm_source=act_formato_excel&amp;utm_campaign=act_formato_excel&amp;utm_content=act_formato_excel_link" TargetMode="External"/><Relationship Id="rId1798" Type="http://schemas.openxmlformats.org/officeDocument/2006/relationships/hyperlink" Target="https://actualicese.com/plantilla-del-formato-1003-para-el-reporte-de-exogena-2022-retenciones-que-le-practicaron-al-informante/?referer=L-excel-formato&amp;utm_medium=act_formato_excel&amp;utm_source=act_formato_excel&amp;utm_campaign=act_formato_excel&amp;utm_content=act_formato_excel_link" TargetMode="External"/><Relationship Id="rId723" Type="http://schemas.openxmlformats.org/officeDocument/2006/relationships/hyperlink" Target="https://actualicese.com/notificacion-de-suspension-del-contrato-de-aprendizaje/?referer=L-excel-formato&amp;utm_medium=act_formato_excel&amp;utm_source=act_formato_excel&amp;utm_campaign=act_formato_excel&amp;utm_content=act_formato_excel_link" TargetMode="External"/><Relationship Id="rId930" Type="http://schemas.openxmlformats.org/officeDocument/2006/relationships/hyperlink" Target="https://actualicese.com/informe-de-un-auditor-sobre-el-diseno-y-la-eficacia-de-los-controles-de-la-entidad/?referer=L-excel-formato&amp;utm_medium=act_formato_excel&amp;utm_source=act_formato_excel&amp;utm_campaign=act_formato_excel&amp;utm_content=act_formato_excel_link" TargetMode="External"/><Relationship Id="rId1006" Type="http://schemas.openxmlformats.org/officeDocument/2006/relationships/hyperlink" Target="https://actualicese.com/sanciones-relacionadas-con-ica-impuesto-predial-y-de-vehiculos-en-bogota/?referer=L-excel-formato&amp;utm_medium=act_formato_excel&amp;utm_source=act_formato_excel&amp;utm_campaign=act_formato_excel&amp;utm_content=act_formato_excel_link" TargetMode="External"/><Relationship Id="rId1353" Type="http://schemas.openxmlformats.org/officeDocument/2006/relationships/hyperlink" Target="https://actualicese.com/lista-de-chequeo-de-revelaciones-nic-17-arrendamientos/?referer=L-excel-formato&amp;utm_medium=act_formato_excel&amp;utm_source=act_formato_excel&amp;utm_campaign=act_formato_excel&amp;utm_content=act_formato_excel_link" TargetMode="External"/><Relationship Id="rId1560" Type="http://schemas.openxmlformats.org/officeDocument/2006/relationships/hyperlink" Target="https://actualicese.com/informacion-laboral-a-tener-en-cuenta-a-partir-del-1-de-enero-de-2014/?referer=L-excel-formato&amp;utm_medium=act_formato_excel&amp;utm_source=act_formato_excel&amp;utm_campaign=act_formato_excel&amp;utm_content=act_formato_excel_link" TargetMode="External"/><Relationship Id="rId1658" Type="http://schemas.openxmlformats.org/officeDocument/2006/relationships/hyperlink" Target="https://actualicese.com/nota-2-base-de-preparacion-de-estados-financieros-bajo-el-estandar-internacional-para-pymes/?referer=L-excel-formato&amp;utm_medium=act_formato_excel&amp;utm_source=act_formato_excel&amp;utm_campaign=act_formato_excel&amp;utm_content=act_formato_excel_link" TargetMode="External"/><Relationship Id="rId1865" Type="http://schemas.openxmlformats.org/officeDocument/2006/relationships/hyperlink" Target="https://actualicese.com/pack-de-formatos-herramientas-y-guias-para-el-reporte-de-informacion-exogena-2022/?referer=L-excel-formato&amp;utm_medium=act_formato_excel&amp;utm_source=act_formato_excel&amp;utm_campaign=act_formato_excel&amp;utm_content=act_formato_excel_link" TargetMode="External"/><Relationship Id="rId2404" Type="http://schemas.openxmlformats.org/officeDocument/2006/relationships/hyperlink" Target="https://actualicese.com/pack-de-formatos-15-herramientas-clave-en-excel-para-la-planeacion-estrategica-presupuestal-financiera-y-fiscal/?referer=L-excel-formato&amp;utm_medium=act_formato_excel&amp;utm_source=act_formato_excel&amp;utm_campaign=act_formato_excel&amp;utm_content=act_formato_excel_link" TargetMode="External"/><Relationship Id="rId1213" Type="http://schemas.openxmlformats.org/officeDocument/2006/relationships/hyperlink" Target="https://actualicese.com/informe-de-directivos-aplicacion-de-los-estandares-internacionales-grupo-2/?referer=L-excel-formato&amp;utm_medium=act_formato_excel&amp;utm_source=act_formato_excel&amp;utm_campaign=act_formato_excel&amp;utm_content=act_formato_excel_link" TargetMode="External"/><Relationship Id="rId1420" Type="http://schemas.openxmlformats.org/officeDocument/2006/relationships/hyperlink" Target="https://actualicese.com/requisitos-para-acceder-al-beneficio-tributario-por-la-generacion-de-nuevos-puestos-de-trabajo/?referer=L-excel-formato&amp;utm_medium=act_formato_excel&amp;utm_source=act_formato_excel&amp;utm_campaign=act_formato_excel&amp;utm_content=act_formato_excel_link" TargetMode="External"/><Relationship Id="rId1518" Type="http://schemas.openxmlformats.org/officeDocument/2006/relationships/hyperlink" Target="https://actualicese.com/liquidador-contrato-de-trabajo-a-termino-fijo-hector-fernando-munoz-e/?referer=L-excel-formato&amp;utm_medium=act_formato_excel&amp;utm_source=act_formato_excel&amp;utm_campaign=act_formato_excel&amp;utm_content=act_formato_excel_link" TargetMode="External"/><Relationship Id="rId1725" Type="http://schemas.openxmlformats.org/officeDocument/2006/relationships/hyperlink" Target="https://actualicese.com/informe-de-compilacion-de-estados-financieros-con-fines-generales/?referer=L-excel-formato&amp;utm_medium=act_formato_excel&amp;utm_source=act_formato_excel&amp;utm_campaign=act_formato_excel&amp;utm_content=act_formato_excel_link" TargetMode="External"/><Relationship Id="rId1932" Type="http://schemas.openxmlformats.org/officeDocument/2006/relationships/hyperlink" Target="https://actualicese.com/formato-de-solicitud-de-permiso-compensatorio-por-votaciones/?referer=L-excel-formato&amp;utm_medium=act_formato_excel&amp;utm_source=act_formato_excel&amp;utm_campaign=act_formato_excel&amp;utm_content=act_formato_excel_link" TargetMode="External"/><Relationship Id="rId17" Type="http://schemas.openxmlformats.org/officeDocument/2006/relationships/hyperlink" Target="https://actualicese.com/formato-de-control-de-clientes-de-declaracion-de-renta-de-persona-natural/?referer=L-excel-formato&amp;utm_medium=act_formato_excel&amp;utm_source=act_formato_excel&amp;utm_campaign=act_formato_excel&amp;utm_content=act_formato_excel_link" TargetMode="External"/><Relationship Id="rId2194" Type="http://schemas.openxmlformats.org/officeDocument/2006/relationships/hyperlink" Target="https://actualicese.com/lista-de-chequeo-de-documentos-para-contratacion-laboral-a-solicitar-al-trabajador/?referer=L-excel-formato&amp;utm_medium=act_formato_excel&amp;utm_source=act_formato_excel&amp;utm_campaign=act_formato_excel&amp;utm_content=act_formato_excel_link" TargetMode="External"/><Relationship Id="rId166" Type="http://schemas.openxmlformats.org/officeDocument/2006/relationships/hyperlink" Target="https://actualicese.com/notificacion-vacaciones-colectivas/?referer=L-excel-formato&amp;utm_medium=act_formato_excel&amp;utm_source=act_formato_excel&amp;utm_campaign=act_formato_excel&amp;utm_content=act_formato_excel_link" TargetMode="External"/><Relationship Id="rId373" Type="http://schemas.openxmlformats.org/officeDocument/2006/relationships/hyperlink" Target="https://actualicese.com/lista-de-chequeo-de-documentos-presentados-en-asamblea-de-accionistas-o-junta-de-socios/?referer=L-excel-formato&amp;utm_medium=act_formato_excel&amp;utm_source=act_formato_excel&amp;utm_campaign=act_formato_excel&amp;utm_content=act_formato_excel_link" TargetMode="External"/><Relationship Id="rId580" Type="http://schemas.openxmlformats.org/officeDocument/2006/relationships/hyperlink" Target="https://actualicese.com/formulario-210-declaracion-de-renta-personas-naturales-residentes-que-no-llevan-contabilidad-ag-2020/?referer=L-excel-formato&amp;utm_medium=act_formato_excel&amp;utm_source=act_formato_excel&amp;utm_campaign=act_formato_excel&amp;utm_content=act_formato_excel_link" TargetMode="External"/><Relationship Id="rId2054" Type="http://schemas.openxmlformats.org/officeDocument/2006/relationships/hyperlink" Target="https://actualicese.com/simulador-de-los-efectos-del-rechazo-de-costos-y-gastos-en-efectivo-a-partir-de-2018/?referer=L-excel-formato&amp;utm_medium=act_formato_excel&amp;utm_source=act_formato_excel&amp;utm_campaign=act_formato_excel&amp;utm_content=act_formato_excel_link" TargetMode="External"/><Relationship Id="rId2261" Type="http://schemas.openxmlformats.org/officeDocument/2006/relationships/hyperlink" Target="https://actualicese.com/liquidador-automatizado-de-intereses-a-las-cesantias-y-su-comprobante-de-pago/?referer=L-excel-formato&amp;utm_medium=act_formato_excel&amp;utm_source=act_formato_excel&amp;utm_campaign=act_formato_excel&amp;utm_content=act_formato_excel_link" TargetMode="External"/><Relationship Id="rId1"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33" Type="http://schemas.openxmlformats.org/officeDocument/2006/relationships/hyperlink" Target="https://actualicese.com/cuestionario-de-excel-para-definir-si-una-persona-natural-es-residente-fiscal-en-colombia/?referer=L-excel-formato&amp;utm_medium=act_formato_excel&amp;utm_source=act_formato_excel&amp;utm_campaign=act_formato_excel&amp;utm_content=act_formato_excel_link" TargetMode="External"/><Relationship Id="rId440" Type="http://schemas.openxmlformats.org/officeDocument/2006/relationships/hyperlink" Target="https://actualicese.com/planilla-de-asistencia-y-toma-de-decisiones-en-asambleas-de-accionistas-o-juntas-de-socios/?referer=L-excel-formato&amp;utm_medium=act_formato_excel&amp;utm_source=act_formato_excel&amp;utm_campaign=act_formato_excel&amp;utm_content=act_formato_excel_link" TargetMode="External"/><Relationship Id="rId678" Type="http://schemas.openxmlformats.org/officeDocument/2006/relationships/hyperlink" Target="https://actualicese.com/liquidador-de-nomina-en-un-contrato-de-aprendizaje/?referer=L-excel-formato&amp;utm_medium=act_formato_excel&amp;utm_source=act_formato_excel&amp;utm_campaign=act_formato_excel&amp;utm_content=act_formato_excel_link" TargetMode="External"/><Relationship Id="rId885" Type="http://schemas.openxmlformats.org/officeDocument/2006/relationships/hyperlink" Target="https://actualicese.com/requisitos-para-acceder-al-subsidio-de-desempleo/?referer=L-excel-formato&amp;utm_medium=act_formato_excel&amp;utm_source=act_formato_excel&amp;utm_campaign=act_formato_excel&amp;utm_content=act_formato_excel_link" TargetMode="External"/><Relationship Id="rId1070" Type="http://schemas.openxmlformats.org/officeDocument/2006/relationships/hyperlink" Target="https://actualicese.com/clasificacion-tributaria-de-una-persona-natural-segun-el-concepto-885-de-julio-31-de-2014/?referer=L-excel-formato&amp;utm_medium=act_formato_excel&amp;utm_source=act_formato_excel&amp;utm_campaign=act_formato_excel&amp;utm_content=act_formato_excel_link" TargetMode="External"/><Relationship Id="rId2121" Type="http://schemas.openxmlformats.org/officeDocument/2006/relationships/hyperlink" Target="https://actualicese.com/informe-del-revisor-fiscal-sobre-irregularidades-y-deficiencias-en-el-control-interno/?referer=L-excel-formato&amp;utm_medium=act_formato_excel&amp;utm_source=act_formato_excel&amp;utm_campaign=act_formato_excel&amp;utm_content=act_formato_excel_link" TargetMode="External"/><Relationship Id="rId2359" Type="http://schemas.openxmlformats.org/officeDocument/2006/relationships/hyperlink" Target="https://actualicese.com/matriz-tipos-de-sociedades-en-colombia/?referer=L-excel-formato&amp;utm_medium=act_formato_excel&amp;utm_source=act_formato_excel&amp;utm_campaign=act_formato_excel&amp;utm_content=act_formato_excel_link" TargetMode="External"/><Relationship Id="rId300" Type="http://schemas.openxmlformats.org/officeDocument/2006/relationships/hyperlink" Target="https://actualicese.com/historico-de-la-trm-en-2021/?referer=L-excel-formato&amp;utm_medium=act_formato_excel&amp;utm_source=act_formato_excel&amp;utm_campaign=act_formato_excel&amp;utm_content=act_formato_excel_link" TargetMode="External"/><Relationship Id="rId538" Type="http://schemas.openxmlformats.org/officeDocument/2006/relationships/hyperlink" Target="https://actualicese.com/solicitud-de-licencia-de-paternidad-a-la-eps-por-parte-de-un-trabajador-independiente/?referer=L-excel-formato&amp;utm_medium=act_formato_excel&amp;utm_source=act_formato_excel&amp;utm_campaign=act_formato_excel&amp;utm_content=act_formato_excel_link" TargetMode="External"/><Relationship Id="rId745" Type="http://schemas.openxmlformats.org/officeDocument/2006/relationships/hyperlink" Target="https://actualicese.com/certificacion-para-subsidio-de-nomina-paef-entidad-sin-animo-de-lucro/?referer=L-excel-formato&amp;utm_medium=act_formato_excel&amp;utm_source=act_formato_excel&amp;utm_campaign=act_formato_excel&amp;utm_content=act_formato_excel_link" TargetMode="External"/><Relationship Id="rId952" Type="http://schemas.openxmlformats.org/officeDocument/2006/relationships/hyperlink" Target="https://actualicese.com/formulario-110-declaracion-de-renta-2017-de-personas-naturales-obligadas-a-llevar-contabilidad/?referer=L-excel-formato&amp;utm_medium=act_formato_excel&amp;utm_source=act_formato_excel&amp;utm_campaign=act_formato_excel&amp;utm_content=act_formato_excel_link" TargetMode="External"/><Relationship Id="rId1168" Type="http://schemas.openxmlformats.org/officeDocument/2006/relationships/hyperlink" Target="https://actualicese.com/matriz-para-determinar-valor-de-excesos-de-renta-presuntiva-y-de-base-minima-a-compensar/?referer=L-excel-formato&amp;utm_medium=act_formato_excel&amp;utm_source=act_formato_excel&amp;utm_campaign=act_formato_excel&amp;utm_content=act_formato_excel_link" TargetMode="External"/><Relationship Id="rId1375" Type="http://schemas.openxmlformats.org/officeDocument/2006/relationships/hyperlink" Target="https://actualicese.com/lista-de-chequeo-de-revelaciones-nic-12-impuesto-a-las-ganancias/?referer=L-excel-formato&amp;utm_medium=act_formato_excel&amp;utm_source=act_formato_excel&amp;utm_campaign=act_formato_excel&amp;utm_content=act_formato_excel_link" TargetMode="External"/><Relationship Id="rId1582" Type="http://schemas.openxmlformats.org/officeDocument/2006/relationships/hyperlink" Target="https://actualicese.com/guia-cartilla-convergencia-hacia-las-normas-internacionales-de-informacion-financiera-y-aseguramiento-de-la-informacion-niif-mincomercio/?referer=L-excel-formato&amp;utm_medium=act_formato_excel&amp;utm_source=act_formato_excel&amp;utm_campaign=act_formato_excel&amp;utm_content=act_formato_excel_link" TargetMode="External"/><Relationship Id="rId2219" Type="http://schemas.openxmlformats.org/officeDocument/2006/relationships/hyperlink" Target="https://actualicese.com/liquidador-plantilla-del-formato-1003-de-exogena-2023-retenciones-que-le-practicaron-al-informante/?referer=L-excel-formato&amp;utm_medium=act_formato_excel&amp;utm_source=act_formato_excel&amp;utm_campaign=act_formato_excel&amp;utm_content=act_formato_excel_link" TargetMode="External"/><Relationship Id="rId2426" Type="http://schemas.openxmlformats.org/officeDocument/2006/relationships/hyperlink" Target="https://actualicese.com/listado-de-convenios-internacionales-para-evitar-la-doble-tributacion-y-otros-acuerdos-para-el-intercambio-de-informacion-fiscal/?referer=L-excel-formato&amp;utm_medium=act_formato_excel&amp;utm_source=act_formato_excel&amp;utm_campaign=act_formato_excel&amp;utm_content=act_formato_excel_link" TargetMode="External"/><Relationship Id="rId81" Type="http://schemas.openxmlformats.org/officeDocument/2006/relationships/hyperlink" Target="https://actualicese.com/formato-de-arqueo-de-caja-general/?referer=L-excel-formato&amp;utm_medium=act_formato_excel&amp;utm_source=act_formato_excel&amp;utm_campaign=act_formato_excel&amp;utm_content=act_formato_excel_link" TargetMode="External"/><Relationship Id="rId605" Type="http://schemas.openxmlformats.org/officeDocument/2006/relationships/hyperlink" Target="https://actualicese.com/matriz-para-definir-casos-en-que-las-personas-naturales-son-agentes-de-retencion-a-titulo-de-renta/?referer=L-excel-formato&amp;utm_medium=act_formato_excel&amp;utm_source=act_formato_excel&amp;utm_campaign=act_formato_excel&amp;utm_content=act_formato_excel_link" TargetMode="External"/><Relationship Id="rId812" Type="http://schemas.openxmlformats.org/officeDocument/2006/relationships/hyperlink" Target="https://actualicese.com/plantilla-para-elaborar-el-formulario-445-complementario-de-normalizacion-tributaria-2019/?referer=L-excel-formato&amp;utm_medium=act_formato_excel&amp;utm_source=act_formato_excel&amp;utm_campaign=act_formato_excel&amp;utm_content=act_formato_excel_link" TargetMode="External"/><Relationship Id="rId1028" Type="http://schemas.openxmlformats.org/officeDocument/2006/relationships/hyperlink" Target="https://actualicese.com/calendario-para-personas-naturales-2018/?referer=L-excel-formato&amp;utm_medium=act_formato_excel&amp;utm_source=act_formato_excel&amp;utm_campaign=act_formato_excel&amp;utm_content=act_formato_excel_link" TargetMode="External"/><Relationship Id="rId1235" Type="http://schemas.openxmlformats.org/officeDocument/2006/relationships/hyperlink" Target="https://actualicese.com/modelo-de-acta-para-nombramiento-de-junta-directiva-yo-revisor-fiscal/?referer=L-excel-formato&amp;utm_medium=act_formato_excel&amp;utm_source=act_formato_excel&amp;utm_campaign=act_formato_excel&amp;utm_content=act_formato_excel_link" TargetMode="External"/><Relationship Id="rId1442" Type="http://schemas.openxmlformats.org/officeDocument/2006/relationships/hyperlink" Target="https://actualicese.com/modelo-de-contrato-de-transporte-terrestre-de-carga/?referer=L-excel-formato&amp;utm_medium=act_formato_excel&amp;utm_source=act_formato_excel&amp;utm_campaign=act_formato_excel&amp;utm_content=act_formato_excel_link" TargetMode="External"/><Relationship Id="rId1887" Type="http://schemas.openxmlformats.org/officeDocument/2006/relationships/hyperlink" Target="https://actualicese.com/liquidador-de-aportes-a-caja-de-compensacion-para-trabajadores-independientes/?referer=L-excel-formato&amp;utm_medium=act_formato_excel&amp;utm_source=act_formato_excel&amp;utm_campaign=act_formato_excel&amp;utm_content=act_formato_excel_link" TargetMode="External"/><Relationship Id="rId1302" Type="http://schemas.openxmlformats.org/officeDocument/2006/relationships/hyperlink" Target="https://actualicese.com/dictamen-revisoria-fiscal-auditoria-externa-con-estandares-internacionales/?referer=L-excel-formato&amp;utm_medium=act_formato_excel&amp;utm_source=act_formato_excel&amp;utm_campaign=act_formato_excel&amp;utm_content=act_formato_excel_link" TargetMode="External"/><Relationship Id="rId1747" Type="http://schemas.openxmlformats.org/officeDocument/2006/relationships/hyperlink" Target="https://actualicese.com/calendario-tributario-2023-version-automatizada-en-excel/?referer=L-excel-formato&amp;utm_medium=act_formato_excel&amp;utm_source=act_formato_excel&amp;utm_campaign=act_formato_excel&amp;utm_content=act_formato_excel_link" TargetMode="External"/><Relationship Id="rId1954" Type="http://schemas.openxmlformats.org/officeDocument/2006/relationships/hyperlink" Target="https://actualicese.com/estado-de-resultados-con-enfoque-de-gastos-por-naturaleza-o-por-funcion/?referer=L-excel-formato&amp;utm_medium=act_formato_excel&amp;utm_source=act_formato_excel&amp;utm_campaign=act_formato_excel&amp;utm_content=act_formato_excel_link" TargetMode="External"/><Relationship Id="rId39" Type="http://schemas.openxmlformats.org/officeDocument/2006/relationships/hyperlink" Target="https://actualicese.com/liquidador-de-aportes-a-arl-para-trabajadores-independientes/?referer=L-excel-formato&amp;utm_medium=act_formato_excel&amp;utm_source=act_formato_excel&amp;utm_campaign=act_formato_excel&amp;utm_content=act_formato_excel_link" TargetMode="External"/><Relationship Id="rId1607" Type="http://schemas.openxmlformats.org/officeDocument/2006/relationships/hyperlink" Target="https://actualicese.com/modelo-compraventa-usufrouct/?referer=L-excel-formato&amp;utm_medium=act_formato_excel&amp;utm_source=act_formato_excel&amp;utm_campaign=act_formato_excel&amp;utm_content=act_formato_excel_link" TargetMode="External"/><Relationship Id="rId1814" Type="http://schemas.openxmlformats.org/officeDocument/2006/relationships/hyperlink" Target="https://actualicese.com/codigos-de-responsabilidades-tributarias-rut-casilla-53/?referer=L-excel-formato&amp;utm_medium=act_formato_excel&amp;utm_source=act_formato_excel&amp;utm_campaign=act_formato_excel&amp;utm_content=act_formato_excel_link" TargetMode="External"/><Relationship Id="rId188" Type="http://schemas.openxmlformats.org/officeDocument/2006/relationships/hyperlink" Target="https://actualicese.com/sanciones-relacionadas-con-la-documentacion-comprobatoria/?referer=L-excel-formato&amp;utm_medium=act_formato_excel&amp;utm_source=act_formato_excel&amp;utm_campaign=act_formato_excel&amp;utm_content=act_formato_excel_link" TargetMode="External"/><Relationship Id="rId395" Type="http://schemas.openxmlformats.org/officeDocument/2006/relationships/hyperlink" Target="https://actualicese.com/liquidador-de-nomina-mensual-de-trabajador-pensionado-por-vejez/?referer=L-excel-formato&amp;utm_medium=act_formato_excel&amp;utm_source=act_formato_excel&amp;utm_campaign=act_formato_excel&amp;utm_content=act_formato_excel_link" TargetMode="External"/><Relationship Id="rId2076" Type="http://schemas.openxmlformats.org/officeDocument/2006/relationships/hyperlink" Target="https://actualicese.com/contrato-modelo-contrato-de-mandato/?referer=L-excel-formato&amp;utm_medium=act_formato_excel&amp;utm_source=act_formato_excel&amp;utm_campaign=act_formato_excel&amp;utm_content=act_formato_excel_link" TargetMode="External"/><Relationship Id="rId2283" Type="http://schemas.openxmlformats.org/officeDocument/2006/relationships/hyperlink" Target="https://actualicese.com/modelo-de-llamado-de-atencion/?referer=L-excel-formato&amp;utm_medium=act_formato_excel&amp;utm_source=act_formato_excel&amp;utm_campaign=act_formato_excel&amp;utm_content=act_formato_excel_link" TargetMode="External"/><Relationship Id="rId255" Type="http://schemas.openxmlformats.org/officeDocument/2006/relationships/hyperlink" Target="https://actualicese.com/prestacion-del-servicio-de-auditoria-externa/?referer=L-excel-formato&amp;utm_medium=act_formato_excel&amp;utm_source=act_formato_excel&amp;utm_campaign=act_formato_excel&amp;utm_content=act_formato_excel_link" TargetMode="External"/><Relationship Id="rId462" Type="http://schemas.openxmlformats.org/officeDocument/2006/relationships/hyperlink" Target="https://actualicese.com/cuestionario-de-control-interno-de-inventarios-en-excel/?referer=L-excel-formato&amp;utm_medium=act_formato_excel&amp;utm_source=act_formato_excel&amp;utm_campaign=act_formato_excel&amp;utm_content=act_formato_excel_link" TargetMode="External"/><Relationship Id="rId1092" Type="http://schemas.openxmlformats.org/officeDocument/2006/relationships/hyperlink" Target="https://actualicese.com/carta-radicacion-de-licencia-de-maternidad-cuando-no-se-cotizo-todo-el-embarazo/?referer=L-excel-formato&amp;utm_medium=act_formato_excel&amp;utm_source=act_formato_excel&amp;utm_campaign=act_formato_excel&amp;utm_content=act_formato_excel_link" TargetMode="External"/><Relationship Id="rId1397" Type="http://schemas.openxmlformats.org/officeDocument/2006/relationships/hyperlink" Target="https://actualicese.com/carta-de-manifestaciones-de-la-direccion-al-auditor-en-una-revision-de-informacion-financiera-intermedia/?referer=L-excel-formato&amp;utm_medium=act_formato_excel&amp;utm_source=act_formato_excel&amp;utm_campaign=act_formato_excel&amp;utm_content=act_formato_excel_link" TargetMode="External"/><Relationship Id="rId2143" Type="http://schemas.openxmlformats.org/officeDocument/2006/relationships/hyperlink" Target="https://actualicese.com/liquidador-de-aportes-a-seguridad-social-de-independientes-por-cuenta-propia-y-rentistas-de-capital/?referer=L-excel-formato&amp;utm_medium=act_formato_excel&amp;utm_source=act_formato_excel&amp;utm_campaign=act_formato_excel&amp;utm_content=act_formato_excel_link" TargetMode="External"/><Relationship Id="rId2350" Type="http://schemas.openxmlformats.org/officeDocument/2006/relationships/hyperlink" Target="https://actualicese.com/lista-de-chequeo-principales-actividades-en-el-cierre-mensual-de-una-pyme/?referer=L-excel-formato&amp;utm_medium=act_formato_excel&amp;utm_source=act_formato_excel&amp;utm_campaign=act_formato_excel&amp;utm_content=act_formato_excel_link" TargetMode="External"/><Relationship Id="rId115" Type="http://schemas.openxmlformats.org/officeDocument/2006/relationships/hyperlink" Target="https://actualicese.com/sancion-por-extemporaneidad-antes-del-emplazamiento/?referer=L-excel-formato&amp;utm_medium=act_formato_excel&amp;utm_source=act_formato_excel&amp;utm_campaign=act_formato_excel&amp;utm_content=act_formato_excel_link" TargetMode="External"/><Relationship Id="rId322" Type="http://schemas.openxmlformats.org/officeDocument/2006/relationships/hyperlink" Target="https://actualicese.com/caso-practico-de-liquidacion-de-nomina-cuando-hay-salario-integral/?referer=L-excel-formato&amp;utm_medium=act_formato_excel&amp;utm_source=act_formato_excel&amp;utm_campaign=act_formato_excel&amp;utm_content=act_formato_excel_link" TargetMode="External"/><Relationship Id="rId767" Type="http://schemas.openxmlformats.org/officeDocument/2006/relationships/hyperlink" Target="https://actualicese.com/formato-exogena-1009-por-el-ano-gravable-2019-reporte-de-cuentas-por-pagar/?referer=L-excel-formato&amp;utm_medium=act_formato_excel&amp;utm_source=act_formato_excel&amp;utm_campaign=act_formato_excel&amp;utm_content=act_formato_excel_link" TargetMode="External"/><Relationship Id="rId974" Type="http://schemas.openxmlformats.org/officeDocument/2006/relationships/hyperlink" Target="https://actualicese.com/remision-de-documentos-reunion-de-acreedores/?referer=L-excel-formato&amp;utm_medium=act_formato_excel&amp;utm_source=act_formato_excel&amp;utm_campaign=act_formato_excel&amp;utm_content=act_formato_excel_link" TargetMode="External"/><Relationship Id="rId2003" Type="http://schemas.openxmlformats.org/officeDocument/2006/relationships/hyperlink" Target="https://actualicese.com/matriz-en-excel-rentas-exentas-descuentos-costos-y-deducciones-para-personas-juridicas-en-2023/?referer=L-excel-formato&amp;utm_medium=act_formato_excel&amp;utm_source=act_formato_excel&amp;utm_campaign=act_formato_excel&amp;utm_content=act_formato_excel_link" TargetMode="External"/><Relationship Id="rId2210" Type="http://schemas.openxmlformats.org/officeDocument/2006/relationships/hyperlink" Target="https://actualicese.com/liquidador-en-excel-del-formulario-110-y-el-formato-2516-declaracion-de-renta-de-personas-juridicas-ag-2023/?referer=L-excel-formato&amp;utm_medium=act_formato_excel&amp;utm_source=act_formato_excel&amp;utm_campaign=act_formato_excel&amp;utm_content=act_formato_excel_link" TargetMode="External"/><Relationship Id="rId2448" Type="http://schemas.openxmlformats.org/officeDocument/2006/relationships/hyperlink" Target="https://actualicese.com/tablas-en-excel-de-retencion-en-la-fuente-por-renta-para-el-ano-fiscal-2025/?referer=L-excel-formato&amp;utm_medium=act_formato_excel&amp;utm_source=act_formato_excel&amp;utm_campaign=act_formato_excel&amp;utm_content=act_formato_excel_link" TargetMode="External"/><Relationship Id="rId627" Type="http://schemas.openxmlformats.org/officeDocument/2006/relationships/hyperlink" Target="https://actualicese.com/modelos-de-notas-a-los-estados-financieros-2020-5-casos-que-pueden-presentarse-por-el-covid-19/?referer=L-excel-formato&amp;utm_medium=act_formato_excel&amp;utm_source=act_formato_excel&amp;utm_campaign=act_formato_excel&amp;utm_content=act_formato_excel_link" TargetMode="External"/><Relationship Id="rId834" Type="http://schemas.openxmlformats.org/officeDocument/2006/relationships/hyperlink" Target="https://actualicese.com/certificacion-del-mandatario-en-contratos-de-mandato/?referer=L-excel-formato&amp;utm_medium=act_formato_excel&amp;utm_source=act_formato_excel&amp;utm_campaign=act_formato_excel&amp;utm_content=act_formato_excel_link" TargetMode="External"/><Relationship Id="rId1257" Type="http://schemas.openxmlformats.org/officeDocument/2006/relationships/hyperlink" Target="https://actualicese.com/lista-de-chequeo-de-revelaciones-seccion-7-estado-de-flujos-de-efectivo/?referer=L-excel-formato&amp;utm_medium=act_formato_excel&amp;utm_source=act_formato_excel&amp;utm_campaign=act_formato_excel&amp;utm_content=act_formato_excel_link" TargetMode="External"/><Relationship Id="rId1464" Type="http://schemas.openxmlformats.org/officeDocument/2006/relationships/hyperlink" Target="https://actualicese.com/liquidacion-del-impuesto-de-renta-y-cree-ano-gravable-2014-para-pequenas-empresas-de-la-ley-1429-de-2010/?referer=L-excel-formato&amp;utm_medium=act_formato_excel&amp;utm_source=act_formato_excel&amp;utm_campaign=act_formato_excel&amp;utm_content=act_formato_excel_link" TargetMode="External"/><Relationship Id="rId1671" Type="http://schemas.openxmlformats.org/officeDocument/2006/relationships/hyperlink" Target="https://actualicese.com/simulador-del-punto-de-equilibrio-en-excel-herramienta-de-analisis-financiero/?referer=L-excel-formato&amp;utm_medium=act_formato_excel&amp;utm_source=act_formato_excel&amp;utm_campaign=act_formato_excel&amp;utm_content=act_formato_excel_link" TargetMode="External"/><Relationship Id="rId2308" Type="http://schemas.openxmlformats.org/officeDocument/2006/relationships/hyperlink" Target="https://actualicese.com/arqueo-caja-menor/?referer=L-excel-formato&amp;utm_medium=act_formato_excel&amp;utm_source=act_formato_excel&amp;utm_campaign=act_formato_excel&amp;utm_content=act_formato_excel_link" TargetMode="External"/><Relationship Id="rId901" Type="http://schemas.openxmlformats.org/officeDocument/2006/relationships/hyperlink" Target="https://actualicese.com/cambios-introducidos-por-la-ley-de-financiamiento-1943-de-2018/?referer=L-excel-formato&amp;utm_medium=act_formato_excel&amp;utm_source=act_formato_excel&amp;utm_campaign=act_formato_excel&amp;utm_content=act_formato_excel_link" TargetMode="External"/><Relationship Id="rId1117" Type="http://schemas.openxmlformats.org/officeDocument/2006/relationships/hyperlink" Target="https://actualicese.com/informacion-requerida-para-agendar-cita-en-la-dian/?referer=L-excel-formato&amp;utm_medium=act_formato_excel&amp;utm_source=act_formato_excel&amp;utm_campaign=act_formato_excel&amp;utm_content=act_formato_excel_link" TargetMode="External"/><Relationship Id="rId1324" Type="http://schemas.openxmlformats.org/officeDocument/2006/relationships/hyperlink" Target="https://actualicese.com/guia-tabla-de-recargos-y-aportes-para-salario-minimo-2016/?referer=L-excel-formato&amp;utm_medium=act_formato_excel&amp;utm_source=act_formato_excel&amp;utm_campaign=act_formato_excel&amp;utm_content=act_formato_excel_link" TargetMode="External"/><Relationship Id="rId1531" Type="http://schemas.openxmlformats.org/officeDocument/2006/relationships/hyperlink" Target="https://actualicese.com/plantilla-para-elaborar-el-esfa-individual-a-enero-1-de-2014-en-entidades-del-grupo-1/?referer=L-excel-formato&amp;utm_medium=act_formato_excel&amp;utm_source=act_formato_excel&amp;utm_campaign=act_formato_excel&amp;utm_content=act_formato_excel_link" TargetMode="External"/><Relationship Id="rId1769" Type="http://schemas.openxmlformats.org/officeDocument/2006/relationships/hyperlink" Target="https://actualicese.com/cuadro-comparativo-de-regimenes-pensionales-en-colombia/?referer=L-excel-formato&amp;utm_medium=act_formato_excel&amp;utm_source=act_formato_excel&amp;utm_campaign=act_formato_excel&amp;utm_content=act_formato_excel_link" TargetMode="External"/><Relationship Id="rId1976" Type="http://schemas.openxmlformats.org/officeDocument/2006/relationships/hyperlink" Target="https://actualicese.com/ejercicios-sobre-metodos-de-depreciacion-linea-recta-decreciente-unidades-de-produccion-y-mas/?referer=L-excel-formato&amp;utm_medium=act_formato_excel&amp;utm_source=act_formato_excel&amp;utm_campaign=act_formato_excel&amp;utm_content=act_formato_excel_link" TargetMode="External"/><Relationship Id="rId30" Type="http://schemas.openxmlformats.org/officeDocument/2006/relationships/hyperlink" Target="https://actualicese.com/liquidador-caso-practico-en-excel-impuesto-diferido-por-valorizacion-de-activos-intangibles/?referer=L-excel-formato&amp;utm_medium=act_formato_excel&amp;utm_source=act_formato_excel&amp;utm_campaign=act_formato_excel&amp;utm_content=act_formato_excel_link" TargetMode="External"/><Relationship Id="rId1629" Type="http://schemas.openxmlformats.org/officeDocument/2006/relationships/hyperlink" Target="https://actualicese.com/modelo-de-consolidacion-accionaria-exigida-en-el-articulo-130-del-decreto-2649-de-1993/?referer=L-excel-formato&amp;utm_medium=act_formato_excel&amp;utm_source=act_formato_excel&amp;utm_campaign=act_formato_excel&amp;utm_content=act_formato_excel_link" TargetMode="External"/><Relationship Id="rId1836" Type="http://schemas.openxmlformats.org/officeDocument/2006/relationships/hyperlink" Target="https://actualicese.com/caso-practico-de-liquidacion-de-nomina-cuando-hay-salario-integral/?referer=L-excel-formato&amp;utm_medium=act_formato_excel&amp;utm_source=act_formato_excel&amp;utm_campaign=act_formato_excel&amp;utm_content=act_formato_excel_link" TargetMode="External"/><Relationship Id="rId1903" Type="http://schemas.openxmlformats.org/officeDocument/2006/relationships/hyperlink" Target="https://actualicese.com/certificacion-del-contador-o-revisor-fiscal-para-la-inscripcion-de-libros-en-la-camara-de-comercio/?referer=L-excel-formato&amp;utm_medium=act_formato_excel&amp;utm_source=act_formato_excel&amp;utm_campaign=act_formato_excel&amp;utm_content=act_formato_excel_link" TargetMode="External"/><Relationship Id="rId2098" Type="http://schemas.openxmlformats.org/officeDocument/2006/relationships/hyperlink" Target="https://actualicese.com/12-liquidadores-para-calcular-la-prima-de-servicios-semestral/?referer=L-excel-formato&amp;utm_medium=act_formato_excel&amp;utm_source=act_formato_excel&amp;utm_campaign=act_formato_excel&amp;utm_content=act_formato_excel_link" TargetMode="External"/><Relationship Id="rId277" Type="http://schemas.openxmlformats.org/officeDocument/2006/relationships/hyperlink" Target="https://actualicese.com/certificado-de-no-declarante-del-impuesto-de-renta-y-complementario-2021/?referer=L-excel-formato&amp;utm_medium=act_formato_excel&amp;utm_source=act_formato_excel&amp;utm_campaign=act_formato_excel&amp;utm_content=act_formato_excel_link" TargetMode="External"/><Relationship Id="rId484" Type="http://schemas.openxmlformats.org/officeDocument/2006/relationships/hyperlink" Target="https://actualicese.com/modelos-y-guias-sobre-aspectos-labores-y-comerciales-que-deben-atender-los-trabajadores-independientes/?referer=L-excel-formato&amp;utm_medium=act_formato_excel&amp;utm_source=act_formato_excel&amp;utm_campaign=act_formato_excel&amp;utm_content=act_formato_excel_link" TargetMode="External"/><Relationship Id="rId2165" Type="http://schemas.openxmlformats.org/officeDocument/2006/relationships/hyperlink" Target="https://actualicese.com/liquidador-de-sancion-por-correccion-presentada-por-el-contribuyente/?referer=L-excel-formato&amp;utm_medium=act_formato_excel&amp;utm_source=act_formato_excel&amp;utm_campaign=act_formato_excel&amp;utm_content=act_formato_excel_link" TargetMode="External"/><Relationship Id="rId137" Type="http://schemas.openxmlformats.org/officeDocument/2006/relationships/hyperlink" Target="https://actualicese.com/ejercicios-para-determinar-si-una-persona-natural-esta-obligada-a-presentar-renta-por-el-ag-2021/?referer=L-excel-formato&amp;utm_medium=act_formato_excel&amp;utm_source=act_formato_excel&amp;utm_campaign=act_formato_excel&amp;utm_content=act_formato_excel_link" TargetMode="External"/><Relationship Id="rId344" Type="http://schemas.openxmlformats.org/officeDocument/2006/relationships/hyperlink" Target="https://actualicese.com/estados-financieros-consolidados-opinion-desfavorable-por-incorreccion-material/?referer=L-excel-formato&amp;utm_medium=act_formato_excel&amp;utm_source=act_formato_excel&amp;utm_campaign=act_formato_excel&amp;utm_content=act_formato_excel_link" TargetMode="External"/><Relationship Id="rId691" Type="http://schemas.openxmlformats.org/officeDocument/2006/relationships/hyperlink" Target="https://actualicese.com/contabilizacion-de-impuesto-diferido-ante-deterioro-de-cartera/?referer=L-excel-formato&amp;utm_medium=act_formato_excel&amp;utm_source=act_formato_excel&amp;utm_campaign=act_formato_excel&amp;utm_content=act_formato_excel_link" TargetMode="External"/><Relationship Id="rId789" Type="http://schemas.openxmlformats.org/officeDocument/2006/relationships/hyperlink" Target="https://actualicese.com/calculo-de-renta-presuntiva-para-el-periodo-gravable-2019/?referer=L-excel-formato&amp;utm_medium=act_formato_excel&amp;utm_source=act_formato_excel&amp;utm_campaign=act_formato_excel&amp;utm_content=act_formato_excel_link" TargetMode="External"/><Relationship Id="rId996" Type="http://schemas.openxmlformats.org/officeDocument/2006/relationships/hyperlink" Target="https://actualicese.com/arqueo-de-caja/?referer=L-excel-formato&amp;utm_medium=act_formato_excel&amp;utm_source=act_formato_excel&amp;utm_campaign=act_formato_excel&amp;utm_content=act_formato_excel_link" TargetMode="External"/><Relationship Id="rId2025" Type="http://schemas.openxmlformats.org/officeDocument/2006/relationships/hyperlink" Target="https://actualicese.com/casos-practicos-sobre-contabilizacion-de-combinacion-de-negocios-y-determinacion-de-la-plusvalia/?referer=L-excel-formato&amp;utm_medium=act_formato_excel&amp;utm_source=act_formato_excel&amp;utm_campaign=act_formato_excel&amp;utm_content=act_formato_excel_link" TargetMode="External"/><Relationship Id="rId2372" Type="http://schemas.openxmlformats.org/officeDocument/2006/relationships/hyperlink" Target="https://actualicese.com/conciliacion-contable-y-tributaria-casos-de-descuentos-y-donaciones-especiales/?referer=L-excel-formato&amp;utm_medium=act_formato_excel&amp;utm_source=act_formato_excel&amp;utm_campaign=act_formato_excel&amp;utm_content=act_formato_excel_link" TargetMode="External"/><Relationship Id="rId551" Type="http://schemas.openxmlformats.org/officeDocument/2006/relationships/hyperlink" Target="https://actualicese.com/plantilla-del-estado-de-costos-de-produccion-y-ventas/?referer=L-excel-formato&amp;utm_medium=act_formato_excel&amp;utm_source=act_formato_excel&amp;utm_campaign=act_formato_excel&amp;utm_content=act_formato_excel_link" TargetMode="External"/><Relationship Id="rId649" Type="http://schemas.openxmlformats.org/officeDocument/2006/relationships/hyperlink" Target="https://actualicese.com/plantilla-para-elaborar-formulario-220-certificado-de-ingresos-y-retenciones-ano-gravable-2020/?referer=L-excel-formato&amp;utm_medium=act_formato_excel&amp;utm_source=act_formato_excel&amp;utm_campaign=act_formato_excel&amp;utm_content=act_formato_excel_link" TargetMode="External"/><Relationship Id="rId856" Type="http://schemas.openxmlformats.org/officeDocument/2006/relationships/hyperlink" Target="https://actualicese.com/formato-exogena-1004-de-2018-reporte-de-descuentos-al-impuesto-de-renta-y-ganancia-ocasional/?referer=L-excel-formato&amp;utm_medium=act_formato_excel&amp;utm_source=act_formato_excel&amp;utm_campaign=act_formato_excel&amp;utm_content=act_formato_excel_link" TargetMode="External"/><Relationship Id="rId1181" Type="http://schemas.openxmlformats.org/officeDocument/2006/relationships/hyperlink" Target="https://actualicese.com/tabla-de-retenciones-en-la-fuente-por-renta-ano-fiscal-2017/?referer=L-excel-formato&amp;utm_medium=act_formato_excel&amp;utm_source=act_formato_excel&amp;utm_campaign=act_formato_excel&amp;utm_content=act_formato_excel_link" TargetMode="External"/><Relationship Id="rId1279" Type="http://schemas.openxmlformats.org/officeDocument/2006/relationships/hyperlink" Target="https://actualicese.com/hoja-de-trabajo-para-el-control-de-activos-fijos/?referer=L-excel-formato&amp;utm_medium=act_formato_excel&amp;utm_source=act_formato_excel&amp;utm_campaign=act_formato_excel&amp;utm_content=act_formato_excel_link" TargetMode="External"/><Relationship Id="rId1486" Type="http://schemas.openxmlformats.org/officeDocument/2006/relationships/hyperlink" Target="https://actualicese.com/cumplimiento-oportuno-de-obligaciones-tributarias/?referer=L-excel-formato&amp;utm_medium=act_formato_excel&amp;utm_source=act_formato_excel&amp;utm_campaign=act_formato_excel&amp;utm_content=act_formato_excel_link" TargetMode="External"/><Relationship Id="rId2232" Type="http://schemas.openxmlformats.org/officeDocument/2006/relationships/hyperlink" Target="https://actualicese.com/aportes-al-fondo-de-solidaridad-pensional-por-parte-de-un-empleado/?referer=L-excel-formato&amp;utm_medium=act_formato_excel&amp;utm_source=act_formato_excel&amp;utm_campaign=act_formato_excel&amp;utm_content=act_formato_excel_link" TargetMode="External"/><Relationship Id="rId204" Type="http://schemas.openxmlformats.org/officeDocument/2006/relationships/hyperlink" Target="https://actualicese.com/casos-practicos-sobre-aiu-calculo-del-iva-y-retencion-en-la-fuente-en-esta-figura/?referer=L-excel-formato&amp;utm_medium=act_formato_excel&amp;utm_source=act_formato_excel&amp;utm_campaign=act_formato_excel&amp;utm_content=act_formato_excel_link" TargetMode="External"/><Relationship Id="rId411" Type="http://schemas.openxmlformats.org/officeDocument/2006/relationships/hyperlink" Target="https://actualicese.com/historico-de-tasas-de-intereses-moratorios-dian/?referer=L-excel-formato&amp;utm_medium=act_formato_excel&amp;utm_source=act_formato_excel&amp;utm_campaign=act_formato_excel&amp;utm_content=act_formato_excel_link" TargetMode="External"/><Relationship Id="rId509" Type="http://schemas.openxmlformats.org/officeDocument/2006/relationships/hyperlink" Target="https://actualicese.com/guia-para-diligenciar-la-planilla-integrada-de-liquidacion-de-aportes-de-los-independientes/?referer=L-excel-formato&amp;utm_medium=act_formato_excel&amp;utm_source=act_formato_excel&amp;utm_campaign=act_formato_excel&amp;utm_content=act_formato_excel_link" TargetMode="External"/><Relationship Id="rId1041" Type="http://schemas.openxmlformats.org/officeDocument/2006/relationships/hyperlink" Target="https://actualicese.com/regimen-simplificado-del-iva-y-del-impuesto-al-consumo-diferencias-y-similitudes/?referer=L-excel-formato&amp;utm_medium=act_formato_excel&amp;utm_source=act_formato_excel&amp;utm_campaign=act_formato_excel&amp;utm_content=act_formato_excel_link" TargetMode="External"/><Relationship Id="rId1139" Type="http://schemas.openxmlformats.org/officeDocument/2006/relationships/hyperlink" Target="https://actualicese.com/modelo-de-certificacion-de-estados-financieros-version-extendida/?referer=L-excel-formato&amp;utm_medium=act_formato_excel&amp;utm_source=act_formato_excel&amp;utm_campaign=act_formato_excel&amp;utm_content=act_formato_excel_link" TargetMode="External"/><Relationship Id="rId1346" Type="http://schemas.openxmlformats.org/officeDocument/2006/relationships/hyperlink" Target="https://actualicese.com/lista-de-chequeo-de-revelaciones-nic-18-ingresos-de-actividades-ordinarias/?referer=L-excel-formato&amp;utm_medium=act_formato_excel&amp;utm_source=act_formato_excel&amp;utm_campaign=act_formato_excel&amp;utm_content=act_formato_excel_link" TargetMode="External"/><Relationship Id="rId1693" Type="http://schemas.openxmlformats.org/officeDocument/2006/relationships/hyperlink" Target="https://actualicese.com/pack-de-formatos-para-el-cierre-contable-y-fiscal-del-ano-gravable-2022/?referer=L-excel-formato&amp;utm_medium=act_formato_excel&amp;utm_source=act_formato_excel&amp;utm_campaign=act_formato_excel&amp;utm_content=act_formato_excel_link" TargetMode="External"/><Relationship Id="rId1998" Type="http://schemas.openxmlformats.org/officeDocument/2006/relationships/hyperlink" Target="https://actualicese.com/modelo-cesion-de-acciones/?referer=L-excel-formato&amp;utm_medium=act_formato_excel&amp;utm_source=act_formato_excel&amp;utm_campaign=act_formato_excel&amp;utm_content=act_formato_excel_link" TargetMode="External"/><Relationship Id="rId716" Type="http://schemas.openxmlformats.org/officeDocument/2006/relationships/hyperlink" Target="https://actualicese.com/certificado-de-normalizacion-de-actividades-afectadas-por-el-covid-19/?referer=L-excel-formato&amp;utm_medium=act_formato_excel&amp;utm_source=act_formato_excel&amp;utm_campaign=act_formato_excel&amp;utm_content=act_formato_excel_link" TargetMode="External"/><Relationship Id="rId923" Type="http://schemas.openxmlformats.org/officeDocument/2006/relationships/hyperlink" Target="https://actualicese.com/normas-del-estatuto-tributario-sobre-el-patrimonio-y-renta-segun-obligacion-de-llevar-contabilidad/?referer=L-excel-formato&amp;utm_medium=act_formato_excel&amp;utm_source=act_formato_excel&amp;utm_campaign=act_formato_excel&amp;utm_content=act_formato_excel_link" TargetMode="External"/><Relationship Id="rId1553" Type="http://schemas.openxmlformats.org/officeDocument/2006/relationships/hyperlink" Target="https://actualicese.com/conciliacion-entre-la-renta-contable-y-la-renta-fiscal/?referer=L-excel-formato&amp;utm_medium=act_formato_excel&amp;utm_source=act_formato_excel&amp;utm_campaign=act_formato_excel&amp;utm_content=act_formato_excel_link" TargetMode="External"/><Relationship Id="rId1760" Type="http://schemas.openxmlformats.org/officeDocument/2006/relationships/hyperlink" Target="https://actualicese.com/historico-de-la-variacion-nominal-del-salario-minimo-e-inflacion-1993-2023/?referer=L-excel-formato&amp;utm_medium=act_formato_excel&amp;utm_source=act_formato_excel&amp;utm_campaign=act_formato_excel&amp;utm_content=act_formato_excel_link" TargetMode="External"/><Relationship Id="rId1858" Type="http://schemas.openxmlformats.org/officeDocument/2006/relationships/hyperlink" Target="https://actualicese.com/plantilla-del-formato-1009-para-el-reporte-de-exogena-2022-informacion-de-cuentas-por-pagar/?referer=L-excel-formato&amp;utm_medium=act_formato_excel&amp;utm_source=act_formato_excel&amp;utm_campaign=act_formato_excel&amp;utm_content=act_formato_excel_link" TargetMode="External"/><Relationship Id="rId52" Type="http://schemas.openxmlformats.org/officeDocument/2006/relationships/hyperlink" Target="https://actualicese.com/planeador-en-excel-para-contadores-publicos/?referer=L-excel-formato&amp;utm_medium=act_formato_excel&amp;utm_source=act_formato_excel&amp;utm_campaign=act_formato_excel&amp;utm_content=act_formato_excel_link" TargetMode="External"/><Relationship Id="rId1206" Type="http://schemas.openxmlformats.org/officeDocument/2006/relationships/hyperlink" Target="https://actualicese.com/estructura-general-del-proyecto-ley-reforma-tributaria-estructural/?referer=L-excel-formato&amp;utm_medium=act_formato_excel&amp;utm_source=act_formato_excel&amp;utm_campaign=act_formato_excel&amp;utm_content=act_formato_excel_link" TargetMode="External"/><Relationship Id="rId1413" Type="http://schemas.openxmlformats.org/officeDocument/2006/relationships/hyperlink" Target="https://actualicese.com/normatividad-a-tener-en-cuenta-en-la-preparacion-de-la-declaracion-de-renta-personas-naturales-ano-gravable-2014/?referer=L-excel-formato&amp;utm_medium=act_formato_excel&amp;utm_source=act_formato_excel&amp;utm_campaign=act_formato_excel&amp;utm_content=act_formato_excel_link" TargetMode="External"/><Relationship Id="rId1620" Type="http://schemas.openxmlformats.org/officeDocument/2006/relationships/hyperlink" Target="https://actualicese.com/word-modelo-para-la-elaboracion-de-un-contrato-de-suministro/?referer=L-excel-formato&amp;utm_medium=act_formato_excel&amp;utm_source=act_formato_excel&amp;utm_campaign=act_formato_excel&amp;utm_content=act_formato_excel_link" TargetMode="External"/><Relationship Id="rId1718" Type="http://schemas.openxmlformats.org/officeDocument/2006/relationships/hyperlink" Target="https://actualicese.com/liquidador-en-excel-del-porcentaje-fijo-de-retencion-en-la-fuente-sobre-salarios-en-diciembre-de-2022-procedimiento-2/?referer=L-excel-formato&amp;utm_medium=act_formato_excel&amp;utm_source=act_formato_excel&amp;utm_campaign=act_formato_excel&amp;utm_content=act_formato_excel_link" TargetMode="External"/><Relationship Id="rId1925" Type="http://schemas.openxmlformats.org/officeDocument/2006/relationships/hyperlink" Target="https://actualicese.com/convocatoria-a-una-reunion-extraordinaria/?referer=L-excel-formato&amp;utm_medium=act_formato_excel&amp;utm_source=act_formato_excel&amp;utm_campaign=act_formato_excel&amp;utm_content=act_formato_excel_link" TargetMode="External"/><Relationship Id="rId299" Type="http://schemas.openxmlformats.org/officeDocument/2006/relationships/hyperlink" Target="https://actualicese.com/liquidador-del-costo-de-renovacion-de-matricula-mercantil-y-de-establecimientos-de-comercio-2022/?referer=L-excel-formato&amp;utm_medium=act_formato_excel&amp;utm_source=act_formato_excel&amp;utm_campaign=act_formato_excel&amp;utm_content=act_formato_excel_link" TargetMode="External"/><Relationship Id="rId2187" Type="http://schemas.openxmlformats.org/officeDocument/2006/relationships/hyperlink" Target="https://actualicese.com/modelo-en-word-de-un-acuerdo-de-exclusividad-laboral/?referer=L-excel-formato&amp;utm_medium=act_formato_excel&amp;utm_source=act_formato_excel&amp;utm_campaign=act_formato_excel&amp;utm_content=act_formato_excel_link" TargetMode="External"/><Relationship Id="rId2394" Type="http://schemas.openxmlformats.org/officeDocument/2006/relationships/hyperlink" Target="https://actualicese.com/determinacion-de-diferencias-temporarias-e-impuesto-diferido/?referer=L-excel-formato&amp;utm_medium=act_formato_excel&amp;utm_source=act_formato_excel&amp;utm_campaign=act_formato_excel&amp;utm_content=act_formato_excel_link" TargetMode="External"/><Relationship Id="rId159" Type="http://schemas.openxmlformats.org/officeDocument/2006/relationships/hyperlink" Target="https://actualicese.com/plantilla-para-el-control-y-auditoria-del-gasto-de-servicios-publicos/?referer=L-excel-formato&amp;utm_medium=act_formato_excel&amp;utm_source=act_formato_excel&amp;utm_campaign=act_formato_excel&amp;utm_content=act_formato_excel_link" TargetMode="External"/><Relationship Id="rId366" Type="http://schemas.openxmlformats.org/officeDocument/2006/relationships/hyperlink" Target="https://actualicese.com/plantilla-en-excel-del-formulario-350-ag-2022-declaracion-de-retencion-en-la-fuente/?referer=L-excel-formato&amp;utm_medium=act_formato_excel&amp;utm_source=act_formato_excel&amp;utm_campaign=act_formato_excel&amp;utm_content=act_formato_excel_link" TargetMode="External"/><Relationship Id="rId573" Type="http://schemas.openxmlformats.org/officeDocument/2006/relationships/hyperlink" Target="https://actualicese.com/liquidador-de-aportes-en-el-piso-de-proteccion-social-trabajadores-dependientes-e-independientes/?referer=L-excel-formato&amp;utm_medium=act_formato_excel&amp;utm_source=act_formato_excel&amp;utm_campaign=act_formato_excel&amp;utm_content=act_formato_excel_link" TargetMode="External"/><Relationship Id="rId780" Type="http://schemas.openxmlformats.org/officeDocument/2006/relationships/hyperlink" Target="https://actualicese.com/informe-de-revision-de-informacion-financiera-intermedia-sin-salvedades/?referer=L-excel-formato&amp;utm_medium=act_formato_excel&amp;utm_source=act_formato_excel&amp;utm_campaign=act_formato_excel&amp;utm_content=act_formato_excel_link" TargetMode="External"/><Relationship Id="rId2047" Type="http://schemas.openxmlformats.org/officeDocument/2006/relationships/hyperlink" Target="https://actualicese.com/liquidador-impuesto-diferido-por-activos-biologicos-caso-practico-en-excel/?referer=L-excel-formato&amp;utm_medium=act_formato_excel&amp;utm_source=act_formato_excel&amp;utm_campaign=act_formato_excel&amp;utm_content=act_formato_excel_link" TargetMode="External"/><Relationship Id="rId2254" Type="http://schemas.openxmlformats.org/officeDocument/2006/relationships/hyperlink" Target="https://actualicese.com/contrato-individual-de-trabajo-a-termino-fijo/?referer=L-excel-formato&amp;utm_medium=act_formato_excel&amp;utm_source=act_formato_excel&amp;utm_campaign=act_formato_excel&amp;utm_content=act_formato_excel_link" TargetMode="External"/><Relationship Id="rId226" Type="http://schemas.openxmlformats.org/officeDocument/2006/relationships/hyperlink" Target="https://actualicese.com/contrato-de-trabajo-a-termino-indefinido-con-menor-de-edad/?referer=L-excel-formato&amp;utm_medium=act_formato_excel&amp;utm_source=act_formato_excel&amp;utm_campaign=act_formato_excel&amp;utm_content=act_formato_excel_link" TargetMode="External"/><Relationship Id="rId433" Type="http://schemas.openxmlformats.org/officeDocument/2006/relationships/hyperlink" Target="https://actualicese.com/solicitud-de-licencia-por-luto/?referer=L-excel-formato&amp;utm_medium=act_formato_excel&amp;utm_source=act_formato_excel&amp;utm_campaign=act_formato_excel&amp;utm_content=act_formato_excel_link" TargetMode="External"/><Relationship Id="rId878" Type="http://schemas.openxmlformats.org/officeDocument/2006/relationships/hyperlink" Target="https://actualicese.com/modelo-del-certificado-anual-a-socios-o-accionistas-por-el-ano-2018/?referer=L-excel-formato&amp;utm_medium=act_formato_excel&amp;utm_source=act_formato_excel&amp;utm_campaign=act_formato_excel&amp;utm_content=act_formato_excel_link" TargetMode="External"/><Relationship Id="rId1063" Type="http://schemas.openxmlformats.org/officeDocument/2006/relationships/hyperlink" Target="https://actualicese.com/patrimonio-y-rentas-a-declarar-segun-la-residencia-fiscal-del-contribuyente/?referer=L-excel-formato&amp;utm_medium=act_formato_excel&amp;utm_source=act_formato_excel&amp;utm_campaign=act_formato_excel&amp;utm_content=act_formato_excel_link" TargetMode="External"/><Relationship Id="rId1270" Type="http://schemas.openxmlformats.org/officeDocument/2006/relationships/hyperlink" Target="https://actualicese.com/proyeccion-impuesto-a-la-riqueza-y-de-normalizacion-tributaria-2015-a-2018/?referer=L-excel-formato&amp;utm_medium=act_formato_excel&amp;utm_source=act_formato_excel&amp;utm_campaign=act_formato_excel&amp;utm_content=act_formato_excel_link" TargetMode="External"/><Relationship Id="rId2114" Type="http://schemas.openxmlformats.org/officeDocument/2006/relationships/hyperlink" Target="https://actualicese.com/listado-de-convenios-internacionales-para-evitar-la-doble-tributacion-ano-gravable-2022-y-2023/?referer=L-excel-formato&amp;utm_medium=act_formato_excel&amp;utm_source=act_formato_excel&amp;utm_campaign=act_formato_excel&amp;utm_content=act_formato_excel_link" TargetMode="External"/><Relationship Id="rId640" Type="http://schemas.openxmlformats.org/officeDocument/2006/relationships/hyperlink" Target="https://actualicese.com/clasificacion-de-las-personas-juridicas-frente-al-impuesto-de-renta-y-al-simple-ano-gravable-2020/?referer=L-excel-formato&amp;utm_medium=act_formato_excel&amp;utm_source=act_formato_excel&amp;utm_campaign=act_formato_excel&amp;utm_content=act_formato_excel_link" TargetMode="External"/><Relationship Id="rId738" Type="http://schemas.openxmlformats.org/officeDocument/2006/relationships/hyperlink" Target="https://actualicese.com/otro-si-nuevos-plazos-para-pago-de-la-prima-de-servicios-de-2020-primer-semestre/?referer=L-excel-formato&amp;utm_medium=act_formato_excel&amp;utm_source=act_formato_excel&amp;utm_campaign=act_formato_excel&amp;utm_content=act_formato_excel_link" TargetMode="External"/><Relationship Id="rId945" Type="http://schemas.openxmlformats.org/officeDocument/2006/relationships/hyperlink" Target="https://actualicese.com/liquidador-de-vacaciones/?referer=L-excel-formato&amp;utm_medium=act_formato_excel&amp;utm_source=act_formato_excel&amp;utm_campaign=act_formato_excel&amp;utm_content=act_formato_excel_link" TargetMode="External"/><Relationship Id="rId1368" Type="http://schemas.openxmlformats.org/officeDocument/2006/relationships/hyperlink" Target="https://actualicese.com/estructura-del-contenido-de-la-resolucion-dian-112-de-octubre-29-del-2015/?referer=L-excel-formato&amp;utm_medium=act_formato_excel&amp;utm_source=act_formato_excel&amp;utm_campaign=act_formato_excel&amp;utm_content=act_formato_excel_link" TargetMode="External"/><Relationship Id="rId1575" Type="http://schemas.openxmlformats.org/officeDocument/2006/relationships/hyperlink" Target="https://actualicese.com/las-preguntas-mas-frecuentes-sobre-la-contratacion-del-trabajo-domestico/?referer=L-excel-formato&amp;utm_medium=act_formato_excel&amp;utm_source=act_formato_excel&amp;utm_campaign=act_formato_excel&amp;utm_content=act_formato_excel_link" TargetMode="External"/><Relationship Id="rId1782" Type="http://schemas.openxmlformats.org/officeDocument/2006/relationships/hyperlink" Target="https://actualicese.com/listado-de-convenios-internacionales-para-evitar-la-doble-tributacion-ano-gravable-2022-y-2023/?referer=L-excel-formato&amp;utm_medium=act_formato_excel&amp;utm_source=act_formato_excel&amp;utm_campaign=act_formato_excel&amp;utm_content=act_formato_excel_link" TargetMode="External"/><Relationship Id="rId2321" Type="http://schemas.openxmlformats.org/officeDocument/2006/relationships/hyperlink" Target="https://actualicese.com/respuesta-a-solicitud-de-un-servicio/?referer=L-excel-formato&amp;utm_medium=act_formato_excel&amp;utm_source=act_formato_excel&amp;utm_campaign=act_formato_excel&amp;utm_content=act_formato_excel_link" TargetMode="External"/><Relationship Id="rId2419" Type="http://schemas.openxmlformats.org/officeDocument/2006/relationships/hyperlink" Target="https://actualicese.com/calendario-tributario-2025-version-descargable/?referer=L-excel-formato&amp;utm_medium=act_formato_excel&amp;utm_source=act_formato_excel&amp;utm_campaign=act_formato_excel&amp;utm_content=act_formato_excel_link" TargetMode="External"/><Relationship Id="rId74" Type="http://schemas.openxmlformats.org/officeDocument/2006/relationships/hyperlink" Target="https://actualicese.com/casos-practicos-de-contabilizacion-de-inversiones-en-cdt/?referer=L-excel-formato&amp;utm_medium=act_formato_excel&amp;utm_source=act_formato_excel&amp;utm_campaign=act_formato_excel&amp;utm_content=act_formato_excel_link" TargetMode="External"/><Relationship Id="rId500" Type="http://schemas.openxmlformats.org/officeDocument/2006/relationships/hyperlink" Target="https://actualicese.com/ejercicios-de-verificacion-de-requisitos-para-acceder-al-apoyo-por-contratar-jovenes/?referer=L-excel-formato&amp;utm_medium=act_formato_excel&amp;utm_source=act_formato_excel&amp;utm_campaign=act_formato_excel&amp;utm_content=act_formato_excel_link" TargetMode="External"/><Relationship Id="rId805" Type="http://schemas.openxmlformats.org/officeDocument/2006/relationships/hyperlink" Target="https://actualicese.com/convenios-para-evitar-la-doble-tributacion-aplicables-al-ano-gravable-2019/?referer=L-excel-formato&amp;utm_medium=act_formato_excel&amp;utm_source=act_formato_excel&amp;utm_campaign=act_formato_excel&amp;utm_content=act_formato_excel_link" TargetMode="External"/><Relationship Id="rId1130" Type="http://schemas.openxmlformats.org/officeDocument/2006/relationships/hyperlink" Target="https://actualicese.com/incentivos-de-la-reforma-tributaria-que-fueron-reglamentados-a-nivel-territorial/?referer=L-excel-formato&amp;utm_medium=act_formato_excel&amp;utm_source=act_formato_excel&amp;utm_campaign=act_formato_excel&amp;utm_content=act_formato_excel_link" TargetMode="External"/><Relationship Id="rId1228" Type="http://schemas.openxmlformats.org/officeDocument/2006/relationships/hyperlink" Target="https://actualicese.com/modelo-de-circularizacion-con-abogados/?referer=L-excel-formato&amp;utm_medium=act_formato_excel&amp;utm_source=act_formato_excel&amp;utm_campaign=act_formato_excel&amp;utm_content=act_formato_excel_link" TargetMode="External"/><Relationship Id="rId1435" Type="http://schemas.openxmlformats.org/officeDocument/2006/relationships/hyperlink" Target="https://actualicese.com/contrato-de-deposito/?referer=L-excel-formato&amp;utm_medium=act_formato_excel&amp;utm_source=act_formato_excel&amp;utm_campaign=act_formato_excel&amp;utm_content=act_formato_excel_link" TargetMode="External"/><Relationship Id="rId1642" Type="http://schemas.openxmlformats.org/officeDocument/2006/relationships/hyperlink" Target="https://actualicese.com/correccion-de-errores-de-periodos-anteriores-en-el-cierre-contable/?referer=L-excel-formato&amp;utm_medium=act_formato_excel&amp;utm_source=act_formato_excel&amp;utm_campaign=act_formato_excel&amp;utm_content=act_formato_excel_link" TargetMode="External"/><Relationship Id="rId1947" Type="http://schemas.openxmlformats.org/officeDocument/2006/relationships/hyperlink" Target="https://actualicese.com/formatos-de-analisis-financiero-en-excel/?referer=L-excel-formato&amp;utm_medium=act_formato_excel&amp;utm_source=act_formato_excel&amp;utm_campaign=act_formato_excel&amp;utm_content=act_formato_excel_link" TargetMode="External"/><Relationship Id="rId1502" Type="http://schemas.openxmlformats.org/officeDocument/2006/relationships/hyperlink" Target="https://actualicese.com/modelo-cesion-de-acciones/?referer=L-excel-formato&amp;utm_medium=act_formato_excel&amp;utm_source=act_formato_excel&amp;utm_campaign=act_formato_excel&amp;utm_content=act_formato_excel_link" TargetMode="External"/><Relationship Id="rId1807" Type="http://schemas.openxmlformats.org/officeDocument/2006/relationships/hyperlink" Target="https://actualicese.com/herramienta-en-excel-para-la-consulta-automatica-de-terceros-en-la-dian/?referer=L-excel-formato&amp;utm_medium=act_formato_excel&amp;utm_source=act_formato_excel&amp;utm_campaign=act_formato_excel&amp;utm_content=act_formato_excel_link" TargetMode="External"/><Relationship Id="rId290" Type="http://schemas.openxmlformats.org/officeDocument/2006/relationships/hyperlink" Target="https://actualicese.com/plantilla-del-formato-1647-para-el-reporte-de-ingresos-recibidos-para-terceros-exogena-2021/?referer=L-excel-formato&amp;utm_medium=act_formato_excel&amp;utm_source=act_formato_excel&amp;utm_campaign=act_formato_excel&amp;utm_content=act_formato_excel_link" TargetMode="External"/><Relationship Id="rId388" Type="http://schemas.openxmlformats.org/officeDocument/2006/relationships/hyperlink" Target="https://actualicese.com/guia-informacion-laboral-2022/?referer=L-excel-formato&amp;utm_medium=act_formato_excel&amp;utm_source=act_formato_excel&amp;utm_campaign=act_formato_excel&amp;utm_content=act_formato_excel_link" TargetMode="External"/><Relationship Id="rId2069" Type="http://schemas.openxmlformats.org/officeDocument/2006/relationships/hyperlink" Target="https://actualicese.com/formato-de-control-de-clientes-de-declaracion-de-renta-de-persona-natural/?referer=L-excel-formato&amp;utm_medium=act_formato_excel&amp;utm_source=act_formato_excel&amp;utm_campaign=act_formato_excel&amp;utm_content=act_formato_excel_link" TargetMode="External"/><Relationship Id="rId150" Type="http://schemas.openxmlformats.org/officeDocument/2006/relationships/hyperlink" Target="https://actualicese.com/caso-practico-aportes-del-paef-en-la-declaracion-de-renta-de-personas-naturales/?referer=L-excel-formato&amp;utm_medium=act_formato_excel&amp;utm_source=act_formato_excel&amp;utm_campaign=act_formato_excel&amp;utm_content=act_formato_excel_link" TargetMode="External"/><Relationship Id="rId595" Type="http://schemas.openxmlformats.org/officeDocument/2006/relationships/hyperlink" Target="https://actualicese.com/cuestionario-de-auditoria-para-area-de-ventas/?referer=L-excel-formato&amp;utm_medium=act_formato_excel&amp;utm_source=act_formato_excel&amp;utm_campaign=act_formato_excel&amp;utm_content=act_formato_excel_link" TargetMode="External"/><Relationship Id="rId2276" Type="http://schemas.openxmlformats.org/officeDocument/2006/relationships/hyperlink" Target="https://actualicese.com/liquidador-de-prestaciones-sociales-y-vacaciones-con-salario-variable/?referer=L-excel-formato&amp;utm_medium=act_formato_excel&amp;utm_source=act_formato_excel&amp;utm_campaign=act_formato_excel&amp;utm_content=act_formato_excel_link" TargetMode="External"/><Relationship Id="rId248" Type="http://schemas.openxmlformats.org/officeDocument/2006/relationships/hyperlink" Target="https://actualicese.com/caso-practico-de-liquidacion-de-un-trabajador-domestico-que-devenga-el-salario-minimo-en-2022/?referer=L-excel-formato&amp;utm_medium=act_formato_excel&amp;utm_source=act_formato_excel&amp;utm_campaign=act_formato_excel&amp;utm_content=act_formato_excel_link" TargetMode="External"/><Relationship Id="rId455" Type="http://schemas.openxmlformats.org/officeDocument/2006/relationships/hyperlink" Target="https://actualicese.com/manifestacion-sobre-las-pruebas-de-cumplimiento-y-sustantivas-en-informe-de-control-interno/?referer=L-excel-formato&amp;utm_medium=act_formato_excel&amp;utm_source=act_formato_excel&amp;utm_campaign=act_formato_excel&amp;utm_content=act_formato_excel_link" TargetMode="External"/><Relationship Id="rId662" Type="http://schemas.openxmlformats.org/officeDocument/2006/relationships/hyperlink" Target="https://actualicese.com/historico-tasa-representativa-del-mercado-trm-2020/?referer=L-excel-formato&amp;utm_medium=act_formato_excel&amp;utm_source=act_formato_excel&amp;utm_campaign=act_formato_excel&amp;utm_content=act_formato_excel_link" TargetMode="External"/><Relationship Id="rId1085" Type="http://schemas.openxmlformats.org/officeDocument/2006/relationships/hyperlink" Target="https://actualicese.com/habilitacion-para-expedir-factura-electronica-proceso-a-seguir/?referer=L-excel-formato&amp;utm_medium=act_formato_excel&amp;utm_source=act_formato_excel&amp;utm_campaign=act_formato_excel&amp;utm_content=act_formato_excel_link" TargetMode="External"/><Relationship Id="rId1292" Type="http://schemas.openxmlformats.org/officeDocument/2006/relationships/hyperlink" Target="https://actualicese.com/depuracion-del-impuesto-de-renta-ano-gravable-2015-para-copropiedades-que-explotan-areas-comunes/?referer=L-excel-formato&amp;utm_medium=act_formato_excel&amp;utm_source=act_formato_excel&amp;utm_campaign=act_formato_excel&amp;utm_content=act_formato_excel_link" TargetMode="External"/><Relationship Id="rId2136" Type="http://schemas.openxmlformats.org/officeDocument/2006/relationships/hyperlink" Target="https://actualicese.com/comparativo-de-normas-del-dut-1625-de-2016-afectadas-con-el-decreto-2231-de-2023/?referer=L-excel-formato&amp;utm_medium=act_formato_excel&amp;utm_source=act_formato_excel&amp;utm_campaign=act_formato_excel&amp;utm_content=act_formato_excel_link" TargetMode="External"/><Relationship Id="rId2343" Type="http://schemas.openxmlformats.org/officeDocument/2006/relationships/hyperlink" Target="https://actualicese.com/caso-practico-en-excel-contabilizacion-de-sobrantes-y-faltantes-de-caja/?referer=L-excel-formato&amp;utm_medium=act_formato_excel&amp;utm_source=act_formato_excel&amp;utm_campaign=act_formato_excel&amp;utm_content=act_formato_excel_link" TargetMode="External"/><Relationship Id="rId108" Type="http://schemas.openxmlformats.org/officeDocument/2006/relationships/hyperlink" Target="https://actualicese.com/modelo-de-autorizacion-para-el-tratamiento-y-la-proteccion-de-datos-personales/?referer=L-excel-formato&amp;utm_medium=act_formato_excel&amp;utm_source=act_formato_excel&amp;utm_campaign=act_formato_excel&amp;utm_content=act_formato_excel_link" TargetMode="External"/><Relationship Id="rId315" Type="http://schemas.openxmlformats.org/officeDocument/2006/relationships/hyperlink" Target="https://actualicese.com/modelo-certificacion-para-que-proceda-descuento-tributario-por-donacion-realizada/?referer=L-excel-formato&amp;utm_medium=act_formato_excel&amp;utm_source=act_formato_excel&amp;utm_campaign=act_formato_excel&amp;utm_content=act_formato_excel_link" TargetMode="External"/><Relationship Id="rId522" Type="http://schemas.openxmlformats.org/officeDocument/2006/relationships/hyperlink" Target="https://actualicese.com/lista-de-chequeo-para-el-control-de-calidad-aplicado-a-recursos-humanos-en-un-encargo-de-auditoria/?referer=L-excel-formato&amp;utm_medium=act_formato_excel&amp;utm_source=act_formato_excel&amp;utm_campaign=act_formato_excel&amp;utm_content=act_formato_excel_link" TargetMode="External"/><Relationship Id="rId967" Type="http://schemas.openxmlformats.org/officeDocument/2006/relationships/hyperlink" Target="https://actualicese.com/reforma-al-acuerdo-de-reorganizacion/?referer=L-excel-formato&amp;utm_medium=act_formato_excel&amp;utm_source=act_formato_excel&amp;utm_campaign=act_formato_excel&amp;utm_content=act_formato_excel_link" TargetMode="External"/><Relationship Id="rId1152" Type="http://schemas.openxmlformats.org/officeDocument/2006/relationships/hyperlink" Target="https://actualicese.com/calendario-tributario-2017-automatizado/?referer=L-excel-formato&amp;utm_medium=act_formato_excel&amp;utm_source=act_formato_excel&amp;utm_campaign=act_formato_excel&amp;utm_content=act_formato_excel_link" TargetMode="External"/><Relationship Id="rId1597" Type="http://schemas.openxmlformats.org/officeDocument/2006/relationships/hyperlink" Target="https://actualicese.com/calculo-de-retencion-a-independientes-con-un-unico-contrato-no-superior-a-300-uvt/?referer=L-excel-formato&amp;utm_medium=act_formato_excel&amp;utm_source=act_formato_excel&amp;utm_campaign=act_formato_excel&amp;utm_content=act_formato_excel_link" TargetMode="External"/><Relationship Id="rId2203" Type="http://schemas.openxmlformats.org/officeDocument/2006/relationships/hyperlink" Target="https://actualicese.com/solicitud-de-licencia-por-luto/?referer=L-excel-formato&amp;utm_medium=act_formato_excel&amp;utm_source=act_formato_excel&amp;utm_campaign=act_formato_excel&amp;utm_content=act_formato_excel_link" TargetMode="External"/><Relationship Id="rId2410" Type="http://schemas.openxmlformats.org/officeDocument/2006/relationships/hyperlink" Target="https://actualicese.com/guia-modelo-de-notas-a-los-estados-financieros-estado-de-situacion-financiera/?referer=L-excel-formato&amp;utm_medium=act_formato_excel&amp;utm_source=act_formato_excel&amp;utm_campaign=act_formato_excel&amp;utm_content=act_formato_excel_link" TargetMode="External"/><Relationship Id="rId96" Type="http://schemas.openxmlformats.org/officeDocument/2006/relationships/hyperlink" Target="https://actualicese.com/caso-practico-de-contabilizacion-de-compras-de-contado/?referer=L-excel-formato&amp;utm_medium=act_formato_excel&amp;utm_source=act_formato_excel&amp;utm_campaign=act_formato_excel&amp;utm_content=act_formato_excel_link" TargetMode="External"/><Relationship Id="rId827" Type="http://schemas.openxmlformats.org/officeDocument/2006/relationships/hyperlink" Target="https://actualicese.com/indicadores-financieros-de-liquidez-endeudamiento-actividad-y-rentabilidad/?referer=L-excel-formato&amp;utm_medium=act_formato_excel&amp;utm_source=act_formato_excel&amp;utm_campaign=act_formato_excel&amp;utm_content=act_formato_excel_link" TargetMode="External"/><Relationship Id="rId1012" Type="http://schemas.openxmlformats.org/officeDocument/2006/relationships/hyperlink" Target="https://actualicese.com/calendarios-tributarios-de-las-tres-principales-ciudades-de-colombia-2018/?referer=L-excel-formato&amp;utm_medium=act_formato_excel&amp;utm_source=act_formato_excel&amp;utm_campaign=act_formato_excel&amp;utm_content=act_formato_excel_link" TargetMode="External"/><Relationship Id="rId1457" Type="http://schemas.openxmlformats.org/officeDocument/2006/relationships/hyperlink" Target="https://actualicese.com/convenio-de-colaboracion-programa-empresarial/?referer=L-excel-formato&amp;utm_medium=act_formato_excel&amp;utm_source=act_formato_excel&amp;utm_campaign=act_formato_excel&amp;utm_content=act_formato_excel_link" TargetMode="External"/><Relationship Id="rId1664" Type="http://schemas.openxmlformats.org/officeDocument/2006/relationships/hyperlink" Target="https://actualicese.com/modelo-para-la-elaboracion-de-estados-financieros-y-calculo-de-los-indicadores-financieros/?referer=L-excel-formato&amp;utm_medium=act_formato_excel&amp;utm_source=act_formato_excel&amp;utm_campaign=act_formato_excel&amp;utm_content=act_formato_excel_link" TargetMode="External"/><Relationship Id="rId1871"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317" Type="http://schemas.openxmlformats.org/officeDocument/2006/relationships/hyperlink" Target="https://actualicese.com/formato-1647-reportes-de-ingresos-recibidos-facturados-para-terceros-durante-el-2015/?referer=L-excel-formato&amp;utm_medium=act_formato_excel&amp;utm_source=act_formato_excel&amp;utm_campaign=act_formato_excel&amp;utm_content=act_formato_excel_link" TargetMode="External"/><Relationship Id="rId1524" Type="http://schemas.openxmlformats.org/officeDocument/2006/relationships/hyperlink" Target="https://actualicese.com/acuerdo-confidencialidad-para-miembros-del-comite-de-convivencia/?referer=L-excel-formato&amp;utm_medium=act_formato_excel&amp;utm_source=act_formato_excel&amp;utm_campaign=act_formato_excel&amp;utm_content=act_formato_excel_link" TargetMode="External"/><Relationship Id="rId1731" Type="http://schemas.openxmlformats.org/officeDocument/2006/relationships/hyperlink" Target="https://actualicese.com/estados-financieros-consolidados-opinion-con-salvedades-cuando-no-se-obtiene-evidencia/?referer=L-excel-formato&amp;utm_medium=act_formato_excel&amp;utm_source=act_formato_excel&amp;utm_campaign=act_formato_excel&amp;utm_content=act_formato_excel_link" TargetMode="External"/><Relationship Id="rId1969" Type="http://schemas.openxmlformats.org/officeDocument/2006/relationships/hyperlink" Target="https://actualicese.com/casos-practicos-en-excel-sobre-la-distribucion-de-los-cif-costos-indirectos-de-fabricacion/?referer=L-excel-formato&amp;utm_medium=act_formato_excel&amp;utm_source=act_formato_excel&amp;utm_campaign=act_formato_excel&amp;utm_content=act_formato_excel_link" TargetMode="External"/><Relationship Id="rId23" Type="http://schemas.openxmlformats.org/officeDocument/2006/relationships/hyperlink" Target="https://actualicese.com/caso-practico-en-excel-impuesto-diferido-por-valoracion-de-propiedades-de-inversion/?referer=L-excel-formato&amp;utm_medium=act_formato_excel&amp;utm_source=act_formato_excel&amp;utm_campaign=act_formato_excel&amp;utm_content=act_formato_excel_link" TargetMode="External"/><Relationship Id="rId1829" Type="http://schemas.openxmlformats.org/officeDocument/2006/relationships/hyperlink" Target="https://actualicese.com/liquidador-de-nomina-para-trabajadora-en-licencia-de-maternidad-caso-practico-en-excel/?referer=L-excel-formato&amp;utm_medium=act_formato_excel&amp;utm_source=act_formato_excel&amp;utm_campaign=act_formato_excel&amp;utm_content=act_formato_excel_link" TargetMode="External"/><Relationship Id="rId2298"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72" Type="http://schemas.openxmlformats.org/officeDocument/2006/relationships/hyperlink" Target="https://actualicese.com/acuerdo-para-pago-de-auxilios-extralegales-o-no-salariales/?referer=L-excel-formato&amp;utm_medium=act_formato_excel&amp;utm_source=act_formato_excel&amp;utm_campaign=act_formato_excel&amp;utm_content=act_formato_excel_link" TargetMode="External"/><Relationship Id="rId477" Type="http://schemas.openxmlformats.org/officeDocument/2006/relationships/hyperlink" Target="https://actualicese.com/ejercicios-de-conversion-entre-tasas-de-interes-efectiva-nominal-y-periodica/?referer=L-excel-formato&amp;utm_medium=act_formato_excel&amp;utm_source=act_formato_excel&amp;utm_campaign=act_formato_excel&amp;utm_content=act_formato_excel_link" TargetMode="External"/><Relationship Id="rId684" Type="http://schemas.openxmlformats.org/officeDocument/2006/relationships/hyperlink" Target="https://actualicese.com/plantilla-en-excel-para-la-declaracion-de-anticipos-bimestrales-en-2020-regimen-simple/?referer=L-excel-formato&amp;utm_medium=act_formato_excel&amp;utm_source=act_formato_excel&amp;utm_campaign=act_formato_excel&amp;utm_content=act_formato_excel_link" TargetMode="External"/><Relationship Id="rId2060" Type="http://schemas.openxmlformats.org/officeDocument/2006/relationships/hyperlink" Target="https://actualicese.com/conciliacion-contable-y-tributaria-casos-de-descuentos-y-donaciones-especiales/?referer=L-excel-formato&amp;utm_medium=act_formato_excel&amp;utm_source=act_formato_excel&amp;utm_campaign=act_formato_excel&amp;utm_content=act_formato_excel_link" TargetMode="External"/><Relationship Id="rId2158" Type="http://schemas.openxmlformats.org/officeDocument/2006/relationships/hyperlink" Target="https://actualicese.com/sancion-por-extemporaneidad-antes-del-emplazamiento/?referer=L-excel-formato&amp;utm_medium=act_formato_excel&amp;utm_source=act_formato_excel&amp;utm_campaign=act_formato_excel&amp;utm_content=act_formato_excel_link" TargetMode="External"/><Relationship Id="rId2365" Type="http://schemas.openxmlformats.org/officeDocument/2006/relationships/hyperlink" Target="https://actualicese.com/lista-de-chequeo-para-la-evaluacion-de-las-4-fases-de-la-planeacion-tributaria-del-impuesto-de-renta/?referer=L-excel-formato&amp;utm_medium=act_formato_excel&amp;utm_source=act_formato_excel&amp;utm_campaign=act_formato_excel&amp;utm_content=act_formato_excel_link" TargetMode="External"/><Relationship Id="rId337" Type="http://schemas.openxmlformats.org/officeDocument/2006/relationships/hyperlink" Target="https://actualicese.com/simulador-de-tributacion-en-el-regimen-simple-vs-regimen-ordinario-ano-gravable-2022/?referer=L-excel-formato&amp;utm_medium=act_formato_excel&amp;utm_source=act_formato_excel&amp;utm_campaign=act_formato_excel&amp;utm_content=act_formato_excel_link" TargetMode="External"/><Relationship Id="rId891" Type="http://schemas.openxmlformats.org/officeDocument/2006/relationships/hyperlink" Target="https://actualicese.com/retencion-en-la-fuente-con-procedimiento-1-sobre-rentas-de-trabajo-2019-tras-ley-de-financiamiento/?referer=L-excel-formato&amp;utm_medium=act_formato_excel&amp;utm_source=act_formato_excel&amp;utm_campaign=act_formato_excel&amp;utm_content=act_formato_excel_link" TargetMode="External"/><Relationship Id="rId989" Type="http://schemas.openxmlformats.org/officeDocument/2006/relationships/hyperlink" Target="https://actualicese.com/formato-exogena-1004-por-2017-reporte-de-descuentos-al-impuesto-de-renta-y-ganancia-ocasional/?referer=L-excel-formato&amp;utm_medium=act_formato_excel&amp;utm_source=act_formato_excel&amp;utm_campaign=act_formato_excel&amp;utm_content=act_formato_excel_link" TargetMode="External"/><Relationship Id="rId2018" Type="http://schemas.openxmlformats.org/officeDocument/2006/relationships/hyperlink" Target="https://actualicese.com/formato-de-arqueo-de-caja-general/?referer=L-excel-formato&amp;utm_medium=act_formato_excel&amp;utm_source=act_formato_excel&amp;utm_campaign=act_formato_excel&amp;utm_content=act_formato_excel_link" TargetMode="External"/><Relationship Id="rId544" Type="http://schemas.openxmlformats.org/officeDocument/2006/relationships/hyperlink" Target="https://actualicese.com/modelo-accion-de-tutela-para-licencia-de-maternidad-con-parto-prematuro/?referer=L-excel-formato&amp;utm_medium=act_formato_excel&amp;utm_source=act_formato_excel&amp;utm_campaign=act_formato_excel&amp;utm_content=act_formato_excel_link" TargetMode="External"/><Relationship Id="rId751" Type="http://schemas.openxmlformats.org/officeDocument/2006/relationships/hyperlink" Target="https://actualicese.com/cuadro-tematico-cambios-de-la-resolucion-000042-de-2020-sobre-facturacion-electronica/?referer=L-excel-formato&amp;utm_medium=act_formato_excel&amp;utm_source=act_formato_excel&amp;utm_campaign=act_formato_excel&amp;utm_content=act_formato_excel_link" TargetMode="External"/><Relationship Id="rId849" Type="http://schemas.openxmlformats.org/officeDocument/2006/relationships/hyperlink" Target="https://actualicese.com/formatos-2276-y-2280-para-el-reporte-de-informacion-exogena-de-2018/?referer=L-excel-formato&amp;utm_medium=act_formato_excel&amp;utm_source=act_formato_excel&amp;utm_campaign=act_formato_excel&amp;utm_content=act_formato_excel_link" TargetMode="External"/><Relationship Id="rId1174" Type="http://schemas.openxmlformats.org/officeDocument/2006/relationships/hyperlink" Target="https://actualicese.com/liquidador-de-seguridad-social-y-provision-de-prestaciones-sociales-para-servicio-domestico/?referer=L-excel-formato&amp;utm_medium=act_formato_excel&amp;utm_source=act_formato_excel&amp;utm_campaign=act_formato_excel&amp;utm_content=act_formato_excel_link" TargetMode="External"/><Relationship Id="rId1381" Type="http://schemas.openxmlformats.org/officeDocument/2006/relationships/hyperlink" Target="https://actualicese.com/atencion-integral-en-seguridad-y-salud-en-el-trabajo-2015-hombro-doloroso/?referer=L-excel-formato&amp;utm_medium=act_formato_excel&amp;utm_source=act_formato_excel&amp;utm_campaign=act_formato_excel&amp;utm_content=act_formato_excel_link" TargetMode="External"/><Relationship Id="rId1479" Type="http://schemas.openxmlformats.org/officeDocument/2006/relationships/hyperlink" Target="https://actualicese.com/persona-natural-no-obligada-a-llevar-contabilidad-para-acreditar-los-indicadores-de-capacidad-financiera-para-proponentes/?referer=L-excel-formato&amp;utm_medium=act_formato_excel&amp;utm_source=act_formato_excel&amp;utm_campaign=act_formato_excel&amp;utm_content=act_formato_excel_link" TargetMode="External"/><Relationship Id="rId1686" Type="http://schemas.openxmlformats.org/officeDocument/2006/relationships/hyperlink" Target="https://actualicese.com/dictamen-de-revisor-fiscal-con-comunicacion-de-cuestiones-clave-nia-700-revisada-y-nia-701/?referer=L-excel-formato&amp;utm_medium=act_formato_excel&amp;utm_source=act_formato_excel&amp;utm_campaign=act_formato_excel&amp;utm_content=act_formato_excel_link" TargetMode="External"/><Relationship Id="rId2225" Type="http://schemas.openxmlformats.org/officeDocument/2006/relationships/hyperlink" Target="https://actualicese.com/liquidador-formulario-260-ag-2023-declaracion-anual-del-regimen-simple-personas-naturales-que-no-llevan-contabilidad/?referer=L-excel-formato&amp;utm_medium=act_formato_excel&amp;utm_source=act_formato_excel&amp;utm_campaign=act_formato_excel&amp;utm_content=act_formato_excel_link" TargetMode="External"/><Relationship Id="rId2432" Type="http://schemas.openxmlformats.org/officeDocument/2006/relationships/hyperlink" Target="https://actualicese.com/listado-de-convenios-internacionales-para-evitar-la-doble-tributacion-y-otros-acuerdos-para-el-intercambio-de-informacion-fiscal/?referer=L-excel-formato&amp;utm_medium=act_formato_excel&amp;utm_source=act_formato_excel&amp;utm_campaign=act_formato_excel&amp;utm_content=act_formato_excel_link" TargetMode="External"/><Relationship Id="rId404" Type="http://schemas.openxmlformats.org/officeDocument/2006/relationships/hyperlink" Target="https://actualicese.com/liquidador-de-indemnizacion-por-despido-sin-justa-causa-contrato-indefinido/?referer=L-excel-formato&amp;utm_medium=act_formato_excel&amp;utm_source=act_formato_excel&amp;utm_campaign=act_formato_excel&amp;utm_content=act_formato_excel_link" TargetMode="External"/><Relationship Id="rId611" Type="http://schemas.openxmlformats.org/officeDocument/2006/relationships/hyperlink" Target="https://actualicese.com/plantilla-del-formato-exogena-1647-por-el-ano-gravable-2020-reporte-de-ingresos-recibidos-para-terceros/?referer=L-excel-formato&amp;utm_medium=act_formato_excel&amp;utm_source=act_formato_excel&amp;utm_campaign=act_formato_excel&amp;utm_content=act_formato_excel_link" TargetMode="External"/><Relationship Id="rId1034" Type="http://schemas.openxmlformats.org/officeDocument/2006/relationships/hyperlink" Target="https://actualicese.com/modelo-del-certificado-anual-a-socios-y-o-accionistas-por-el-ano-2017/?referer=L-excel-formato&amp;utm_medium=act_formato_excel&amp;utm_source=act_formato_excel&amp;utm_campaign=act_formato_excel&amp;utm_content=act_formato_excel_link" TargetMode="External"/><Relationship Id="rId1241" Type="http://schemas.openxmlformats.org/officeDocument/2006/relationships/hyperlink" Target="https://actualicese.com/modelo-para-el-calculo-de-la-sancion-por-correccion-en-una-declaracion-de-renta-2/?referer=L-excel-formato&amp;utm_medium=act_formato_excel&amp;utm_source=act_formato_excel&amp;utm_campaign=act_formato_excel&amp;utm_content=act_formato_excel_link" TargetMode="External"/><Relationship Id="rId1339" Type="http://schemas.openxmlformats.org/officeDocument/2006/relationships/hyperlink" Target="https://actualicese.com/tabla-de-retenciones-en-la-fuente-por-renta-ano-fiscal-2016/?referer=L-excel-formato&amp;utm_medium=act_formato_excel&amp;utm_source=act_formato_excel&amp;utm_campaign=act_formato_excel&amp;utm_content=act_formato_excel_link" TargetMode="External"/><Relationship Id="rId1893" Type="http://schemas.openxmlformats.org/officeDocument/2006/relationships/hyperlink" Target="https://actualicese.com/contrato-de-outsourcing/?referer=L-excel-formato&amp;utm_medium=act_formato_excel&amp;utm_source=act_formato_excel&amp;utm_campaign=act_formato_excel&amp;utm_content=act_formato_excel_link" TargetMode="External"/><Relationship Id="rId709" Type="http://schemas.openxmlformats.org/officeDocument/2006/relationships/hyperlink" Target="https://actualicese.com/compensacion-de-perdidas-fiscales-y-exceso-de-renta-presuntiva-caso-impuesto-diferido/?referer=L-excel-formato&amp;utm_medium=act_formato_excel&amp;utm_source=act_formato_excel&amp;utm_campaign=act_formato_excel&amp;utm_content=act_formato_excel_link" TargetMode="External"/><Relationship Id="rId916" Type="http://schemas.openxmlformats.org/officeDocument/2006/relationships/hyperlink" Target="https://actualicese.com/recurso-de-reconsideracion-presentado-ante-la-dian/?referer=L-excel-formato&amp;utm_medium=act_formato_excel&amp;utm_source=act_formato_excel&amp;utm_campaign=act_formato_excel&amp;utm_content=act_formato_excel_link" TargetMode="External"/><Relationship Id="rId1101" Type="http://schemas.openxmlformats.org/officeDocument/2006/relationships/hyperlink" Target="https://actualicese.com/modelo-para-proyectar-efectos-iman-e-imas-en-declaraciones-de-renta-2016-de-empleados/?referer=L-excel-formato&amp;utm_medium=act_formato_excel&amp;utm_source=act_formato_excel&amp;utm_campaign=act_formato_excel&amp;utm_content=act_formato_excel_link" TargetMode="External"/><Relationship Id="rId1546" Type="http://schemas.openxmlformats.org/officeDocument/2006/relationships/hyperlink" Target="https://actualicese.com/certificado-anual-exigido-a-los-contratistas-que-cobren-rentas-de-trabajo-y-depuracion-de-la-base-para-efectos-de-retencion-en-la-fuente/?referer=L-excel-formato&amp;utm_medium=act_formato_excel&amp;utm_source=act_formato_excel&amp;utm_campaign=act_formato_excel&amp;utm_content=act_formato_excel_link" TargetMode="External"/><Relationship Id="rId1753" Type="http://schemas.openxmlformats.org/officeDocument/2006/relationships/hyperlink" Target="https://actualicese.com/segunda-convocatoria-de-asamblea-de-accionistas-o-junta-de-socios/?referer=L-excel-formato&amp;utm_medium=act_formato_excel&amp;utm_source=act_formato_excel&amp;utm_campaign=act_formato_excel&amp;utm_content=act_formato_excel_link" TargetMode="External"/><Relationship Id="rId1960" Type="http://schemas.openxmlformats.org/officeDocument/2006/relationships/hyperlink" Target="https://actualicese.com/dupont-indice-de-rentabilidad/?referer=L-excel-formato&amp;utm_medium=act_formato_excel&amp;utm_source=act_formato_excel&amp;utm_campaign=act_formato_excel&amp;utm_content=act_formato_excel_link" TargetMode="External"/><Relationship Id="rId45" Type="http://schemas.openxmlformats.org/officeDocument/2006/relationships/hyperlink" Target="https://actualicese.com/ejemplos-de-reconocimiento-de-provisiones-y-pasivos-contingentes-segun-el-estandar-para-pymes/?referer=L-excel-formato&amp;utm_medium=act_formato_excel&amp;utm_source=act_formato_excel&amp;utm_campaign=act_formato_excel&amp;utm_content=act_formato_excel_link" TargetMode="External"/><Relationship Id="rId1406" Type="http://schemas.openxmlformats.org/officeDocument/2006/relationships/hyperlink" Target="https://actualicese.com/resumen-de-normas-tributarias-recopiladas-en-los-decretos-unicos-reglamentarios-de-mayo-del-2015/?referer=L-excel-formato&amp;utm_medium=act_formato_excel&amp;utm_source=act_formato_excel&amp;utm_campaign=act_formato_excel&amp;utm_content=act_formato_excel_link" TargetMode="External"/><Relationship Id="rId1613" Type="http://schemas.openxmlformats.org/officeDocument/2006/relationships/hyperlink" Target="https://actualicese.com/word-modelo-de-minuta-para-la-constitucion-de-una-sas/?referer=L-excel-formato&amp;utm_medium=act_formato_excel&amp;utm_source=act_formato_excel&amp;utm_campaign=act_formato_excel&amp;utm_content=act_formato_excel_link" TargetMode="External"/><Relationship Id="rId1820" Type="http://schemas.openxmlformats.org/officeDocument/2006/relationships/hyperlink" Target="https://actualicese.com/liquidador-tributacion-sobre-dividendos-y-calculo-de-su-retencion-luego-de-la-ley-2277-de-2022/?referer=L-excel-formato&amp;utm_medium=act_formato_excel&amp;utm_source=act_formato_excel&amp;utm_campaign=act_formato_excel&amp;utm_content=act_formato_excel_link" TargetMode="External"/><Relationship Id="rId194" Type="http://schemas.openxmlformats.org/officeDocument/2006/relationships/hyperlink" Target="https://actualicese.com/formato-de-cotizacion-comercial/?referer=L-excel-formato&amp;utm_medium=act_formato_excel&amp;utm_source=act_formato_excel&amp;utm_campaign=act_formato_excel&amp;utm_content=act_formato_excel_link" TargetMode="External"/><Relationship Id="rId1918" Type="http://schemas.openxmlformats.org/officeDocument/2006/relationships/hyperlink" Target="https://actualicese.com/cuestionario-de-auditoria-para-area-de-nomina/?referer=L-excel-formato&amp;utm_medium=act_formato_excel&amp;utm_source=act_formato_excel&amp;utm_campaign=act_formato_excel&amp;utm_content=act_formato_excel_link" TargetMode="External"/><Relationship Id="rId2082" Type="http://schemas.openxmlformats.org/officeDocument/2006/relationships/hyperlink" Target="https://actualicese.com/caso-practico-de-declaracion-de-renta-a-partir-de-informacion-reportada-por-terceros/?referer=L-excel-formato&amp;utm_medium=act_formato_excel&amp;utm_source=act_formato_excel&amp;utm_campaign=act_formato_excel&amp;utm_content=act_formato_excel_link" TargetMode="External"/><Relationship Id="rId261" Type="http://schemas.openxmlformats.org/officeDocument/2006/relationships/hyperlink" Target="https://actualicese.com/simulador-para-que-independientes-decidan-si-restan-costos-o-gastos-o-renta-exenta-del-25/?referer=L-excel-formato&amp;utm_medium=act_formato_excel&amp;utm_source=act_formato_excel&amp;utm_campaign=act_formato_excel&amp;utm_content=act_formato_excel_link" TargetMode="External"/><Relationship Id="rId499" Type="http://schemas.openxmlformats.org/officeDocument/2006/relationships/hyperlink" Target="https://actualicese.com/modelo-para-elaborar-politicas-contables-sobre-el-tratamiento-a-los-intangibles/?referer=L-excel-formato&amp;utm_medium=act_formato_excel&amp;utm_source=act_formato_excel&amp;utm_campaign=act_formato_excel&amp;utm_content=act_formato_excel_link" TargetMode="External"/><Relationship Id="rId2387" Type="http://schemas.openxmlformats.org/officeDocument/2006/relationships/hyperlink" Target="https://actualicese.com/liquidador-casos-practicos-en-excel-con-las-diferencias-mas-comunes-en-el-proceso-de-conciliacion-fiscal-de-personas-juridicas/?referer=L-excel-formato&amp;utm_medium=act_formato_excel&amp;utm_source=act_formato_excel&amp;utm_campaign=act_formato_excel&amp;utm_content=act_formato_excel_link" TargetMode="External"/><Relationship Id="rId359" Type="http://schemas.openxmlformats.org/officeDocument/2006/relationships/hyperlink" Target="https://actualicese.com/decisiones-asamblea-de-propietarios/?referer=L-excel-formato&amp;utm_medium=act_formato_excel&amp;utm_source=act_formato_excel&amp;utm_campaign=act_formato_excel&amp;utm_content=act_formato_excel_link" TargetMode="External"/><Relationship Id="rId566" Type="http://schemas.openxmlformats.org/officeDocument/2006/relationships/hyperlink" Target="https://actualicese.com/matriz-comparativo-de-las-diferencias-al-emprender-como-persona-natural-o-sociedad/?referer=L-excel-formato&amp;utm_medium=act_formato_excel&amp;utm_source=act_formato_excel&amp;utm_campaign=act_formato_excel&amp;utm_content=act_formato_excel_link" TargetMode="External"/><Relationship Id="rId773" Type="http://schemas.openxmlformats.org/officeDocument/2006/relationships/hyperlink" Target="https://actualicese.com/formatos-2276-y-2280-para-el-reporte-de-informacion-exogena-de-2019/?referer=L-excel-formato&amp;utm_medium=act_formato_excel&amp;utm_source=act_formato_excel&amp;utm_campaign=act_formato_excel&amp;utm_content=act_formato_excel_link" TargetMode="External"/><Relationship Id="rId1196" Type="http://schemas.openxmlformats.org/officeDocument/2006/relationships/hyperlink" Target="https://actualicese.com/lista-de-chequeo-de-revelaciones-seccion-23-ingresos-de-actividades-ordinarias/?referer=L-excel-formato&amp;utm_medium=act_formato_excel&amp;utm_source=act_formato_excel&amp;utm_campaign=act_formato_excel&amp;utm_content=act_formato_excel_link" TargetMode="External"/><Relationship Id="rId2247" Type="http://schemas.openxmlformats.org/officeDocument/2006/relationships/hyperlink" Target="https://actualicese.com/modelo-certificacion-para-que-proceda-descuento-tributario-por-donacion-realizada/?referer=L-excel-formato&amp;utm_medium=act_formato_excel&amp;utm_source=act_formato_excel&amp;utm_campaign=act_formato_excel&amp;utm_content=act_formato_excel_link" TargetMode="External"/><Relationship Id="rId2454" Type="http://schemas.openxmlformats.org/officeDocument/2006/relationships/hyperlink" Target="https://actualicese.com/horas-diurnas-nocturnas-extras-dominicales-y-festivas/?referer=L-excel-formato&amp;utm_medium=act_formato_excel&amp;utm_source=act_formato_excel&amp;utm_campaign=act_formato_excel&amp;utm_content=act_formato_excel_link" TargetMode="External"/><Relationship Id="rId121" Type="http://schemas.openxmlformats.org/officeDocument/2006/relationships/hyperlink" Target="https://actualicese.com/calculo-del-anticipo-de-impuesto-de-renta-casos-practicos/?referer=L-excel-formato&amp;utm_medium=act_formato_excel&amp;utm_source=act_formato_excel&amp;utm_campaign=act_formato_excel&amp;utm_content=act_formato_excel_link" TargetMode="External"/><Relationship Id="rId219" Type="http://schemas.openxmlformats.org/officeDocument/2006/relationships/hyperlink" Target="https://actualicese.com/contrato-de-aprendizaje/?referer=L-excel-formato&amp;utm_medium=act_formato_excel&amp;utm_source=act_formato_excel&amp;utm_campaign=act_formato_excel&amp;utm_content=act_formato_excel_link" TargetMode="External"/><Relationship Id="rId426" Type="http://schemas.openxmlformats.org/officeDocument/2006/relationships/hyperlink" Target="https://actualicese.com/liquidador-de-vacaciones-en-excel-aplicado-a-10-casos-practicos/?referer=L-excel-formato&amp;utm_medium=act_formato_excel&amp;utm_source=act_formato_excel&amp;utm_campaign=act_formato_excel&amp;utm_content=act_formato_excel_link" TargetMode="External"/><Relationship Id="rId633" Type="http://schemas.openxmlformats.org/officeDocument/2006/relationships/hyperlink" Target="https://actualicese.com/simulador-de-4-casos-de-deducciones-y-costos-estimados-para-la-declaracion-de-renta/?referer=L-excel-formato&amp;utm_medium=act_formato_excel&amp;utm_source=act_formato_excel&amp;utm_campaign=act_formato_excel&amp;utm_content=act_formato_excel_link" TargetMode="External"/><Relationship Id="rId980" Type="http://schemas.openxmlformats.org/officeDocument/2006/relationships/hyperlink" Target="https://actualicese.com/certificacion-de-cumplimiento-de-circular-156-000005-de-2011/?referer=L-excel-formato&amp;utm_medium=act_formato_excel&amp;utm_source=act_formato_excel&amp;utm_campaign=act_formato_excel&amp;utm_content=act_formato_excel_link" TargetMode="External"/><Relationship Id="rId1056" Type="http://schemas.openxmlformats.org/officeDocument/2006/relationships/hyperlink" Target="https://actualicese.com/convocatoria-de-integracion-de-tribunal-de-arbitramento-comercial/?referer=L-excel-formato&amp;utm_medium=act_formato_excel&amp;utm_source=act_formato_excel&amp;utm_campaign=act_formato_excel&amp;utm_content=act_formato_excel_link" TargetMode="External"/><Relationship Id="rId1263" Type="http://schemas.openxmlformats.org/officeDocument/2006/relationships/hyperlink" Target="https://actualicese.com/formulario-210-declaracion-de-renta-personas-naturales-y-sucesiones-iliquidas-ano-gravable-2015-version-basica/?referer=L-excel-formato&amp;utm_medium=act_formato_excel&amp;utm_source=act_formato_excel&amp;utm_campaign=act_formato_excel&amp;utm_content=act_formato_excel_link" TargetMode="External"/><Relationship Id="rId2107" Type="http://schemas.openxmlformats.org/officeDocument/2006/relationships/hyperlink" Target="https://actualicese.com/formulario-420-ag-2023-para-la-declaracion-del-impuesto-al-patrimonio/?referer=L-excel-formato&amp;utm_medium=act_formato_excel&amp;utm_source=act_formato_excel&amp;utm_campaign=act_formato_excel&amp;utm_content=act_formato_excel_link" TargetMode="External"/><Relationship Id="rId2314" Type="http://schemas.openxmlformats.org/officeDocument/2006/relationships/hyperlink" Target="https://actualicese.com/caso-practico-de-declaracion-de-renta-a-partir-de-informacion-reportada-por-terceros/?referer=L-excel-formato&amp;utm_medium=act_formato_excel&amp;utm_source=act_formato_excel&amp;utm_campaign=act_formato_excel&amp;utm_content=act_formato_excel_link" TargetMode="External"/><Relationship Id="rId840" Type="http://schemas.openxmlformats.org/officeDocument/2006/relationships/hyperlink" Target="https://actualicese.com/indicadores-basicos-para-la-declaracion-de-renta-de-personas-naturales-por-el-ano-gravable-2018/?referer=L-excel-formato&amp;utm_medium=act_formato_excel&amp;utm_source=act_formato_excel&amp;utm_campaign=act_formato_excel&amp;utm_content=act_formato_excel_link" TargetMode="External"/><Relationship Id="rId938" Type="http://schemas.openxmlformats.org/officeDocument/2006/relationships/hyperlink" Target="https://actualicese.com/personas-naturales-obligadas-o-no-a-llevar-contabilidad-e-implicaciones-contables-y-tributarias/?referer=L-excel-formato&amp;utm_medium=act_formato_excel&amp;utm_source=act_formato_excel&amp;utm_campaign=act_formato_excel&amp;utm_content=act_formato_excel_link" TargetMode="External"/><Relationship Id="rId1470" Type="http://schemas.openxmlformats.org/officeDocument/2006/relationships/hyperlink" Target="https://actualicese.com/formato-tabla-amortizacion-de-cdt/?referer=L-excel-formato&amp;utm_medium=act_formato_excel&amp;utm_source=act_formato_excel&amp;utm_campaign=act_formato_excel&amp;utm_content=act_formato_excel_link" TargetMode="External"/><Relationship Id="rId1568" Type="http://schemas.openxmlformats.org/officeDocument/2006/relationships/hyperlink" Target="https://actualicese.com/descuento-en-salario-de-libranza/?referer=L-excel-formato&amp;utm_medium=act_formato_excel&amp;utm_source=act_formato_excel&amp;utm_campaign=act_formato_excel&amp;utm_content=act_formato_excel_link" TargetMode="External"/><Relationship Id="rId1775" Type="http://schemas.openxmlformats.org/officeDocument/2006/relationships/hyperlink" Target="https://actualicese.com/12-liquidadores-para-calcular-la-prima-de-servicios-semestral/?referer=L-excel-formato&amp;utm_medium=act_formato_excel&amp;utm_source=act_formato_excel&amp;utm_campaign=act_formato_excel&amp;utm_content=act_formato_excel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F60AD-41C5-4776-BB99-FBCCBAB9B211}">
  <sheetPr>
    <outlinePr summaryBelow="0" summaryRight="0"/>
  </sheetPr>
  <dimension ref="B2:M3066"/>
  <sheetViews>
    <sheetView showGridLines="0" tabSelected="1" zoomScale="80" zoomScaleNormal="80" workbookViewId="0">
      <selection activeCell="B17" sqref="B17:K17"/>
    </sheetView>
  </sheetViews>
  <sheetFormatPr baseColWidth="10" defaultColWidth="14.42578125" defaultRowHeight="15.75" customHeight="1" x14ac:dyDescent="0.2"/>
  <cols>
    <col min="1" max="1" width="14.42578125" style="5" customWidth="1"/>
    <col min="2" max="7" width="14.42578125" style="5"/>
    <col min="8" max="8" width="16.7109375" style="5" customWidth="1"/>
    <col min="9" max="16384" width="14.42578125" style="5"/>
  </cols>
  <sheetData>
    <row r="2" spans="2:13" ht="15" x14ac:dyDescent="0.2">
      <c r="B2" s="4"/>
      <c r="C2" s="4"/>
      <c r="D2" s="4"/>
      <c r="E2" s="170"/>
      <c r="F2" s="171"/>
      <c r="G2" s="171"/>
      <c r="H2" s="171"/>
    </row>
    <row r="3" spans="2:13" ht="18" x14ac:dyDescent="0.25">
      <c r="B3" s="6"/>
      <c r="E3" s="7"/>
    </row>
    <row r="4" spans="2:13" ht="96.95" customHeight="1" x14ac:dyDescent="0.5">
      <c r="B4" s="172"/>
      <c r="C4" s="173"/>
      <c r="D4" s="173"/>
      <c r="E4" s="173"/>
      <c r="F4" s="173"/>
      <c r="G4" s="173"/>
      <c r="H4" s="173"/>
    </row>
    <row r="5" spans="2:13" ht="23.1" customHeight="1" x14ac:dyDescent="0.3">
      <c r="B5" s="174"/>
      <c r="C5" s="175"/>
      <c r="D5" s="175"/>
      <c r="E5" s="175"/>
      <c r="F5" s="175"/>
      <c r="G5" s="175"/>
      <c r="H5" s="175"/>
    </row>
    <row r="6" spans="2:13" ht="89.1" customHeight="1" x14ac:dyDescent="0.25">
      <c r="B6" s="176"/>
      <c r="C6" s="177"/>
      <c r="D6" s="177"/>
      <c r="E6" s="177"/>
      <c r="F6" s="177"/>
      <c r="G6" s="177"/>
      <c r="H6" s="177"/>
      <c r="M6"/>
    </row>
    <row r="7" spans="2:13" ht="72.75" customHeight="1" x14ac:dyDescent="0.2">
      <c r="B7" s="178"/>
      <c r="C7" s="179"/>
      <c r="D7" s="179"/>
      <c r="E7" s="179"/>
      <c r="F7" s="179"/>
      <c r="G7" s="179"/>
      <c r="H7" s="179"/>
    </row>
    <row r="8" spans="2:13" ht="44.1" customHeight="1" x14ac:dyDescent="0.2">
      <c r="B8" s="180"/>
      <c r="C8" s="181"/>
      <c r="D8" s="181"/>
      <c r="E8" s="181"/>
      <c r="F8" s="181"/>
      <c r="G8" s="181"/>
      <c r="H8" s="181"/>
    </row>
    <row r="9" spans="2:13" ht="12.75" x14ac:dyDescent="0.2">
      <c r="B9" s="8"/>
      <c r="C9" s="8"/>
      <c r="D9" s="8"/>
      <c r="E9" s="8" t="s">
        <v>262</v>
      </c>
      <c r="F9" s="8"/>
      <c r="G9" s="8"/>
      <c r="H9" s="8"/>
    </row>
    <row r="10" spans="2:13" ht="36" customHeight="1" x14ac:dyDescent="0.2">
      <c r="B10" s="9"/>
      <c r="C10" s="166"/>
      <c r="D10" s="166"/>
      <c r="E10" s="166"/>
      <c r="F10" s="166"/>
      <c r="G10" s="166"/>
      <c r="H10" s="10"/>
    </row>
    <row r="11" spans="2:13" ht="60.95" customHeight="1" x14ac:dyDescent="0.2">
      <c r="B11" s="167"/>
      <c r="C11" s="167"/>
      <c r="D11" s="167"/>
      <c r="E11" s="167"/>
      <c r="F11" s="167"/>
      <c r="G11" s="167"/>
      <c r="H11" s="167"/>
    </row>
    <row r="12" spans="2:13" ht="15.75" customHeight="1" x14ac:dyDescent="0.2">
      <c r="B12" s="8"/>
    </row>
    <row r="13" spans="2:13" ht="15.75" customHeight="1" x14ac:dyDescent="0.2">
      <c r="B13" s="8"/>
    </row>
    <row r="14" spans="2:13" ht="15.75" customHeight="1" x14ac:dyDescent="0.2">
      <c r="B14" s="8"/>
    </row>
    <row r="15" spans="2:13" ht="15.75" customHeight="1" x14ac:dyDescent="0.2">
      <c r="B15" s="8"/>
    </row>
    <row r="16" spans="2:13" ht="15.75" customHeight="1" x14ac:dyDescent="0.2">
      <c r="B16" s="8"/>
    </row>
    <row r="17" spans="2:11" ht="15.75" customHeight="1" x14ac:dyDescent="0.25">
      <c r="B17" s="270" t="s">
        <v>2323</v>
      </c>
      <c r="C17" s="271"/>
      <c r="D17" s="271"/>
      <c r="E17" s="271"/>
      <c r="F17" s="271"/>
      <c r="G17" s="271"/>
      <c r="H17" s="271"/>
      <c r="I17" s="271"/>
      <c r="J17" s="271"/>
      <c r="K17" s="271"/>
    </row>
    <row r="18" spans="2:11" ht="15.75" customHeight="1" x14ac:dyDescent="0.2">
      <c r="B18" s="8"/>
    </row>
    <row r="19" spans="2:11" ht="24.6" customHeight="1" x14ac:dyDescent="0.2">
      <c r="B19" s="168"/>
      <c r="C19" s="169"/>
      <c r="D19" s="169"/>
      <c r="E19" s="169"/>
      <c r="F19" s="169"/>
      <c r="G19" s="169"/>
      <c r="H19" s="169"/>
      <c r="I19" s="169"/>
      <c r="J19" s="169"/>
    </row>
    <row r="20" spans="2:11" ht="15.75" customHeight="1" x14ac:dyDescent="0.2">
      <c r="B20" s="8"/>
    </row>
    <row r="21" spans="2:11" ht="15.75" customHeight="1" x14ac:dyDescent="0.2">
      <c r="B21" s="8"/>
    </row>
    <row r="22" spans="2:11" ht="15.75" customHeight="1" x14ac:dyDescent="0.2">
      <c r="B22" s="8"/>
    </row>
    <row r="23" spans="2:11" ht="15.75" customHeight="1" x14ac:dyDescent="0.2">
      <c r="B23" s="8"/>
    </row>
    <row r="24" spans="2:11" ht="15.75" customHeight="1" x14ac:dyDescent="0.2">
      <c r="B24" s="8"/>
    </row>
    <row r="25" spans="2:11" ht="15.75" customHeight="1" x14ac:dyDescent="0.2">
      <c r="B25" s="8"/>
    </row>
    <row r="26" spans="2:11" ht="15.75" customHeight="1" x14ac:dyDescent="0.2">
      <c r="B26" s="8"/>
    </row>
    <row r="27" spans="2:11" ht="15.75" customHeight="1" x14ac:dyDescent="0.2">
      <c r="B27" s="8"/>
    </row>
    <row r="28" spans="2:11" ht="15.75" customHeight="1" x14ac:dyDescent="0.2">
      <c r="B28" s="8"/>
    </row>
    <row r="29" spans="2:11" ht="15.75" customHeight="1" x14ac:dyDescent="0.2">
      <c r="B29" s="8"/>
    </row>
    <row r="30" spans="2:11" ht="15.75" customHeight="1" x14ac:dyDescent="0.2">
      <c r="B30" s="8"/>
    </row>
    <row r="31" spans="2:11" ht="15.75" customHeight="1" x14ac:dyDescent="0.2">
      <c r="B31" s="8"/>
    </row>
    <row r="32" spans="2:11" ht="15.75" customHeight="1" x14ac:dyDescent="0.2">
      <c r="B32" s="8"/>
    </row>
    <row r="33" spans="2:2" ht="15.75" customHeight="1" x14ac:dyDescent="0.2">
      <c r="B33" s="8"/>
    </row>
    <row r="34" spans="2:2" ht="15.75" customHeight="1" x14ac:dyDescent="0.2">
      <c r="B34" s="8"/>
    </row>
    <row r="35" spans="2:2" ht="15.75" customHeight="1" x14ac:dyDescent="0.2">
      <c r="B35" s="8"/>
    </row>
    <row r="36" spans="2:2" ht="15.75" customHeight="1" x14ac:dyDescent="0.2">
      <c r="B36" s="8"/>
    </row>
    <row r="37" spans="2:2" ht="15.75" customHeight="1" x14ac:dyDescent="0.2">
      <c r="B37" s="8"/>
    </row>
    <row r="38" spans="2:2" ht="15.75" customHeight="1" x14ac:dyDescent="0.2">
      <c r="B38" s="8"/>
    </row>
    <row r="39" spans="2:2" ht="15.75" customHeight="1" x14ac:dyDescent="0.2">
      <c r="B39" s="8"/>
    </row>
    <row r="40" spans="2:2" ht="15.75" customHeight="1" x14ac:dyDescent="0.2">
      <c r="B40" s="8"/>
    </row>
    <row r="41" spans="2:2" ht="15.75" customHeight="1" x14ac:dyDescent="0.2">
      <c r="B41" s="8"/>
    </row>
    <row r="42" spans="2:2" ht="15.75" customHeight="1" x14ac:dyDescent="0.2">
      <c r="B42" s="8"/>
    </row>
    <row r="43" spans="2:2" ht="15.75" customHeight="1" x14ac:dyDescent="0.2">
      <c r="B43" s="8"/>
    </row>
    <row r="44" spans="2:2" ht="15.75" customHeight="1" x14ac:dyDescent="0.2">
      <c r="B44" s="8"/>
    </row>
    <row r="45" spans="2:2" ht="15.75" customHeight="1" x14ac:dyDescent="0.2">
      <c r="B45" s="8"/>
    </row>
    <row r="46" spans="2:2" ht="15.75" customHeight="1" x14ac:dyDescent="0.2">
      <c r="B46" s="8"/>
    </row>
    <row r="47" spans="2:2" ht="15.75" customHeight="1" x14ac:dyDescent="0.2">
      <c r="B47" s="8"/>
    </row>
    <row r="48" spans="2:2" ht="15.75" customHeight="1" x14ac:dyDescent="0.2">
      <c r="B48" s="8"/>
    </row>
    <row r="49" spans="2:2" ht="15.75" customHeight="1" x14ac:dyDescent="0.2">
      <c r="B49" s="8"/>
    </row>
    <row r="50" spans="2:2" ht="15.75" customHeight="1" x14ac:dyDescent="0.2">
      <c r="B50" s="8"/>
    </row>
    <row r="51" spans="2:2" ht="15.75" customHeight="1" x14ac:dyDescent="0.2">
      <c r="B51" s="8"/>
    </row>
    <row r="52" spans="2:2" ht="15.75" customHeight="1" x14ac:dyDescent="0.2">
      <c r="B52" s="8"/>
    </row>
    <row r="53" spans="2:2" ht="15.75" customHeight="1" x14ac:dyDescent="0.2">
      <c r="B53" s="8"/>
    </row>
    <row r="54" spans="2:2" ht="15.75" customHeight="1" x14ac:dyDescent="0.2">
      <c r="B54" s="8"/>
    </row>
    <row r="55" spans="2:2" ht="15.75" customHeight="1" x14ac:dyDescent="0.2">
      <c r="B55" s="8"/>
    </row>
    <row r="56" spans="2:2" ht="15.75" customHeight="1" x14ac:dyDescent="0.2">
      <c r="B56" s="8"/>
    </row>
    <row r="57" spans="2:2" ht="15.75" customHeight="1" x14ac:dyDescent="0.2">
      <c r="B57" s="8"/>
    </row>
    <row r="58" spans="2:2" ht="15.75" customHeight="1" x14ac:dyDescent="0.2">
      <c r="B58" s="8"/>
    </row>
    <row r="59" spans="2:2" ht="15.75" customHeight="1" x14ac:dyDescent="0.2">
      <c r="B59" s="8"/>
    </row>
    <row r="60" spans="2:2" ht="15.75" customHeight="1" x14ac:dyDescent="0.2">
      <c r="B60" s="8"/>
    </row>
    <row r="61" spans="2:2" ht="15.75" customHeight="1" x14ac:dyDescent="0.2">
      <c r="B61" s="8"/>
    </row>
    <row r="62" spans="2:2" ht="15.75" customHeight="1" x14ac:dyDescent="0.2">
      <c r="B62" s="8"/>
    </row>
    <row r="63" spans="2:2" ht="15.75" customHeight="1" x14ac:dyDescent="0.2">
      <c r="B63" s="8"/>
    </row>
    <row r="64" spans="2:2" ht="15.75" customHeight="1" x14ac:dyDescent="0.2">
      <c r="B64" s="8"/>
    </row>
    <row r="65" spans="2:2" ht="15.75" customHeight="1" x14ac:dyDescent="0.2">
      <c r="B65" s="8"/>
    </row>
    <row r="66" spans="2:2" ht="15.75" customHeight="1" x14ac:dyDescent="0.2">
      <c r="B66" s="8"/>
    </row>
    <row r="67" spans="2:2" ht="15.75" customHeight="1" x14ac:dyDescent="0.2">
      <c r="B67" s="8"/>
    </row>
    <row r="68" spans="2:2" ht="15.75" customHeight="1" x14ac:dyDescent="0.2">
      <c r="B68" s="8"/>
    </row>
    <row r="69" spans="2:2" ht="15.75" customHeight="1" x14ac:dyDescent="0.2">
      <c r="B69" s="8"/>
    </row>
    <row r="70" spans="2:2" ht="15.75" customHeight="1" x14ac:dyDescent="0.2">
      <c r="B70" s="8"/>
    </row>
    <row r="71" spans="2:2" ht="15.75" customHeight="1" x14ac:dyDescent="0.2">
      <c r="B71" s="8"/>
    </row>
    <row r="72" spans="2:2" ht="15.75" customHeight="1" x14ac:dyDescent="0.2">
      <c r="B72" s="8"/>
    </row>
    <row r="73" spans="2:2" ht="15.75" customHeight="1" x14ac:dyDescent="0.2">
      <c r="B73" s="8"/>
    </row>
    <row r="74" spans="2:2" ht="15.75" customHeight="1" x14ac:dyDescent="0.2">
      <c r="B74" s="8"/>
    </row>
    <row r="75" spans="2:2" ht="15.75" customHeight="1" x14ac:dyDescent="0.2">
      <c r="B75" s="8"/>
    </row>
    <row r="76" spans="2:2" ht="15.75" customHeight="1" x14ac:dyDescent="0.2">
      <c r="B76" s="8"/>
    </row>
    <row r="77" spans="2:2" ht="15.75" customHeight="1" x14ac:dyDescent="0.2">
      <c r="B77" s="8"/>
    </row>
    <row r="78" spans="2:2" ht="15.75" customHeight="1" x14ac:dyDescent="0.2">
      <c r="B78" s="8"/>
    </row>
    <row r="79" spans="2:2" ht="15.75" customHeight="1" x14ac:dyDescent="0.2">
      <c r="B79" s="8"/>
    </row>
    <row r="80" spans="2:2" ht="15.75" customHeight="1" x14ac:dyDescent="0.2">
      <c r="B80" s="8"/>
    </row>
    <row r="81" spans="2:2" ht="15.75" customHeight="1" x14ac:dyDescent="0.2">
      <c r="B81" s="8"/>
    </row>
    <row r="82" spans="2:2" ht="15.75" customHeight="1" x14ac:dyDescent="0.2">
      <c r="B82" s="8"/>
    </row>
    <row r="83" spans="2:2" ht="15.75" customHeight="1" x14ac:dyDescent="0.2">
      <c r="B83" s="8"/>
    </row>
    <row r="84" spans="2:2" ht="15.75" customHeight="1" x14ac:dyDescent="0.2">
      <c r="B84" s="8"/>
    </row>
    <row r="85" spans="2:2" ht="15.75" customHeight="1" x14ac:dyDescent="0.2">
      <c r="B85" s="8"/>
    </row>
    <row r="86" spans="2:2" ht="15.75" customHeight="1" x14ac:dyDescent="0.2">
      <c r="B86" s="8"/>
    </row>
    <row r="87" spans="2:2" ht="15.75" customHeight="1" x14ac:dyDescent="0.2">
      <c r="B87" s="8"/>
    </row>
    <row r="88" spans="2:2" ht="15.75" customHeight="1" x14ac:dyDescent="0.2">
      <c r="B88" s="8"/>
    </row>
    <row r="89" spans="2:2" ht="15.75" customHeight="1" x14ac:dyDescent="0.2">
      <c r="B89" s="8"/>
    </row>
    <row r="90" spans="2:2" ht="15.75" customHeight="1" x14ac:dyDescent="0.2">
      <c r="B90" s="8"/>
    </row>
    <row r="91" spans="2:2" ht="15.75" customHeight="1" x14ac:dyDescent="0.2">
      <c r="B91" s="8"/>
    </row>
    <row r="92" spans="2:2" ht="15.75" customHeight="1" x14ac:dyDescent="0.2">
      <c r="B92" s="8"/>
    </row>
    <row r="93" spans="2:2" ht="15.75" customHeight="1" x14ac:dyDescent="0.2">
      <c r="B93" s="8"/>
    </row>
    <row r="94" spans="2:2" ht="15.75" customHeight="1" x14ac:dyDescent="0.2">
      <c r="B94" s="8"/>
    </row>
    <row r="95" spans="2:2" ht="15.75" customHeight="1" x14ac:dyDescent="0.2">
      <c r="B95" s="8"/>
    </row>
    <row r="96" spans="2:2" ht="15.75" customHeight="1" x14ac:dyDescent="0.2">
      <c r="B96" s="8"/>
    </row>
    <row r="97" spans="2:2" ht="15.75" customHeight="1" x14ac:dyDescent="0.2">
      <c r="B97" s="8"/>
    </row>
    <row r="98" spans="2:2" ht="15.75" customHeight="1" x14ac:dyDescent="0.2">
      <c r="B98" s="8"/>
    </row>
    <row r="99" spans="2:2" ht="15.75" customHeight="1" x14ac:dyDescent="0.2">
      <c r="B99" s="8"/>
    </row>
    <row r="100" spans="2:2" ht="15.75" customHeight="1" x14ac:dyDescent="0.2">
      <c r="B100" s="8"/>
    </row>
    <row r="101" spans="2:2" ht="15.75" customHeight="1" x14ac:dyDescent="0.2">
      <c r="B101" s="8"/>
    </row>
    <row r="102" spans="2:2" ht="15.75" customHeight="1" x14ac:dyDescent="0.2">
      <c r="B102" s="8"/>
    </row>
    <row r="103" spans="2:2" ht="15.75" customHeight="1" x14ac:dyDescent="0.2">
      <c r="B103" s="8"/>
    </row>
    <row r="104" spans="2:2" ht="15.75" customHeight="1" x14ac:dyDescent="0.2">
      <c r="B104" s="8"/>
    </row>
    <row r="105" spans="2:2" ht="15.75" customHeight="1" x14ac:dyDescent="0.2">
      <c r="B105" s="8"/>
    </row>
    <row r="106" spans="2:2" ht="15.75" customHeight="1" x14ac:dyDescent="0.2">
      <c r="B106" s="8"/>
    </row>
    <row r="107" spans="2:2" ht="15.75" customHeight="1" x14ac:dyDescent="0.2">
      <c r="B107" s="8"/>
    </row>
    <row r="108" spans="2:2" ht="15.75" customHeight="1" x14ac:dyDescent="0.2">
      <c r="B108" s="8"/>
    </row>
    <row r="109" spans="2:2" ht="15.75" customHeight="1" x14ac:dyDescent="0.2">
      <c r="B109" s="8"/>
    </row>
    <row r="110" spans="2:2" ht="15.75" customHeight="1" x14ac:dyDescent="0.2">
      <c r="B110" s="8"/>
    </row>
    <row r="111" spans="2:2" ht="15.75" customHeight="1" x14ac:dyDescent="0.2">
      <c r="B111" s="8"/>
    </row>
    <row r="112" spans="2:2" ht="15.75" customHeight="1" x14ac:dyDescent="0.2">
      <c r="B112" s="8"/>
    </row>
    <row r="113" spans="2:2" ht="15.75" customHeight="1" x14ac:dyDescent="0.2">
      <c r="B113" s="8"/>
    </row>
    <row r="114" spans="2:2" ht="15.75" customHeight="1" x14ac:dyDescent="0.2">
      <c r="B114" s="8"/>
    </row>
    <row r="115" spans="2:2" ht="15.75" customHeight="1" x14ac:dyDescent="0.2">
      <c r="B115" s="8"/>
    </row>
    <row r="116" spans="2:2" ht="15.75" customHeight="1" x14ac:dyDescent="0.2">
      <c r="B116" s="8"/>
    </row>
    <row r="117" spans="2:2" ht="15.75" customHeight="1" x14ac:dyDescent="0.2">
      <c r="B117" s="8"/>
    </row>
    <row r="118" spans="2:2" ht="15.75" customHeight="1" x14ac:dyDescent="0.2">
      <c r="B118" s="8"/>
    </row>
    <row r="119" spans="2:2" ht="15.75" customHeight="1" x14ac:dyDescent="0.2">
      <c r="B119" s="8"/>
    </row>
    <row r="120" spans="2:2" ht="15.75" customHeight="1" x14ac:dyDescent="0.2">
      <c r="B120" s="8"/>
    </row>
    <row r="121" spans="2:2" ht="15.75" customHeight="1" x14ac:dyDescent="0.2">
      <c r="B121" s="8"/>
    </row>
    <row r="122" spans="2:2" ht="15.75" customHeight="1" x14ac:dyDescent="0.2">
      <c r="B122" s="8"/>
    </row>
    <row r="123" spans="2:2" ht="15.75" customHeight="1" x14ac:dyDescent="0.2">
      <c r="B123" s="8"/>
    </row>
    <row r="124" spans="2:2" ht="15.75" customHeight="1" x14ac:dyDescent="0.2">
      <c r="B124" s="8"/>
    </row>
    <row r="125" spans="2:2" ht="15.75" customHeight="1" x14ac:dyDescent="0.2">
      <c r="B125" s="8"/>
    </row>
    <row r="126" spans="2:2" ht="15.75" customHeight="1" x14ac:dyDescent="0.2">
      <c r="B126" s="8"/>
    </row>
    <row r="127" spans="2:2" ht="15.75" customHeight="1" x14ac:dyDescent="0.2">
      <c r="B127" s="8"/>
    </row>
    <row r="128" spans="2:2" ht="15.75" customHeight="1" x14ac:dyDescent="0.2">
      <c r="B128" s="8"/>
    </row>
    <row r="129" spans="2:2" ht="15.75" customHeight="1" x14ac:dyDescent="0.2">
      <c r="B129" s="8"/>
    </row>
    <row r="130" spans="2:2" ht="15.75" customHeight="1" x14ac:dyDescent="0.2">
      <c r="B130" s="8"/>
    </row>
    <row r="131" spans="2:2" ht="15.75" customHeight="1" x14ac:dyDescent="0.2">
      <c r="B131" s="8"/>
    </row>
    <row r="132" spans="2:2" ht="15.75" customHeight="1" x14ac:dyDescent="0.2">
      <c r="B132" s="8"/>
    </row>
    <row r="133" spans="2:2" ht="15.75" customHeight="1" x14ac:dyDescent="0.2">
      <c r="B133" s="8"/>
    </row>
    <row r="134" spans="2:2" ht="15.75" customHeight="1" x14ac:dyDescent="0.2">
      <c r="B134" s="8"/>
    </row>
    <row r="135" spans="2:2" ht="15.75" customHeight="1" x14ac:dyDescent="0.2">
      <c r="B135" s="8"/>
    </row>
    <row r="136" spans="2:2" ht="15.75" customHeight="1" x14ac:dyDescent="0.2">
      <c r="B136" s="8"/>
    </row>
    <row r="137" spans="2:2" ht="15.75" customHeight="1" x14ac:dyDescent="0.2">
      <c r="B137" s="8"/>
    </row>
    <row r="138" spans="2:2" ht="15.75" customHeight="1" x14ac:dyDescent="0.2">
      <c r="B138" s="8"/>
    </row>
    <row r="139" spans="2:2" ht="15.75" customHeight="1" x14ac:dyDescent="0.2">
      <c r="B139" s="8"/>
    </row>
    <row r="140" spans="2:2" ht="15.75" customHeight="1" x14ac:dyDescent="0.2">
      <c r="B140" s="8"/>
    </row>
    <row r="141" spans="2:2" ht="15.75" customHeight="1" x14ac:dyDescent="0.2">
      <c r="B141" s="8"/>
    </row>
    <row r="142" spans="2:2" ht="15.75" customHeight="1" x14ac:dyDescent="0.2">
      <c r="B142" s="8"/>
    </row>
    <row r="143" spans="2:2" ht="15.75" customHeight="1" x14ac:dyDescent="0.2">
      <c r="B143" s="8"/>
    </row>
    <row r="144" spans="2:2" ht="15.75" customHeight="1" x14ac:dyDescent="0.2">
      <c r="B144" s="8"/>
    </row>
    <row r="145" spans="2:2" ht="15.75" customHeight="1" x14ac:dyDescent="0.2">
      <c r="B145" s="8"/>
    </row>
    <row r="146" spans="2:2" ht="15.75" customHeight="1" x14ac:dyDescent="0.2">
      <c r="B146" s="8"/>
    </row>
    <row r="147" spans="2:2" ht="15.75" customHeight="1" x14ac:dyDescent="0.2">
      <c r="B147" s="8"/>
    </row>
    <row r="148" spans="2:2" ht="15.75" customHeight="1" x14ac:dyDescent="0.2">
      <c r="B148" s="8"/>
    </row>
    <row r="149" spans="2:2" ht="15.75" customHeight="1" x14ac:dyDescent="0.2">
      <c r="B149" s="8"/>
    </row>
    <row r="150" spans="2:2" ht="15.75" customHeight="1" x14ac:dyDescent="0.2">
      <c r="B150" s="8"/>
    </row>
    <row r="151" spans="2:2" ht="15.75" customHeight="1" x14ac:dyDescent="0.2">
      <c r="B151" s="8"/>
    </row>
    <row r="152" spans="2:2" ht="15.75" customHeight="1" x14ac:dyDescent="0.2">
      <c r="B152" s="8"/>
    </row>
    <row r="153" spans="2:2" ht="15.75" customHeight="1" x14ac:dyDescent="0.2">
      <c r="B153" s="8"/>
    </row>
    <row r="154" spans="2:2" ht="15.75" customHeight="1" x14ac:dyDescent="0.2">
      <c r="B154" s="8"/>
    </row>
    <row r="155" spans="2:2" ht="15.75" customHeight="1" x14ac:dyDescent="0.2">
      <c r="B155" s="8"/>
    </row>
    <row r="156" spans="2:2" ht="15.75" customHeight="1" x14ac:dyDescent="0.2">
      <c r="B156" s="8"/>
    </row>
    <row r="157" spans="2:2" ht="15.75" customHeight="1" x14ac:dyDescent="0.2">
      <c r="B157" s="8"/>
    </row>
    <row r="158" spans="2:2" ht="15.75" customHeight="1" x14ac:dyDescent="0.2">
      <c r="B158" s="8"/>
    </row>
    <row r="159" spans="2:2" ht="15.75" customHeight="1" x14ac:dyDescent="0.2">
      <c r="B159" s="8"/>
    </row>
    <row r="160" spans="2:2" ht="15.75" customHeight="1" x14ac:dyDescent="0.2">
      <c r="B160" s="8"/>
    </row>
    <row r="161" spans="2:2" ht="15.75" customHeight="1" x14ac:dyDescent="0.2">
      <c r="B161" s="8"/>
    </row>
    <row r="162" spans="2:2" ht="15.75" customHeight="1" x14ac:dyDescent="0.2">
      <c r="B162" s="8"/>
    </row>
    <row r="163" spans="2:2" ht="15.75" customHeight="1" x14ac:dyDescent="0.2">
      <c r="B163" s="8"/>
    </row>
    <row r="164" spans="2:2" ht="15.75" customHeight="1" x14ac:dyDescent="0.2">
      <c r="B164" s="8"/>
    </row>
    <row r="165" spans="2:2" ht="15.75" customHeight="1" x14ac:dyDescent="0.2">
      <c r="B165" s="8"/>
    </row>
    <row r="166" spans="2:2" ht="15.75" customHeight="1" x14ac:dyDescent="0.2">
      <c r="B166" s="8"/>
    </row>
    <row r="167" spans="2:2" ht="15.75" customHeight="1" x14ac:dyDescent="0.2">
      <c r="B167" s="8"/>
    </row>
    <row r="168" spans="2:2" ht="15.75" customHeight="1" x14ac:dyDescent="0.2">
      <c r="B168" s="8"/>
    </row>
    <row r="169" spans="2:2" ht="15.75" customHeight="1" x14ac:dyDescent="0.2">
      <c r="B169" s="8"/>
    </row>
    <row r="170" spans="2:2" ht="15.75" customHeight="1" x14ac:dyDescent="0.2">
      <c r="B170" s="8"/>
    </row>
    <row r="171" spans="2:2" ht="15.75" customHeight="1" x14ac:dyDescent="0.2">
      <c r="B171" s="8"/>
    </row>
    <row r="172" spans="2:2" ht="15.75" customHeight="1" x14ac:dyDescent="0.2">
      <c r="B172" s="8"/>
    </row>
    <row r="173" spans="2:2" ht="15.75" customHeight="1" x14ac:dyDescent="0.2">
      <c r="B173" s="8"/>
    </row>
    <row r="174" spans="2:2" ht="15.75" customHeight="1" x14ac:dyDescent="0.2">
      <c r="B174" s="8"/>
    </row>
    <row r="175" spans="2:2" ht="15.75" customHeight="1" x14ac:dyDescent="0.2">
      <c r="B175" s="8"/>
    </row>
    <row r="176" spans="2:2" ht="15.75" customHeight="1" x14ac:dyDescent="0.2">
      <c r="B176" s="8"/>
    </row>
    <row r="177" spans="2:2" ht="15.75" customHeight="1" x14ac:dyDescent="0.2">
      <c r="B177" s="8"/>
    </row>
    <row r="178" spans="2:2" ht="15.75" customHeight="1" x14ac:dyDescent="0.2">
      <c r="B178" s="8"/>
    </row>
    <row r="179" spans="2:2" ht="15.75" customHeight="1" x14ac:dyDescent="0.2">
      <c r="B179" s="8"/>
    </row>
    <row r="180" spans="2:2" ht="15.75" customHeight="1" x14ac:dyDescent="0.2">
      <c r="B180" s="8"/>
    </row>
    <row r="181" spans="2:2" ht="15.75" customHeight="1" x14ac:dyDescent="0.2">
      <c r="B181" s="8"/>
    </row>
    <row r="182" spans="2:2" ht="15.75" customHeight="1" x14ac:dyDescent="0.2">
      <c r="B182" s="8"/>
    </row>
    <row r="183" spans="2:2" ht="15.75" customHeight="1" x14ac:dyDescent="0.2">
      <c r="B183" s="8"/>
    </row>
    <row r="184" spans="2:2" ht="15.75" customHeight="1" x14ac:dyDescent="0.2">
      <c r="B184" s="8"/>
    </row>
    <row r="185" spans="2:2" ht="15.75" customHeight="1" x14ac:dyDescent="0.2">
      <c r="B185" s="8"/>
    </row>
    <row r="186" spans="2:2" ht="15.75" customHeight="1" x14ac:dyDescent="0.2">
      <c r="B186" s="8"/>
    </row>
    <row r="187" spans="2:2" ht="15.75" customHeight="1" x14ac:dyDescent="0.2">
      <c r="B187" s="8"/>
    </row>
    <row r="188" spans="2:2" ht="15.75" customHeight="1" x14ac:dyDescent="0.2">
      <c r="B188" s="8"/>
    </row>
    <row r="189" spans="2:2" ht="15.75" customHeight="1" x14ac:dyDescent="0.2">
      <c r="B189" s="8"/>
    </row>
    <row r="190" spans="2:2" ht="15.75" customHeight="1" x14ac:dyDescent="0.2">
      <c r="B190" s="8"/>
    </row>
    <row r="191" spans="2:2" ht="15.75" customHeight="1" x14ac:dyDescent="0.2">
      <c r="B191" s="8"/>
    </row>
    <row r="192" spans="2:2" ht="15.75" customHeight="1" x14ac:dyDescent="0.2">
      <c r="B192" s="8"/>
    </row>
    <row r="193" spans="2:2" ht="15.75" customHeight="1" x14ac:dyDescent="0.2">
      <c r="B193" s="8"/>
    </row>
    <row r="194" spans="2:2" ht="15.75" customHeight="1" x14ac:dyDescent="0.2">
      <c r="B194" s="8"/>
    </row>
    <row r="195" spans="2:2" ht="15.75" customHeight="1" x14ac:dyDescent="0.2">
      <c r="B195" s="8"/>
    </row>
    <row r="196" spans="2:2" ht="15.75" customHeight="1" x14ac:dyDescent="0.2">
      <c r="B196" s="8"/>
    </row>
    <row r="197" spans="2:2" ht="15.75" customHeight="1" x14ac:dyDescent="0.2">
      <c r="B197" s="8"/>
    </row>
    <row r="198" spans="2:2" ht="15.75" customHeight="1" x14ac:dyDescent="0.2">
      <c r="B198" s="8"/>
    </row>
    <row r="199" spans="2:2" ht="15.75" customHeight="1" x14ac:dyDescent="0.2">
      <c r="B199" s="8"/>
    </row>
    <row r="200" spans="2:2" ht="15.75" customHeight="1" x14ac:dyDescent="0.2">
      <c r="B200" s="8"/>
    </row>
    <row r="201" spans="2:2" ht="15.75" customHeight="1" x14ac:dyDescent="0.2">
      <c r="B201" s="8"/>
    </row>
    <row r="202" spans="2:2" ht="15.75" customHeight="1" x14ac:dyDescent="0.2">
      <c r="B202" s="8"/>
    </row>
    <row r="203" spans="2:2" ht="15.75" customHeight="1" x14ac:dyDescent="0.2">
      <c r="B203" s="8"/>
    </row>
    <row r="204" spans="2:2" ht="15.75" customHeight="1" x14ac:dyDescent="0.2">
      <c r="B204" s="8"/>
    </row>
    <row r="205" spans="2:2" ht="15.75" customHeight="1" x14ac:dyDescent="0.2">
      <c r="B205" s="8"/>
    </row>
    <row r="206" spans="2:2" ht="15.75" customHeight="1" x14ac:dyDescent="0.2">
      <c r="B206" s="8"/>
    </row>
    <row r="207" spans="2:2" ht="15.75" customHeight="1" x14ac:dyDescent="0.2">
      <c r="B207" s="8"/>
    </row>
    <row r="208" spans="2:2" ht="15.75" customHeight="1" x14ac:dyDescent="0.2">
      <c r="B208" s="8"/>
    </row>
    <row r="209" spans="2:2" ht="15.75" customHeight="1" x14ac:dyDescent="0.2">
      <c r="B209" s="8"/>
    </row>
    <row r="210" spans="2:2" ht="15.75" customHeight="1" x14ac:dyDescent="0.2">
      <c r="B210" s="8"/>
    </row>
    <row r="211" spans="2:2" ht="15.75" customHeight="1" x14ac:dyDescent="0.2">
      <c r="B211" s="8"/>
    </row>
    <row r="212" spans="2:2" ht="15.75" customHeight="1" x14ac:dyDescent="0.2">
      <c r="B212" s="8"/>
    </row>
    <row r="213" spans="2:2" ht="15.75" customHeight="1" x14ac:dyDescent="0.2">
      <c r="B213" s="8"/>
    </row>
    <row r="214" spans="2:2" ht="15.75" customHeight="1" x14ac:dyDescent="0.2">
      <c r="B214" s="8"/>
    </row>
    <row r="215" spans="2:2" ht="15.75" customHeight="1" x14ac:dyDescent="0.2">
      <c r="B215" s="8"/>
    </row>
    <row r="216" spans="2:2" ht="15.75" customHeight="1" x14ac:dyDescent="0.2">
      <c r="B216" s="8"/>
    </row>
    <row r="217" spans="2:2" ht="15.75" customHeight="1" x14ac:dyDescent="0.2">
      <c r="B217" s="8"/>
    </row>
    <row r="218" spans="2:2" ht="15.75" customHeight="1" x14ac:dyDescent="0.2">
      <c r="B218" s="8"/>
    </row>
    <row r="219" spans="2:2" ht="15.75" customHeight="1" x14ac:dyDescent="0.2">
      <c r="B219" s="8"/>
    </row>
    <row r="220" spans="2:2" ht="15.75" customHeight="1" x14ac:dyDescent="0.2">
      <c r="B220" s="8"/>
    </row>
    <row r="221" spans="2:2" ht="15.75" customHeight="1" x14ac:dyDescent="0.2">
      <c r="B221" s="8"/>
    </row>
    <row r="222" spans="2:2" ht="15.75" customHeight="1" x14ac:dyDescent="0.2">
      <c r="B222" s="8"/>
    </row>
    <row r="223" spans="2:2" ht="15.75" customHeight="1" x14ac:dyDescent="0.2">
      <c r="B223" s="8"/>
    </row>
    <row r="224" spans="2:2" ht="15.75" customHeight="1" x14ac:dyDescent="0.2">
      <c r="B224" s="8"/>
    </row>
    <row r="225" spans="2:2" ht="15.75" customHeight="1" x14ac:dyDescent="0.2">
      <c r="B225" s="8"/>
    </row>
    <row r="226" spans="2:2" ht="15.75" customHeight="1" x14ac:dyDescent="0.2">
      <c r="B226" s="8"/>
    </row>
    <row r="227" spans="2:2" ht="15.75" customHeight="1" x14ac:dyDescent="0.2">
      <c r="B227" s="8"/>
    </row>
    <row r="228" spans="2:2" ht="15.75" customHeight="1" x14ac:dyDescent="0.2">
      <c r="B228" s="8"/>
    </row>
    <row r="229" spans="2:2" ht="15.75" customHeight="1" x14ac:dyDescent="0.2">
      <c r="B229" s="8"/>
    </row>
    <row r="230" spans="2:2" ht="15.75" customHeight="1" x14ac:dyDescent="0.2">
      <c r="B230" s="8"/>
    </row>
    <row r="231" spans="2:2" ht="15.75" customHeight="1" x14ac:dyDescent="0.2">
      <c r="B231" s="8"/>
    </row>
    <row r="232" spans="2:2" ht="15.75" customHeight="1" x14ac:dyDescent="0.2">
      <c r="B232" s="8"/>
    </row>
    <row r="233" spans="2:2" ht="15.75" customHeight="1" x14ac:dyDescent="0.2">
      <c r="B233" s="8"/>
    </row>
    <row r="234" spans="2:2" ht="15.75" customHeight="1" x14ac:dyDescent="0.2">
      <c r="B234" s="8"/>
    </row>
    <row r="235" spans="2:2" ht="15.75" customHeight="1" x14ac:dyDescent="0.2">
      <c r="B235" s="8"/>
    </row>
    <row r="236" spans="2:2" ht="15.75" customHeight="1" x14ac:dyDescent="0.2">
      <c r="B236" s="8"/>
    </row>
    <row r="237" spans="2:2" ht="15.75" customHeight="1" x14ac:dyDescent="0.2">
      <c r="B237" s="8"/>
    </row>
    <row r="238" spans="2:2" ht="15.75" customHeight="1" x14ac:dyDescent="0.2">
      <c r="B238" s="8"/>
    </row>
    <row r="239" spans="2:2" ht="15.75" customHeight="1" x14ac:dyDescent="0.2">
      <c r="B239" s="8"/>
    </row>
    <row r="240" spans="2:2" ht="15.75" customHeight="1" x14ac:dyDescent="0.2">
      <c r="B240" s="8"/>
    </row>
    <row r="241" spans="2:2" ht="15.75" customHeight="1" x14ac:dyDescent="0.2">
      <c r="B241" s="8"/>
    </row>
    <row r="242" spans="2:2" ht="15.75" customHeight="1" x14ac:dyDescent="0.2">
      <c r="B242" s="8"/>
    </row>
    <row r="243" spans="2:2" ht="15.75" customHeight="1" x14ac:dyDescent="0.2">
      <c r="B243" s="8"/>
    </row>
    <row r="244" spans="2:2" ht="15.75" customHeight="1" x14ac:dyDescent="0.2">
      <c r="B244" s="8"/>
    </row>
    <row r="245" spans="2:2" ht="15.75" customHeight="1" x14ac:dyDescent="0.2">
      <c r="B245" s="8"/>
    </row>
    <row r="246" spans="2:2" ht="15.75" customHeight="1" x14ac:dyDescent="0.2">
      <c r="B246" s="8"/>
    </row>
    <row r="247" spans="2:2" ht="15.75" customHeight="1" x14ac:dyDescent="0.2">
      <c r="B247" s="8"/>
    </row>
    <row r="248" spans="2:2" ht="15.75" customHeight="1" x14ac:dyDescent="0.2">
      <c r="B248" s="8"/>
    </row>
    <row r="249" spans="2:2" ht="15.75" customHeight="1" x14ac:dyDescent="0.2">
      <c r="B249" s="8"/>
    </row>
    <row r="250" spans="2:2" ht="15.75" customHeight="1" x14ac:dyDescent="0.2">
      <c r="B250" s="8"/>
    </row>
    <row r="251" spans="2:2" ht="15.75" customHeight="1" x14ac:dyDescent="0.2">
      <c r="B251" s="8"/>
    </row>
    <row r="252" spans="2:2" ht="15.75" customHeight="1" x14ac:dyDescent="0.2">
      <c r="B252" s="8"/>
    </row>
    <row r="253" spans="2:2" ht="15.75" customHeight="1" x14ac:dyDescent="0.2">
      <c r="B253" s="8"/>
    </row>
    <row r="254" spans="2:2" ht="15.75" customHeight="1" x14ac:dyDescent="0.2">
      <c r="B254" s="8"/>
    </row>
    <row r="255" spans="2:2" ht="15.75" customHeight="1" x14ac:dyDescent="0.2">
      <c r="B255" s="8"/>
    </row>
    <row r="256" spans="2:2" ht="15.75" customHeight="1" x14ac:dyDescent="0.2">
      <c r="B256" s="8"/>
    </row>
    <row r="257" spans="2:2" ht="15.75" customHeight="1" x14ac:dyDescent="0.2">
      <c r="B257" s="8"/>
    </row>
    <row r="258" spans="2:2" ht="15.75" customHeight="1" x14ac:dyDescent="0.2">
      <c r="B258" s="8"/>
    </row>
    <row r="259" spans="2:2" ht="15.75" customHeight="1" x14ac:dyDescent="0.2">
      <c r="B259" s="8"/>
    </row>
    <row r="260" spans="2:2" ht="15.75" customHeight="1" x14ac:dyDescent="0.2">
      <c r="B260" s="8"/>
    </row>
    <row r="261" spans="2:2" ht="15.75" customHeight="1" x14ac:dyDescent="0.2">
      <c r="B261" s="8"/>
    </row>
    <row r="262" spans="2:2" ht="15.75" customHeight="1" x14ac:dyDescent="0.2">
      <c r="B262" s="8"/>
    </row>
    <row r="263" spans="2:2" ht="15.75" customHeight="1" x14ac:dyDescent="0.2">
      <c r="B263" s="8"/>
    </row>
    <row r="264" spans="2:2" ht="15.75" customHeight="1" x14ac:dyDescent="0.2">
      <c r="B264" s="8"/>
    </row>
    <row r="265" spans="2:2" ht="15.75" customHeight="1" x14ac:dyDescent="0.2">
      <c r="B265" s="8"/>
    </row>
    <row r="266" spans="2:2" ht="15.75" customHeight="1" x14ac:dyDescent="0.2">
      <c r="B266" s="8"/>
    </row>
    <row r="267" spans="2:2" ht="15.75" customHeight="1" x14ac:dyDescent="0.2">
      <c r="B267" s="8"/>
    </row>
    <row r="268" spans="2:2" ht="15.75" customHeight="1" x14ac:dyDescent="0.2">
      <c r="B268" s="8"/>
    </row>
    <row r="269" spans="2:2" ht="15.75" customHeight="1" x14ac:dyDescent="0.2">
      <c r="B269" s="8"/>
    </row>
    <row r="270" spans="2:2" ht="15.75" customHeight="1" x14ac:dyDescent="0.2">
      <c r="B270" s="8"/>
    </row>
    <row r="271" spans="2:2" ht="15.75" customHeight="1" x14ac:dyDescent="0.2">
      <c r="B271" s="8"/>
    </row>
    <row r="272" spans="2:2" ht="15.75" customHeight="1" x14ac:dyDescent="0.2">
      <c r="B272" s="8"/>
    </row>
    <row r="273" spans="2:2" ht="15.75" customHeight="1" x14ac:dyDescent="0.2">
      <c r="B273" s="8"/>
    </row>
    <row r="274" spans="2:2" ht="15.75" customHeight="1" x14ac:dyDescent="0.2">
      <c r="B274" s="8"/>
    </row>
    <row r="275" spans="2:2" ht="15.75" customHeight="1" x14ac:dyDescent="0.2">
      <c r="B275" s="8"/>
    </row>
    <row r="276" spans="2:2" ht="15.75" customHeight="1" x14ac:dyDescent="0.2">
      <c r="B276" s="8"/>
    </row>
    <row r="277" spans="2:2" ht="15.75" customHeight="1" x14ac:dyDescent="0.2">
      <c r="B277" s="8"/>
    </row>
    <row r="278" spans="2:2" ht="15.75" customHeight="1" x14ac:dyDescent="0.2">
      <c r="B278" s="8"/>
    </row>
    <row r="279" spans="2:2" ht="15.75" customHeight="1" x14ac:dyDescent="0.2">
      <c r="B279" s="8"/>
    </row>
    <row r="280" spans="2:2" ht="15.75" customHeight="1" x14ac:dyDescent="0.2">
      <c r="B280" s="8"/>
    </row>
    <row r="281" spans="2:2" ht="15.75" customHeight="1" x14ac:dyDescent="0.2">
      <c r="B281" s="8"/>
    </row>
    <row r="282" spans="2:2" ht="15.75" customHeight="1" x14ac:dyDescent="0.2">
      <c r="B282" s="8"/>
    </row>
    <row r="283" spans="2:2" ht="15.75" customHeight="1" x14ac:dyDescent="0.2">
      <c r="B283" s="8"/>
    </row>
    <row r="284" spans="2:2" ht="15.75" customHeight="1" x14ac:dyDescent="0.2">
      <c r="B284" s="8"/>
    </row>
    <row r="285" spans="2:2" ht="15.75" customHeight="1" x14ac:dyDescent="0.2">
      <c r="B285" s="8"/>
    </row>
    <row r="286" spans="2:2" ht="15.75" customHeight="1" x14ac:dyDescent="0.2">
      <c r="B286" s="8"/>
    </row>
    <row r="287" spans="2:2" ht="15.75" customHeight="1" x14ac:dyDescent="0.2">
      <c r="B287" s="8"/>
    </row>
    <row r="288" spans="2:2" ht="15.75" customHeight="1" x14ac:dyDescent="0.2">
      <c r="B288" s="8"/>
    </row>
    <row r="289" spans="2:2" ht="15.75" customHeight="1" x14ac:dyDescent="0.2">
      <c r="B289" s="8"/>
    </row>
    <row r="290" spans="2:2" ht="15.75" customHeight="1" x14ac:dyDescent="0.2">
      <c r="B290" s="8"/>
    </row>
    <row r="291" spans="2:2" ht="15.75" customHeight="1" x14ac:dyDescent="0.2">
      <c r="B291" s="8"/>
    </row>
    <row r="292" spans="2:2" ht="15.75" customHeight="1" x14ac:dyDescent="0.2">
      <c r="B292" s="8"/>
    </row>
    <row r="293" spans="2:2" ht="15.75" customHeight="1" x14ac:dyDescent="0.2">
      <c r="B293" s="8"/>
    </row>
    <row r="294" spans="2:2" ht="15.75" customHeight="1" x14ac:dyDescent="0.2">
      <c r="B294" s="8"/>
    </row>
    <row r="295" spans="2:2" ht="15.75" customHeight="1" x14ac:dyDescent="0.2">
      <c r="B295" s="8"/>
    </row>
    <row r="296" spans="2:2" ht="15.75" customHeight="1" x14ac:dyDescent="0.2">
      <c r="B296" s="8"/>
    </row>
    <row r="297" spans="2:2" ht="15.75" customHeight="1" x14ac:dyDescent="0.2">
      <c r="B297" s="8"/>
    </row>
    <row r="298" spans="2:2" ht="15.75" customHeight="1" x14ac:dyDescent="0.2">
      <c r="B298" s="8"/>
    </row>
    <row r="299" spans="2:2" ht="15.75" customHeight="1" x14ac:dyDescent="0.2">
      <c r="B299" s="8"/>
    </row>
    <row r="300" spans="2:2" ht="15.75" customHeight="1" x14ac:dyDescent="0.2">
      <c r="B300" s="8"/>
    </row>
    <row r="301" spans="2:2" ht="15.75" customHeight="1" x14ac:dyDescent="0.2">
      <c r="B301" s="8"/>
    </row>
    <row r="302" spans="2:2" ht="15.75" customHeight="1" x14ac:dyDescent="0.2">
      <c r="B302" s="8"/>
    </row>
    <row r="303" spans="2:2" ht="15.75" customHeight="1" x14ac:dyDescent="0.2">
      <c r="B303" s="8"/>
    </row>
    <row r="304" spans="2:2" ht="15.75" customHeight="1" x14ac:dyDescent="0.2">
      <c r="B304" s="8"/>
    </row>
    <row r="305" spans="2:2" ht="15.75" customHeight="1" x14ac:dyDescent="0.2">
      <c r="B305" s="8"/>
    </row>
    <row r="306" spans="2:2" ht="15.75" customHeight="1" x14ac:dyDescent="0.2">
      <c r="B306" s="8"/>
    </row>
    <row r="307" spans="2:2" ht="15.75" customHeight="1" x14ac:dyDescent="0.2">
      <c r="B307" s="8"/>
    </row>
    <row r="308" spans="2:2" ht="15.75" customHeight="1" x14ac:dyDescent="0.2">
      <c r="B308" s="8"/>
    </row>
    <row r="309" spans="2:2" ht="15.75" customHeight="1" x14ac:dyDescent="0.2">
      <c r="B309" s="8"/>
    </row>
    <row r="310" spans="2:2" ht="15.75" customHeight="1" x14ac:dyDescent="0.2">
      <c r="B310" s="8"/>
    </row>
    <row r="311" spans="2:2" ht="15.75" customHeight="1" x14ac:dyDescent="0.2">
      <c r="B311" s="8"/>
    </row>
    <row r="312" spans="2:2" ht="15.75" customHeight="1" x14ac:dyDescent="0.2">
      <c r="B312" s="8"/>
    </row>
    <row r="313" spans="2:2" ht="15.75" customHeight="1" x14ac:dyDescent="0.2">
      <c r="B313" s="8"/>
    </row>
    <row r="314" spans="2:2" ht="15.75" customHeight="1" x14ac:dyDescent="0.2">
      <c r="B314" s="8"/>
    </row>
    <row r="315" spans="2:2" ht="15.75" customHeight="1" x14ac:dyDescent="0.2">
      <c r="B315" s="8"/>
    </row>
    <row r="316" spans="2:2" ht="15.75" customHeight="1" x14ac:dyDescent="0.2">
      <c r="B316" s="8"/>
    </row>
    <row r="317" spans="2:2" ht="15.75" customHeight="1" x14ac:dyDescent="0.2">
      <c r="B317" s="8"/>
    </row>
    <row r="318" spans="2:2" ht="15.75" customHeight="1" x14ac:dyDescent="0.2">
      <c r="B318" s="8"/>
    </row>
    <row r="319" spans="2:2" ht="15.75" customHeight="1" x14ac:dyDescent="0.2">
      <c r="B319" s="8"/>
    </row>
    <row r="320" spans="2:2" ht="15.75" customHeight="1" x14ac:dyDescent="0.2">
      <c r="B320" s="8"/>
    </row>
    <row r="321" spans="2:2" ht="15.75" customHeight="1" x14ac:dyDescent="0.2">
      <c r="B321" s="8"/>
    </row>
    <row r="322" spans="2:2" ht="15.75" customHeight="1" x14ac:dyDescent="0.2">
      <c r="B322" s="8"/>
    </row>
    <row r="323" spans="2:2" ht="15.75" customHeight="1" x14ac:dyDescent="0.2">
      <c r="B323" s="8"/>
    </row>
    <row r="324" spans="2:2" ht="15.75" customHeight="1" x14ac:dyDescent="0.2">
      <c r="B324" s="8"/>
    </row>
    <row r="325" spans="2:2" ht="15.75" customHeight="1" x14ac:dyDescent="0.2">
      <c r="B325" s="8"/>
    </row>
    <row r="326" spans="2:2" ht="15.75" customHeight="1" x14ac:dyDescent="0.2">
      <c r="B326" s="8"/>
    </row>
    <row r="327" spans="2:2" ht="15.75" customHeight="1" x14ac:dyDescent="0.2">
      <c r="B327" s="8"/>
    </row>
    <row r="328" spans="2:2" ht="15.75" customHeight="1" x14ac:dyDescent="0.2">
      <c r="B328" s="8"/>
    </row>
    <row r="329" spans="2:2" ht="15.75" customHeight="1" x14ac:dyDescent="0.2">
      <c r="B329" s="8"/>
    </row>
    <row r="330" spans="2:2" ht="15.75" customHeight="1" x14ac:dyDescent="0.2">
      <c r="B330" s="8"/>
    </row>
    <row r="331" spans="2:2" ht="15.75" customHeight="1" x14ac:dyDescent="0.2">
      <c r="B331" s="8"/>
    </row>
    <row r="332" spans="2:2" ht="15.75" customHeight="1" x14ac:dyDescent="0.2">
      <c r="B332" s="8"/>
    </row>
    <row r="333" spans="2:2" ht="15.75" customHeight="1" x14ac:dyDescent="0.2">
      <c r="B333" s="8"/>
    </row>
    <row r="334" spans="2:2" ht="15.75" customHeight="1" x14ac:dyDescent="0.2">
      <c r="B334" s="8"/>
    </row>
    <row r="335" spans="2:2" ht="15.75" customHeight="1" x14ac:dyDescent="0.2">
      <c r="B335" s="8"/>
    </row>
    <row r="336" spans="2:2" ht="15.75" customHeight="1" x14ac:dyDescent="0.2">
      <c r="B336" s="8"/>
    </row>
    <row r="337" spans="2:2" ht="15.75" customHeight="1" x14ac:dyDescent="0.2">
      <c r="B337" s="8"/>
    </row>
    <row r="338" spans="2:2" ht="15.75" customHeight="1" x14ac:dyDescent="0.2">
      <c r="B338" s="8"/>
    </row>
    <row r="339" spans="2:2" ht="15.75" customHeight="1" x14ac:dyDescent="0.2">
      <c r="B339" s="8"/>
    </row>
    <row r="340" spans="2:2" ht="15.75" customHeight="1" x14ac:dyDescent="0.2">
      <c r="B340" s="8"/>
    </row>
    <row r="341" spans="2:2" ht="15.75" customHeight="1" x14ac:dyDescent="0.2">
      <c r="B341" s="8"/>
    </row>
    <row r="342" spans="2:2" ht="15.75" customHeight="1" x14ac:dyDescent="0.2">
      <c r="B342" s="8"/>
    </row>
    <row r="343" spans="2:2" ht="15.75" customHeight="1" x14ac:dyDescent="0.2">
      <c r="B343" s="8"/>
    </row>
    <row r="344" spans="2:2" ht="15.75" customHeight="1" x14ac:dyDescent="0.2">
      <c r="B344" s="8"/>
    </row>
    <row r="345" spans="2:2" ht="15.75" customHeight="1" x14ac:dyDescent="0.2">
      <c r="B345" s="8"/>
    </row>
    <row r="346" spans="2:2" ht="15.75" customHeight="1" x14ac:dyDescent="0.2">
      <c r="B346" s="8"/>
    </row>
    <row r="347" spans="2:2" ht="15.75" customHeight="1" x14ac:dyDescent="0.2">
      <c r="B347" s="8"/>
    </row>
    <row r="348" spans="2:2" ht="15.75" customHeight="1" x14ac:dyDescent="0.2">
      <c r="B348" s="8"/>
    </row>
    <row r="349" spans="2:2" ht="15.75" customHeight="1" x14ac:dyDescent="0.2">
      <c r="B349" s="8"/>
    </row>
    <row r="350" spans="2:2" ht="15.75" customHeight="1" x14ac:dyDescent="0.2">
      <c r="B350" s="8"/>
    </row>
    <row r="351" spans="2:2" ht="15.75" customHeight="1" x14ac:dyDescent="0.2">
      <c r="B351" s="8"/>
    </row>
    <row r="352" spans="2:2" ht="15.75" customHeight="1" x14ac:dyDescent="0.2">
      <c r="B352" s="8"/>
    </row>
    <row r="353" spans="2:2" ht="15.75" customHeight="1" x14ac:dyDescent="0.2">
      <c r="B353" s="8"/>
    </row>
    <row r="354" spans="2:2" ht="15.75" customHeight="1" x14ac:dyDescent="0.2">
      <c r="B354" s="8"/>
    </row>
    <row r="355" spans="2:2" ht="15.75" customHeight="1" x14ac:dyDescent="0.2">
      <c r="B355" s="8"/>
    </row>
    <row r="356" spans="2:2" ht="15.75" customHeight="1" x14ac:dyDescent="0.2">
      <c r="B356" s="8"/>
    </row>
    <row r="357" spans="2:2" ht="15.75" customHeight="1" x14ac:dyDescent="0.2">
      <c r="B357" s="8"/>
    </row>
    <row r="358" spans="2:2" ht="15.75" customHeight="1" x14ac:dyDescent="0.2">
      <c r="B358" s="8"/>
    </row>
    <row r="359" spans="2:2" ht="15.75" customHeight="1" x14ac:dyDescent="0.2">
      <c r="B359" s="8"/>
    </row>
    <row r="360" spans="2:2" ht="15.75" customHeight="1" x14ac:dyDescent="0.2">
      <c r="B360" s="8"/>
    </row>
    <row r="361" spans="2:2" ht="15.75" customHeight="1" x14ac:dyDescent="0.2">
      <c r="B361" s="8"/>
    </row>
    <row r="362" spans="2:2" ht="15.75" customHeight="1" x14ac:dyDescent="0.2">
      <c r="B362" s="8"/>
    </row>
    <row r="363" spans="2:2" ht="15.75" customHeight="1" x14ac:dyDescent="0.2">
      <c r="B363" s="8"/>
    </row>
    <row r="364" spans="2:2" ht="15.75" customHeight="1" x14ac:dyDescent="0.2">
      <c r="B364" s="8"/>
    </row>
    <row r="365" spans="2:2" ht="15.75" customHeight="1" x14ac:dyDescent="0.2">
      <c r="B365" s="8"/>
    </row>
    <row r="366" spans="2:2" ht="15.75" customHeight="1" x14ac:dyDescent="0.2">
      <c r="B366" s="8"/>
    </row>
    <row r="367" spans="2:2" ht="15.75" customHeight="1" x14ac:dyDescent="0.2">
      <c r="B367" s="8"/>
    </row>
    <row r="368" spans="2:2" ht="15.75" customHeight="1" x14ac:dyDescent="0.2">
      <c r="B368" s="8"/>
    </row>
    <row r="369" spans="2:2" ht="15.75" customHeight="1" x14ac:dyDescent="0.2">
      <c r="B369" s="8"/>
    </row>
    <row r="370" spans="2:2" ht="15.75" customHeight="1" x14ac:dyDescent="0.2">
      <c r="B370" s="8"/>
    </row>
    <row r="371" spans="2:2" ht="15.75" customHeight="1" x14ac:dyDescent="0.2">
      <c r="B371" s="8"/>
    </row>
    <row r="372" spans="2:2" ht="15.75" customHeight="1" x14ac:dyDescent="0.2">
      <c r="B372" s="8"/>
    </row>
    <row r="373" spans="2:2" ht="15.75" customHeight="1" x14ac:dyDescent="0.2">
      <c r="B373" s="8"/>
    </row>
    <row r="374" spans="2:2" ht="15.75" customHeight="1" x14ac:dyDescent="0.2">
      <c r="B374" s="8"/>
    </row>
    <row r="375" spans="2:2" ht="15.75" customHeight="1" x14ac:dyDescent="0.2">
      <c r="B375" s="8"/>
    </row>
    <row r="376" spans="2:2" ht="15.75" customHeight="1" x14ac:dyDescent="0.2">
      <c r="B376" s="8"/>
    </row>
    <row r="377" spans="2:2" ht="15.75" customHeight="1" x14ac:dyDescent="0.2">
      <c r="B377" s="8"/>
    </row>
    <row r="378" spans="2:2" ht="15.75" customHeight="1" x14ac:dyDescent="0.2">
      <c r="B378" s="8"/>
    </row>
    <row r="379" spans="2:2" ht="15.75" customHeight="1" x14ac:dyDescent="0.2">
      <c r="B379" s="8"/>
    </row>
    <row r="380" spans="2:2" ht="15.75" customHeight="1" x14ac:dyDescent="0.2">
      <c r="B380" s="8"/>
    </row>
    <row r="381" spans="2:2" ht="15.75" customHeight="1" x14ac:dyDescent="0.2">
      <c r="B381" s="8"/>
    </row>
    <row r="382" spans="2:2" ht="15.75" customHeight="1" x14ac:dyDescent="0.2">
      <c r="B382" s="8"/>
    </row>
    <row r="383" spans="2:2" ht="15.75" customHeight="1" x14ac:dyDescent="0.2">
      <c r="B383" s="8"/>
    </row>
    <row r="384" spans="2:2" ht="15.75" customHeight="1" x14ac:dyDescent="0.2">
      <c r="B384" s="8"/>
    </row>
    <row r="385" spans="2:2" ht="15.75" customHeight="1" x14ac:dyDescent="0.2">
      <c r="B385" s="8"/>
    </row>
    <row r="386" spans="2:2" ht="15.75" customHeight="1" x14ac:dyDescent="0.2">
      <c r="B386" s="8"/>
    </row>
    <row r="387" spans="2:2" ht="15.75" customHeight="1" x14ac:dyDescent="0.2">
      <c r="B387" s="8"/>
    </row>
    <row r="388" spans="2:2" ht="15.75" customHeight="1" x14ac:dyDescent="0.2">
      <c r="B388" s="8"/>
    </row>
    <row r="389" spans="2:2" ht="15.75" customHeight="1" x14ac:dyDescent="0.2">
      <c r="B389" s="8"/>
    </row>
    <row r="390" spans="2:2" ht="15.75" customHeight="1" x14ac:dyDescent="0.2">
      <c r="B390" s="8"/>
    </row>
    <row r="391" spans="2:2" ht="15.75" customHeight="1" x14ac:dyDescent="0.2">
      <c r="B391" s="8"/>
    </row>
    <row r="392" spans="2:2" ht="15.75" customHeight="1" x14ac:dyDescent="0.2">
      <c r="B392" s="8"/>
    </row>
    <row r="393" spans="2:2" ht="15.75" customHeight="1" x14ac:dyDescent="0.2">
      <c r="B393" s="8"/>
    </row>
    <row r="394" spans="2:2" ht="15.75" customHeight="1" x14ac:dyDescent="0.2">
      <c r="B394" s="8"/>
    </row>
    <row r="395" spans="2:2" ht="15.75" customHeight="1" x14ac:dyDescent="0.2">
      <c r="B395" s="8"/>
    </row>
    <row r="396" spans="2:2" ht="15.75" customHeight="1" x14ac:dyDescent="0.2">
      <c r="B396" s="8"/>
    </row>
    <row r="397" spans="2:2" ht="15.75" customHeight="1" x14ac:dyDescent="0.2">
      <c r="B397" s="8"/>
    </row>
    <row r="398" spans="2:2" ht="15.75" customHeight="1" x14ac:dyDescent="0.2">
      <c r="B398" s="8"/>
    </row>
    <row r="399" spans="2:2" ht="15.75" customHeight="1" x14ac:dyDescent="0.2">
      <c r="B399" s="8"/>
    </row>
    <row r="400" spans="2:2" ht="15.75" customHeight="1" x14ac:dyDescent="0.2">
      <c r="B400" s="8"/>
    </row>
    <row r="401" spans="2:2" ht="15.75" customHeight="1" x14ac:dyDescent="0.2">
      <c r="B401" s="8"/>
    </row>
    <row r="402" spans="2:2" ht="15.75" customHeight="1" x14ac:dyDescent="0.2">
      <c r="B402" s="8"/>
    </row>
    <row r="403" spans="2:2" ht="15.75" customHeight="1" x14ac:dyDescent="0.2">
      <c r="B403" s="8"/>
    </row>
    <row r="404" spans="2:2" ht="15.75" customHeight="1" x14ac:dyDescent="0.2">
      <c r="B404" s="8"/>
    </row>
    <row r="405" spans="2:2" ht="15.75" customHeight="1" x14ac:dyDescent="0.2">
      <c r="B405" s="8"/>
    </row>
    <row r="406" spans="2:2" ht="15.75" customHeight="1" x14ac:dyDescent="0.2">
      <c r="B406" s="8"/>
    </row>
    <row r="407" spans="2:2" ht="15.75" customHeight="1" x14ac:dyDescent="0.2">
      <c r="B407" s="8"/>
    </row>
    <row r="408" spans="2:2" ht="15.75" customHeight="1" x14ac:dyDescent="0.2">
      <c r="B408" s="8"/>
    </row>
    <row r="409" spans="2:2" ht="15.75" customHeight="1" x14ac:dyDescent="0.2">
      <c r="B409" s="8"/>
    </row>
    <row r="410" spans="2:2" ht="15.75" customHeight="1" x14ac:dyDescent="0.2">
      <c r="B410" s="8"/>
    </row>
    <row r="411" spans="2:2" ht="15.75" customHeight="1" x14ac:dyDescent="0.2">
      <c r="B411" s="8"/>
    </row>
    <row r="412" spans="2:2" ht="15.75" customHeight="1" x14ac:dyDescent="0.2">
      <c r="B412" s="8"/>
    </row>
    <row r="413" spans="2:2" ht="15.75" customHeight="1" x14ac:dyDescent="0.2">
      <c r="B413" s="8"/>
    </row>
    <row r="414" spans="2:2" ht="15.75" customHeight="1" x14ac:dyDescent="0.2">
      <c r="B414" s="8"/>
    </row>
    <row r="415" spans="2:2" ht="15.75" customHeight="1" x14ac:dyDescent="0.2">
      <c r="B415" s="8"/>
    </row>
    <row r="416" spans="2:2" ht="15.75" customHeight="1" x14ac:dyDescent="0.2">
      <c r="B416" s="8"/>
    </row>
    <row r="417" spans="2:2" ht="15.75" customHeight="1" x14ac:dyDescent="0.2">
      <c r="B417" s="8"/>
    </row>
    <row r="418" spans="2:2" ht="15.75" customHeight="1" x14ac:dyDescent="0.2">
      <c r="B418" s="8"/>
    </row>
    <row r="419" spans="2:2" ht="15.75" customHeight="1" x14ac:dyDescent="0.2">
      <c r="B419" s="8"/>
    </row>
    <row r="420" spans="2:2" ht="15.75" customHeight="1" x14ac:dyDescent="0.2">
      <c r="B420" s="8"/>
    </row>
    <row r="421" spans="2:2" ht="15.75" customHeight="1" x14ac:dyDescent="0.2">
      <c r="B421" s="8"/>
    </row>
    <row r="422" spans="2:2" ht="15.75" customHeight="1" x14ac:dyDescent="0.2">
      <c r="B422" s="8"/>
    </row>
    <row r="423" spans="2:2" ht="15.75" customHeight="1" x14ac:dyDescent="0.2">
      <c r="B423" s="8"/>
    </row>
    <row r="424" spans="2:2" ht="15.75" customHeight="1" x14ac:dyDescent="0.2">
      <c r="B424" s="8"/>
    </row>
    <row r="425" spans="2:2" ht="15.75" customHeight="1" x14ac:dyDescent="0.2">
      <c r="B425" s="8"/>
    </row>
    <row r="426" spans="2:2" ht="15.75" customHeight="1" x14ac:dyDescent="0.2">
      <c r="B426" s="8"/>
    </row>
    <row r="427" spans="2:2" ht="15.75" customHeight="1" x14ac:dyDescent="0.2">
      <c r="B427" s="8"/>
    </row>
    <row r="428" spans="2:2" ht="15.75" customHeight="1" x14ac:dyDescent="0.2">
      <c r="B428" s="8"/>
    </row>
    <row r="429" spans="2:2" ht="15.75" customHeight="1" x14ac:dyDescent="0.2">
      <c r="B429" s="8"/>
    </row>
    <row r="430" spans="2:2" ht="15.75" customHeight="1" x14ac:dyDescent="0.2">
      <c r="B430" s="8"/>
    </row>
    <row r="431" spans="2:2" ht="15.75" customHeight="1" x14ac:dyDescent="0.2">
      <c r="B431" s="8"/>
    </row>
    <row r="432" spans="2:2" ht="15.75" customHeight="1" x14ac:dyDescent="0.2">
      <c r="B432" s="8"/>
    </row>
    <row r="433" spans="2:2" ht="15.75" customHeight="1" x14ac:dyDescent="0.2">
      <c r="B433" s="8"/>
    </row>
    <row r="434" spans="2:2" ht="15.75" customHeight="1" x14ac:dyDescent="0.2">
      <c r="B434" s="8"/>
    </row>
    <row r="435" spans="2:2" ht="15.75" customHeight="1" x14ac:dyDescent="0.2">
      <c r="B435" s="8"/>
    </row>
    <row r="436" spans="2:2" ht="15.75" customHeight="1" x14ac:dyDescent="0.2">
      <c r="B436" s="8"/>
    </row>
    <row r="437" spans="2:2" ht="15.75" customHeight="1" x14ac:dyDescent="0.2">
      <c r="B437" s="8"/>
    </row>
    <row r="438" spans="2:2" ht="15.75" customHeight="1" x14ac:dyDescent="0.2">
      <c r="B438" s="8"/>
    </row>
    <row r="439" spans="2:2" ht="15.75" customHeight="1" x14ac:dyDescent="0.2">
      <c r="B439" s="8"/>
    </row>
    <row r="440" spans="2:2" ht="15.75" customHeight="1" x14ac:dyDescent="0.2">
      <c r="B440" s="8"/>
    </row>
    <row r="441" spans="2:2" ht="15.75" customHeight="1" x14ac:dyDescent="0.2">
      <c r="B441" s="8"/>
    </row>
    <row r="442" spans="2:2" ht="15.75" customHeight="1" x14ac:dyDescent="0.2">
      <c r="B442" s="8"/>
    </row>
    <row r="443" spans="2:2" ht="15.75" customHeight="1" x14ac:dyDescent="0.2">
      <c r="B443" s="8"/>
    </row>
    <row r="444" spans="2:2" ht="15.75" customHeight="1" x14ac:dyDescent="0.2">
      <c r="B444" s="8"/>
    </row>
    <row r="445" spans="2:2" ht="15.75" customHeight="1" x14ac:dyDescent="0.2">
      <c r="B445" s="8"/>
    </row>
    <row r="446" spans="2:2" ht="15.75" customHeight="1" x14ac:dyDescent="0.2">
      <c r="B446" s="8"/>
    </row>
    <row r="447" spans="2:2" ht="15.75" customHeight="1" x14ac:dyDescent="0.2">
      <c r="B447" s="8"/>
    </row>
    <row r="448" spans="2:2" ht="15.75" customHeight="1" x14ac:dyDescent="0.2">
      <c r="B448" s="8"/>
    </row>
    <row r="449" spans="2:2" ht="15.75" customHeight="1" x14ac:dyDescent="0.2">
      <c r="B449" s="8"/>
    </row>
    <row r="450" spans="2:2" ht="15.75" customHeight="1" x14ac:dyDescent="0.2">
      <c r="B450" s="8"/>
    </row>
    <row r="451" spans="2:2" ht="15.75" customHeight="1" x14ac:dyDescent="0.2">
      <c r="B451" s="8"/>
    </row>
    <row r="452" spans="2:2" ht="15.75" customHeight="1" x14ac:dyDescent="0.2">
      <c r="B452" s="8"/>
    </row>
    <row r="453" spans="2:2" ht="15.75" customHeight="1" x14ac:dyDescent="0.2">
      <c r="B453" s="8"/>
    </row>
    <row r="454" spans="2:2" ht="15.75" customHeight="1" x14ac:dyDescent="0.2">
      <c r="B454" s="8"/>
    </row>
    <row r="455" spans="2:2" ht="15.75" customHeight="1" x14ac:dyDescent="0.2">
      <c r="B455" s="8"/>
    </row>
    <row r="456" spans="2:2" ht="15.75" customHeight="1" x14ac:dyDescent="0.2">
      <c r="B456" s="8"/>
    </row>
    <row r="457" spans="2:2" ht="15.75" customHeight="1" x14ac:dyDescent="0.2">
      <c r="B457" s="8"/>
    </row>
    <row r="458" spans="2:2" ht="15.75" customHeight="1" x14ac:dyDescent="0.2">
      <c r="B458" s="8"/>
    </row>
    <row r="459" spans="2:2" ht="15.75" customHeight="1" x14ac:dyDescent="0.2">
      <c r="B459" s="8"/>
    </row>
    <row r="460" spans="2:2" ht="15.75" customHeight="1" x14ac:dyDescent="0.2">
      <c r="B460" s="8"/>
    </row>
    <row r="461" spans="2:2" ht="15.75" customHeight="1" x14ac:dyDescent="0.2">
      <c r="B461" s="8"/>
    </row>
    <row r="462" spans="2:2" ht="15.75" customHeight="1" x14ac:dyDescent="0.2">
      <c r="B462" s="8"/>
    </row>
    <row r="463" spans="2:2" ht="15.75" customHeight="1" x14ac:dyDescent="0.2">
      <c r="B463" s="8"/>
    </row>
    <row r="464" spans="2:2" ht="15.75" customHeight="1" x14ac:dyDescent="0.2">
      <c r="B464" s="8"/>
    </row>
    <row r="465" spans="2:2" ht="15.75" customHeight="1" x14ac:dyDescent="0.2">
      <c r="B465" s="8"/>
    </row>
    <row r="466" spans="2:2" ht="15.75" customHeight="1" x14ac:dyDescent="0.2">
      <c r="B466" s="8"/>
    </row>
    <row r="467" spans="2:2" ht="15.75" customHeight="1" x14ac:dyDescent="0.2">
      <c r="B467" s="8"/>
    </row>
    <row r="468" spans="2:2" ht="15.75" customHeight="1" x14ac:dyDescent="0.2">
      <c r="B468" s="8"/>
    </row>
    <row r="469" spans="2:2" ht="15.75" customHeight="1" x14ac:dyDescent="0.2">
      <c r="B469" s="8"/>
    </row>
    <row r="470" spans="2:2" ht="15.75" customHeight="1" x14ac:dyDescent="0.2">
      <c r="B470" s="8"/>
    </row>
    <row r="471" spans="2:2" ht="15.75" customHeight="1" x14ac:dyDescent="0.2">
      <c r="B471" s="8"/>
    </row>
    <row r="472" spans="2:2" ht="15.75" customHeight="1" x14ac:dyDescent="0.2">
      <c r="B472" s="8"/>
    </row>
    <row r="473" spans="2:2" ht="15.75" customHeight="1" x14ac:dyDescent="0.2">
      <c r="B473" s="8"/>
    </row>
    <row r="474" spans="2:2" ht="15.75" customHeight="1" x14ac:dyDescent="0.2">
      <c r="B474" s="8"/>
    </row>
    <row r="475" spans="2:2" ht="15.75" customHeight="1" x14ac:dyDescent="0.2">
      <c r="B475" s="8"/>
    </row>
    <row r="476" spans="2:2" ht="15.75" customHeight="1" x14ac:dyDescent="0.2">
      <c r="B476" s="8"/>
    </row>
    <row r="477" spans="2:2" ht="15.75" customHeight="1" x14ac:dyDescent="0.2">
      <c r="B477" s="8"/>
    </row>
    <row r="478" spans="2:2" ht="15.75" customHeight="1" x14ac:dyDescent="0.2">
      <c r="B478" s="8"/>
    </row>
    <row r="479" spans="2:2" ht="15.75" customHeight="1" x14ac:dyDescent="0.2">
      <c r="B479" s="8"/>
    </row>
    <row r="480" spans="2:2" ht="15.75" customHeight="1" x14ac:dyDescent="0.2">
      <c r="B480" s="8"/>
    </row>
    <row r="481" spans="2:2" ht="15.75" customHeight="1" x14ac:dyDescent="0.2">
      <c r="B481" s="8"/>
    </row>
    <row r="482" spans="2:2" ht="15.75" customHeight="1" x14ac:dyDescent="0.2">
      <c r="B482" s="8"/>
    </row>
    <row r="483" spans="2:2" ht="15.75" customHeight="1" x14ac:dyDescent="0.2">
      <c r="B483" s="8"/>
    </row>
    <row r="484" spans="2:2" ht="15.75" customHeight="1" x14ac:dyDescent="0.2">
      <c r="B484" s="8"/>
    </row>
    <row r="485" spans="2:2" ht="15.75" customHeight="1" x14ac:dyDescent="0.2">
      <c r="B485" s="8"/>
    </row>
    <row r="486" spans="2:2" ht="15.75" customHeight="1" x14ac:dyDescent="0.2">
      <c r="B486" s="8"/>
    </row>
    <row r="487" spans="2:2" ht="15.75" customHeight="1" x14ac:dyDescent="0.2">
      <c r="B487" s="8"/>
    </row>
    <row r="488" spans="2:2" ht="15.75" customHeight="1" x14ac:dyDescent="0.2">
      <c r="B488" s="8"/>
    </row>
    <row r="489" spans="2:2" ht="15.75" customHeight="1" x14ac:dyDescent="0.2">
      <c r="B489" s="8"/>
    </row>
    <row r="490" spans="2:2" ht="15.75" customHeight="1" x14ac:dyDescent="0.2">
      <c r="B490" s="8"/>
    </row>
    <row r="491" spans="2:2" ht="15.75" customHeight="1" x14ac:dyDescent="0.2">
      <c r="B491" s="8"/>
    </row>
    <row r="492" spans="2:2" ht="15.75" customHeight="1" x14ac:dyDescent="0.2">
      <c r="B492" s="8"/>
    </row>
    <row r="493" spans="2:2" ht="15.75" customHeight="1" x14ac:dyDescent="0.2">
      <c r="B493" s="8"/>
    </row>
    <row r="494" spans="2:2" ht="15.75" customHeight="1" x14ac:dyDescent="0.2">
      <c r="B494" s="8"/>
    </row>
    <row r="495" spans="2:2" ht="15.75" customHeight="1" x14ac:dyDescent="0.2">
      <c r="B495" s="8"/>
    </row>
    <row r="496" spans="2:2" ht="15.75" customHeight="1" x14ac:dyDescent="0.2">
      <c r="B496" s="8"/>
    </row>
    <row r="497" spans="2:2" ht="15.75" customHeight="1" x14ac:dyDescent="0.2">
      <c r="B497" s="8"/>
    </row>
    <row r="498" spans="2:2" ht="15.75" customHeight="1" x14ac:dyDescent="0.2">
      <c r="B498" s="8"/>
    </row>
    <row r="499" spans="2:2" ht="15.75" customHeight="1" x14ac:dyDescent="0.2">
      <c r="B499" s="8"/>
    </row>
    <row r="500" spans="2:2" ht="15.75" customHeight="1" x14ac:dyDescent="0.2">
      <c r="B500" s="8"/>
    </row>
    <row r="501" spans="2:2" ht="15.75" customHeight="1" x14ac:dyDescent="0.2">
      <c r="B501" s="8"/>
    </row>
    <row r="502" spans="2:2" ht="15.75" customHeight="1" x14ac:dyDescent="0.2">
      <c r="B502" s="8"/>
    </row>
    <row r="503" spans="2:2" ht="15.75" customHeight="1" x14ac:dyDescent="0.2">
      <c r="B503" s="8"/>
    </row>
    <row r="504" spans="2:2" ht="15.75" customHeight="1" x14ac:dyDescent="0.2">
      <c r="B504" s="8"/>
    </row>
    <row r="505" spans="2:2" ht="15.75" customHeight="1" x14ac:dyDescent="0.2">
      <c r="B505" s="8"/>
    </row>
    <row r="506" spans="2:2" ht="15.75" customHeight="1" x14ac:dyDescent="0.2">
      <c r="B506" s="8"/>
    </row>
    <row r="507" spans="2:2" ht="15.75" customHeight="1" x14ac:dyDescent="0.2">
      <c r="B507" s="8"/>
    </row>
    <row r="508" spans="2:2" ht="15.75" customHeight="1" x14ac:dyDescent="0.2">
      <c r="B508" s="8"/>
    </row>
    <row r="509" spans="2:2" ht="15.75" customHeight="1" x14ac:dyDescent="0.2">
      <c r="B509" s="8"/>
    </row>
    <row r="510" spans="2:2" ht="15.75" customHeight="1" x14ac:dyDescent="0.2">
      <c r="B510" s="8"/>
    </row>
    <row r="511" spans="2:2" ht="15.75" customHeight="1" x14ac:dyDescent="0.2">
      <c r="B511" s="8"/>
    </row>
    <row r="512" spans="2:2" ht="15.75" customHeight="1" x14ac:dyDescent="0.2">
      <c r="B512" s="8"/>
    </row>
    <row r="513" spans="2:2" ht="15.75" customHeight="1" x14ac:dyDescent="0.2">
      <c r="B513" s="8"/>
    </row>
    <row r="514" spans="2:2" ht="15.75" customHeight="1" x14ac:dyDescent="0.2">
      <c r="B514" s="8"/>
    </row>
    <row r="515" spans="2:2" ht="15.75" customHeight="1" x14ac:dyDescent="0.2">
      <c r="B515" s="8"/>
    </row>
    <row r="516" spans="2:2" ht="15.75" customHeight="1" x14ac:dyDescent="0.2">
      <c r="B516" s="8"/>
    </row>
    <row r="517" spans="2:2" ht="15.75" customHeight="1" x14ac:dyDescent="0.2">
      <c r="B517" s="8"/>
    </row>
    <row r="518" spans="2:2" ht="15.75" customHeight="1" x14ac:dyDescent="0.2">
      <c r="B518" s="8"/>
    </row>
    <row r="519" spans="2:2" ht="15.75" customHeight="1" x14ac:dyDescent="0.2">
      <c r="B519" s="8"/>
    </row>
    <row r="520" spans="2:2" ht="15.75" customHeight="1" x14ac:dyDescent="0.2">
      <c r="B520" s="8"/>
    </row>
    <row r="521" spans="2:2" ht="15.75" customHeight="1" x14ac:dyDescent="0.2">
      <c r="B521" s="8"/>
    </row>
    <row r="522" spans="2:2" ht="15.75" customHeight="1" x14ac:dyDescent="0.2">
      <c r="B522" s="8"/>
    </row>
    <row r="523" spans="2:2" ht="15.75" customHeight="1" x14ac:dyDescent="0.2">
      <c r="B523" s="8"/>
    </row>
    <row r="524" spans="2:2" ht="15.75" customHeight="1" x14ac:dyDescent="0.2">
      <c r="B524" s="8"/>
    </row>
    <row r="525" spans="2:2" ht="15.75" customHeight="1" x14ac:dyDescent="0.2">
      <c r="B525" s="8"/>
    </row>
    <row r="526" spans="2:2" ht="15.75" customHeight="1" x14ac:dyDescent="0.2">
      <c r="B526" s="8"/>
    </row>
    <row r="527" spans="2:2" ht="15.75" customHeight="1" x14ac:dyDescent="0.2">
      <c r="B527" s="8"/>
    </row>
    <row r="528" spans="2:2" ht="15.75" customHeight="1" x14ac:dyDescent="0.2">
      <c r="B528" s="8"/>
    </row>
    <row r="529" spans="2:2" ht="15.75" customHeight="1" x14ac:dyDescent="0.2">
      <c r="B529" s="8"/>
    </row>
    <row r="530" spans="2:2" ht="15.75" customHeight="1" x14ac:dyDescent="0.2">
      <c r="B530" s="8"/>
    </row>
    <row r="531" spans="2:2" ht="15.75" customHeight="1" x14ac:dyDescent="0.2">
      <c r="B531" s="8"/>
    </row>
    <row r="532" spans="2:2" ht="15.75" customHeight="1" x14ac:dyDescent="0.2">
      <c r="B532" s="8"/>
    </row>
    <row r="533" spans="2:2" ht="15.75" customHeight="1" x14ac:dyDescent="0.2">
      <c r="B533" s="8"/>
    </row>
    <row r="534" spans="2:2" ht="15.75" customHeight="1" x14ac:dyDescent="0.2">
      <c r="B534" s="8"/>
    </row>
    <row r="535" spans="2:2" ht="15.75" customHeight="1" x14ac:dyDescent="0.2">
      <c r="B535" s="8"/>
    </row>
    <row r="536" spans="2:2" ht="15.75" customHeight="1" x14ac:dyDescent="0.2">
      <c r="B536" s="8"/>
    </row>
    <row r="537" spans="2:2" ht="15.75" customHeight="1" x14ac:dyDescent="0.2">
      <c r="B537" s="8"/>
    </row>
    <row r="538" spans="2:2" ht="15.75" customHeight="1" x14ac:dyDescent="0.2">
      <c r="B538" s="8"/>
    </row>
    <row r="539" spans="2:2" ht="15.75" customHeight="1" x14ac:dyDescent="0.2">
      <c r="B539" s="8"/>
    </row>
    <row r="540" spans="2:2" ht="15.75" customHeight="1" x14ac:dyDescent="0.2">
      <c r="B540" s="8"/>
    </row>
    <row r="541" spans="2:2" ht="15.75" customHeight="1" x14ac:dyDescent="0.2">
      <c r="B541" s="8"/>
    </row>
    <row r="542" spans="2:2" ht="15.75" customHeight="1" x14ac:dyDescent="0.2">
      <c r="B542" s="8"/>
    </row>
    <row r="543" spans="2:2" ht="15.75" customHeight="1" x14ac:dyDescent="0.2">
      <c r="B543" s="8"/>
    </row>
    <row r="544" spans="2:2" ht="15.75" customHeight="1" x14ac:dyDescent="0.2">
      <c r="B544" s="8"/>
    </row>
    <row r="545" spans="2:2" ht="15.75" customHeight="1" x14ac:dyDescent="0.2">
      <c r="B545" s="8"/>
    </row>
    <row r="546" spans="2:2" ht="15.75" customHeight="1" x14ac:dyDescent="0.2">
      <c r="B546" s="8"/>
    </row>
    <row r="547" spans="2:2" ht="15.75" customHeight="1" x14ac:dyDescent="0.2">
      <c r="B547" s="8"/>
    </row>
    <row r="548" spans="2:2" ht="15.75" customHeight="1" x14ac:dyDescent="0.2">
      <c r="B548" s="8"/>
    </row>
    <row r="549" spans="2:2" ht="15.75" customHeight="1" x14ac:dyDescent="0.2">
      <c r="B549" s="8"/>
    </row>
    <row r="550" spans="2:2" ht="15.75" customHeight="1" x14ac:dyDescent="0.2">
      <c r="B550" s="8"/>
    </row>
    <row r="551" spans="2:2" ht="15.75" customHeight="1" x14ac:dyDescent="0.2">
      <c r="B551" s="8"/>
    </row>
    <row r="552" spans="2:2" ht="15.75" customHeight="1" x14ac:dyDescent="0.2">
      <c r="B552" s="8"/>
    </row>
    <row r="553" spans="2:2" ht="15.75" customHeight="1" x14ac:dyDescent="0.2">
      <c r="B553" s="8"/>
    </row>
    <row r="554" spans="2:2" ht="15.75" customHeight="1" x14ac:dyDescent="0.2">
      <c r="B554" s="8"/>
    </row>
    <row r="555" spans="2:2" ht="15.75" customHeight="1" x14ac:dyDescent="0.2">
      <c r="B555" s="8"/>
    </row>
    <row r="556" spans="2:2" ht="15.75" customHeight="1" x14ac:dyDescent="0.2">
      <c r="B556" s="8"/>
    </row>
    <row r="557" spans="2:2" ht="15.75" customHeight="1" x14ac:dyDescent="0.2">
      <c r="B557" s="8"/>
    </row>
    <row r="558" spans="2:2" ht="15.75" customHeight="1" x14ac:dyDescent="0.2">
      <c r="B558" s="8"/>
    </row>
    <row r="559" spans="2:2" ht="15.75" customHeight="1" x14ac:dyDescent="0.2">
      <c r="B559" s="8"/>
    </row>
    <row r="560" spans="2:2" ht="15.75" customHeight="1" x14ac:dyDescent="0.2">
      <c r="B560" s="8"/>
    </row>
    <row r="561" spans="2:2" ht="15.75" customHeight="1" x14ac:dyDescent="0.2">
      <c r="B561" s="8"/>
    </row>
    <row r="562" spans="2:2" ht="15.75" customHeight="1" x14ac:dyDescent="0.2">
      <c r="B562" s="8"/>
    </row>
    <row r="563" spans="2:2" ht="15.75" customHeight="1" x14ac:dyDescent="0.2">
      <c r="B563" s="8"/>
    </row>
    <row r="564" spans="2:2" ht="15.75" customHeight="1" x14ac:dyDescent="0.2">
      <c r="B564" s="8"/>
    </row>
    <row r="565" spans="2:2" ht="15.75" customHeight="1" x14ac:dyDescent="0.2">
      <c r="B565" s="8"/>
    </row>
    <row r="566" spans="2:2" ht="15.75" customHeight="1" x14ac:dyDescent="0.2">
      <c r="B566" s="8"/>
    </row>
    <row r="567" spans="2:2" ht="15.75" customHeight="1" x14ac:dyDescent="0.2">
      <c r="B567" s="8"/>
    </row>
    <row r="568" spans="2:2" ht="15.75" customHeight="1" x14ac:dyDescent="0.2">
      <c r="B568" s="8"/>
    </row>
    <row r="569" spans="2:2" ht="15.75" customHeight="1" x14ac:dyDescent="0.2">
      <c r="B569" s="8"/>
    </row>
    <row r="570" spans="2:2" ht="15.75" customHeight="1" x14ac:dyDescent="0.2">
      <c r="B570" s="8"/>
    </row>
    <row r="571" spans="2:2" ht="15.75" customHeight="1" x14ac:dyDescent="0.2">
      <c r="B571" s="8"/>
    </row>
    <row r="572" spans="2:2" ht="15.75" customHeight="1" x14ac:dyDescent="0.2">
      <c r="B572" s="8"/>
    </row>
    <row r="573" spans="2:2" ht="15.75" customHeight="1" x14ac:dyDescent="0.2">
      <c r="B573" s="8"/>
    </row>
    <row r="574" spans="2:2" ht="15.75" customHeight="1" x14ac:dyDescent="0.2">
      <c r="B574" s="8"/>
    </row>
    <row r="575" spans="2:2" ht="15.75" customHeight="1" x14ac:dyDescent="0.2">
      <c r="B575" s="8"/>
    </row>
    <row r="576" spans="2:2" ht="15.75" customHeight="1" x14ac:dyDescent="0.2">
      <c r="B576" s="8"/>
    </row>
    <row r="577" spans="2:2" ht="15.75" customHeight="1" x14ac:dyDescent="0.2">
      <c r="B577" s="8"/>
    </row>
    <row r="578" spans="2:2" ht="15.75" customHeight="1" x14ac:dyDescent="0.2">
      <c r="B578" s="8"/>
    </row>
    <row r="579" spans="2:2" ht="15.75" customHeight="1" x14ac:dyDescent="0.2">
      <c r="B579" s="8"/>
    </row>
    <row r="580" spans="2:2" ht="15.75" customHeight="1" x14ac:dyDescent="0.2">
      <c r="B580" s="8"/>
    </row>
    <row r="581" spans="2:2" ht="15.75" customHeight="1" x14ac:dyDescent="0.2">
      <c r="B581" s="8"/>
    </row>
    <row r="582" spans="2:2" ht="15.75" customHeight="1" x14ac:dyDescent="0.2">
      <c r="B582" s="8"/>
    </row>
    <row r="583" spans="2:2" ht="15.75" customHeight="1" x14ac:dyDescent="0.2">
      <c r="B583" s="8"/>
    </row>
    <row r="584" spans="2:2" ht="15.75" customHeight="1" x14ac:dyDescent="0.2">
      <c r="B584" s="8"/>
    </row>
    <row r="585" spans="2:2" ht="15.75" customHeight="1" x14ac:dyDescent="0.2">
      <c r="B585" s="8"/>
    </row>
    <row r="586" spans="2:2" ht="15.75" customHeight="1" x14ac:dyDescent="0.2">
      <c r="B586" s="8"/>
    </row>
    <row r="587" spans="2:2" ht="15.75" customHeight="1" x14ac:dyDescent="0.2">
      <c r="B587" s="8"/>
    </row>
    <row r="588" spans="2:2" ht="15.75" customHeight="1" x14ac:dyDescent="0.2">
      <c r="B588" s="8"/>
    </row>
    <row r="589" spans="2:2" ht="15.75" customHeight="1" x14ac:dyDescent="0.2">
      <c r="B589" s="8"/>
    </row>
    <row r="590" spans="2:2" ht="15.75" customHeight="1" x14ac:dyDescent="0.2">
      <c r="B590" s="8"/>
    </row>
    <row r="591" spans="2:2" ht="15.75" customHeight="1" x14ac:dyDescent="0.2">
      <c r="B591" s="8"/>
    </row>
    <row r="592" spans="2:2" ht="15.75" customHeight="1" x14ac:dyDescent="0.2">
      <c r="B592" s="8"/>
    </row>
    <row r="593" spans="2:2" ht="15.75" customHeight="1" x14ac:dyDescent="0.2">
      <c r="B593" s="8"/>
    </row>
    <row r="594" spans="2:2" ht="15.75" customHeight="1" x14ac:dyDescent="0.2">
      <c r="B594" s="8"/>
    </row>
    <row r="595" spans="2:2" ht="15.75" customHeight="1" x14ac:dyDescent="0.2">
      <c r="B595" s="8"/>
    </row>
    <row r="596" spans="2:2" ht="15.75" customHeight="1" x14ac:dyDescent="0.2">
      <c r="B596" s="8"/>
    </row>
    <row r="597" spans="2:2" ht="15.75" customHeight="1" x14ac:dyDescent="0.2">
      <c r="B597" s="8"/>
    </row>
    <row r="598" spans="2:2" ht="15.75" customHeight="1" x14ac:dyDescent="0.2">
      <c r="B598" s="8"/>
    </row>
    <row r="599" spans="2:2" ht="15.75" customHeight="1" x14ac:dyDescent="0.2">
      <c r="B599" s="8"/>
    </row>
    <row r="600" spans="2:2" ht="15.75" customHeight="1" x14ac:dyDescent="0.2">
      <c r="B600" s="8"/>
    </row>
    <row r="601" spans="2:2" ht="15.75" customHeight="1" x14ac:dyDescent="0.2">
      <c r="B601" s="8"/>
    </row>
    <row r="602" spans="2:2" ht="15.75" customHeight="1" x14ac:dyDescent="0.2">
      <c r="B602" s="8"/>
    </row>
    <row r="603" spans="2:2" ht="15.75" customHeight="1" x14ac:dyDescent="0.2">
      <c r="B603" s="8"/>
    </row>
    <row r="604" spans="2:2" ht="15.75" customHeight="1" x14ac:dyDescent="0.2">
      <c r="B604" s="8"/>
    </row>
    <row r="605" spans="2:2" ht="15.75" customHeight="1" x14ac:dyDescent="0.2">
      <c r="B605" s="8"/>
    </row>
    <row r="606" spans="2:2" ht="15.75" customHeight="1" x14ac:dyDescent="0.2">
      <c r="B606" s="8"/>
    </row>
    <row r="607" spans="2:2" ht="15.75" customHeight="1" x14ac:dyDescent="0.2">
      <c r="B607" s="8"/>
    </row>
    <row r="608" spans="2:2" ht="15.75" customHeight="1" x14ac:dyDescent="0.2">
      <c r="B608" s="8"/>
    </row>
    <row r="609" spans="2:2" ht="15.75" customHeight="1" x14ac:dyDescent="0.2">
      <c r="B609" s="8"/>
    </row>
    <row r="610" spans="2:2" ht="15.75" customHeight="1" x14ac:dyDescent="0.2">
      <c r="B610" s="8"/>
    </row>
    <row r="611" spans="2:2" ht="15.75" customHeight="1" x14ac:dyDescent="0.2">
      <c r="B611" s="8"/>
    </row>
    <row r="612" spans="2:2" ht="15.75" customHeight="1" x14ac:dyDescent="0.2">
      <c r="B612" s="8"/>
    </row>
    <row r="613" spans="2:2" ht="15.75" customHeight="1" x14ac:dyDescent="0.2">
      <c r="B613" s="8"/>
    </row>
    <row r="614" spans="2:2" ht="15.75" customHeight="1" x14ac:dyDescent="0.2">
      <c r="B614" s="8"/>
    </row>
    <row r="615" spans="2:2" ht="15.75" customHeight="1" x14ac:dyDescent="0.2">
      <c r="B615" s="8"/>
    </row>
    <row r="616" spans="2:2" ht="15.75" customHeight="1" x14ac:dyDescent="0.2">
      <c r="B616" s="8"/>
    </row>
    <row r="617" spans="2:2" ht="15.75" customHeight="1" x14ac:dyDescent="0.2">
      <c r="B617" s="8"/>
    </row>
    <row r="618" spans="2:2" ht="15.75" customHeight="1" x14ac:dyDescent="0.2">
      <c r="B618" s="8"/>
    </row>
    <row r="619" spans="2:2" ht="15.75" customHeight="1" x14ac:dyDescent="0.2">
      <c r="B619" s="8"/>
    </row>
    <row r="620" spans="2:2" ht="15.75" customHeight="1" x14ac:dyDescent="0.2">
      <c r="B620" s="8"/>
    </row>
    <row r="621" spans="2:2" ht="15.75" customHeight="1" x14ac:dyDescent="0.2">
      <c r="B621" s="8"/>
    </row>
    <row r="622" spans="2:2" ht="15.75" customHeight="1" x14ac:dyDescent="0.2">
      <c r="B622" s="8"/>
    </row>
    <row r="623" spans="2:2" ht="15.75" customHeight="1" x14ac:dyDescent="0.2">
      <c r="B623" s="8"/>
    </row>
    <row r="624" spans="2:2" ht="15.75" customHeight="1" x14ac:dyDescent="0.2">
      <c r="B624" s="8"/>
    </row>
    <row r="625" spans="2:2" ht="15.75" customHeight="1" x14ac:dyDescent="0.2">
      <c r="B625" s="8"/>
    </row>
    <row r="626" spans="2:2" ht="15.75" customHeight="1" x14ac:dyDescent="0.2">
      <c r="B626" s="8"/>
    </row>
    <row r="627" spans="2:2" ht="15.75" customHeight="1" x14ac:dyDescent="0.2">
      <c r="B627" s="8"/>
    </row>
    <row r="628" spans="2:2" ht="15.75" customHeight="1" x14ac:dyDescent="0.2">
      <c r="B628" s="8"/>
    </row>
    <row r="629" spans="2:2" ht="15.75" customHeight="1" x14ac:dyDescent="0.2">
      <c r="B629" s="8"/>
    </row>
    <row r="630" spans="2:2" ht="15.75" customHeight="1" x14ac:dyDescent="0.2">
      <c r="B630" s="8"/>
    </row>
    <row r="631" spans="2:2" ht="15.75" customHeight="1" x14ac:dyDescent="0.2">
      <c r="B631" s="8"/>
    </row>
    <row r="632" spans="2:2" ht="15.75" customHeight="1" x14ac:dyDescent="0.2">
      <c r="B632" s="8"/>
    </row>
    <row r="633" spans="2:2" ht="15.75" customHeight="1" x14ac:dyDescent="0.2">
      <c r="B633" s="8"/>
    </row>
    <row r="634" spans="2:2" ht="15.75" customHeight="1" x14ac:dyDescent="0.2">
      <c r="B634" s="8"/>
    </row>
    <row r="635" spans="2:2" ht="15.75" customHeight="1" x14ac:dyDescent="0.2">
      <c r="B635" s="8"/>
    </row>
    <row r="636" spans="2:2" ht="15.75" customHeight="1" x14ac:dyDescent="0.2">
      <c r="B636" s="8"/>
    </row>
    <row r="637" spans="2:2" ht="15.75" customHeight="1" x14ac:dyDescent="0.2">
      <c r="B637" s="8"/>
    </row>
    <row r="638" spans="2:2" ht="15.75" customHeight="1" x14ac:dyDescent="0.2">
      <c r="B638" s="8"/>
    </row>
    <row r="639" spans="2:2" ht="15.75" customHeight="1" x14ac:dyDescent="0.2">
      <c r="B639" s="8"/>
    </row>
    <row r="640" spans="2:2" ht="15.75" customHeight="1" x14ac:dyDescent="0.2">
      <c r="B640" s="8"/>
    </row>
    <row r="641" spans="2:2" ht="15.75" customHeight="1" x14ac:dyDescent="0.2">
      <c r="B641" s="8"/>
    </row>
    <row r="642" spans="2:2" ht="15.75" customHeight="1" x14ac:dyDescent="0.2">
      <c r="B642" s="8"/>
    </row>
    <row r="643" spans="2:2" ht="15.75" customHeight="1" x14ac:dyDescent="0.2">
      <c r="B643" s="8"/>
    </row>
    <row r="644" spans="2:2" ht="15.75" customHeight="1" x14ac:dyDescent="0.2">
      <c r="B644" s="8"/>
    </row>
    <row r="645" spans="2:2" ht="15.75" customHeight="1" x14ac:dyDescent="0.2">
      <c r="B645" s="8"/>
    </row>
    <row r="646" spans="2:2" ht="15.75" customHeight="1" x14ac:dyDescent="0.2">
      <c r="B646" s="8"/>
    </row>
    <row r="647" spans="2:2" ht="15.75" customHeight="1" x14ac:dyDescent="0.2">
      <c r="B647" s="8"/>
    </row>
    <row r="648" spans="2:2" ht="15.75" customHeight="1" x14ac:dyDescent="0.2">
      <c r="B648" s="8"/>
    </row>
    <row r="649" spans="2:2" ht="15.75" customHeight="1" x14ac:dyDescent="0.2">
      <c r="B649" s="8"/>
    </row>
    <row r="650" spans="2:2" ht="15.75" customHeight="1" x14ac:dyDescent="0.2">
      <c r="B650" s="8"/>
    </row>
    <row r="651" spans="2:2" ht="15.75" customHeight="1" x14ac:dyDescent="0.2">
      <c r="B651" s="8"/>
    </row>
    <row r="652" spans="2:2" ht="15.75" customHeight="1" x14ac:dyDescent="0.2">
      <c r="B652" s="8"/>
    </row>
    <row r="653" spans="2:2" ht="15.75" customHeight="1" x14ac:dyDescent="0.2">
      <c r="B653" s="8"/>
    </row>
    <row r="654" spans="2:2" ht="15.75" customHeight="1" x14ac:dyDescent="0.2">
      <c r="B654" s="8"/>
    </row>
    <row r="655" spans="2:2" ht="15.75" customHeight="1" x14ac:dyDescent="0.2">
      <c r="B655" s="8"/>
    </row>
    <row r="656" spans="2:2" ht="15.75" customHeight="1" x14ac:dyDescent="0.2">
      <c r="B656" s="8"/>
    </row>
    <row r="657" spans="2:2" ht="15.75" customHeight="1" x14ac:dyDescent="0.2">
      <c r="B657" s="8"/>
    </row>
    <row r="658" spans="2:2" ht="15.75" customHeight="1" x14ac:dyDescent="0.2">
      <c r="B658" s="8"/>
    </row>
    <row r="659" spans="2:2" ht="15.75" customHeight="1" x14ac:dyDescent="0.2">
      <c r="B659" s="8"/>
    </row>
    <row r="660" spans="2:2" ht="15.75" customHeight="1" x14ac:dyDescent="0.2">
      <c r="B660" s="8"/>
    </row>
    <row r="661" spans="2:2" ht="15.75" customHeight="1" x14ac:dyDescent="0.2">
      <c r="B661" s="8"/>
    </row>
    <row r="662" spans="2:2" ht="15.75" customHeight="1" x14ac:dyDescent="0.2">
      <c r="B662" s="8"/>
    </row>
    <row r="663" spans="2:2" ht="15.75" customHeight="1" x14ac:dyDescent="0.2">
      <c r="B663" s="8"/>
    </row>
    <row r="664" spans="2:2" ht="15.75" customHeight="1" x14ac:dyDescent="0.2">
      <c r="B664" s="8"/>
    </row>
    <row r="665" spans="2:2" ht="15.75" customHeight="1" x14ac:dyDescent="0.2">
      <c r="B665" s="8"/>
    </row>
    <row r="666" spans="2:2" ht="15.75" customHeight="1" x14ac:dyDescent="0.2">
      <c r="B666" s="8"/>
    </row>
    <row r="667" spans="2:2" ht="15.75" customHeight="1" x14ac:dyDescent="0.2">
      <c r="B667" s="8"/>
    </row>
    <row r="668" spans="2:2" ht="15.75" customHeight="1" x14ac:dyDescent="0.2">
      <c r="B668" s="8"/>
    </row>
    <row r="669" spans="2:2" ht="15.75" customHeight="1" x14ac:dyDescent="0.2">
      <c r="B669" s="8"/>
    </row>
    <row r="670" spans="2:2" ht="15.75" customHeight="1" x14ac:dyDescent="0.2">
      <c r="B670" s="8"/>
    </row>
    <row r="671" spans="2:2" ht="15.75" customHeight="1" x14ac:dyDescent="0.2">
      <c r="B671" s="8"/>
    </row>
    <row r="672" spans="2:2" ht="15.75" customHeight="1" x14ac:dyDescent="0.2">
      <c r="B672" s="8"/>
    </row>
    <row r="673" spans="2:2" ht="15.75" customHeight="1" x14ac:dyDescent="0.2">
      <c r="B673" s="8"/>
    </row>
    <row r="674" spans="2:2" ht="15.75" customHeight="1" x14ac:dyDescent="0.2">
      <c r="B674" s="8"/>
    </row>
    <row r="675" spans="2:2" ht="15.75" customHeight="1" x14ac:dyDescent="0.2">
      <c r="B675" s="8"/>
    </row>
    <row r="676" spans="2:2" ht="15.75" customHeight="1" x14ac:dyDescent="0.2">
      <c r="B676" s="8"/>
    </row>
    <row r="677" spans="2:2" ht="15.75" customHeight="1" x14ac:dyDescent="0.2">
      <c r="B677" s="8"/>
    </row>
    <row r="678" spans="2:2" ht="15.75" customHeight="1" x14ac:dyDescent="0.2">
      <c r="B678" s="8"/>
    </row>
    <row r="679" spans="2:2" ht="15.75" customHeight="1" x14ac:dyDescent="0.2">
      <c r="B679" s="8"/>
    </row>
    <row r="680" spans="2:2" ht="15.75" customHeight="1" x14ac:dyDescent="0.2">
      <c r="B680" s="8"/>
    </row>
    <row r="681" spans="2:2" ht="15.75" customHeight="1" x14ac:dyDescent="0.2">
      <c r="B681" s="8"/>
    </row>
    <row r="682" spans="2:2" ht="15.75" customHeight="1" x14ac:dyDescent="0.2">
      <c r="B682" s="8"/>
    </row>
    <row r="683" spans="2:2" ht="15.75" customHeight="1" x14ac:dyDescent="0.2">
      <c r="B683" s="8"/>
    </row>
    <row r="684" spans="2:2" ht="15.75" customHeight="1" x14ac:dyDescent="0.2">
      <c r="B684" s="8"/>
    </row>
    <row r="685" spans="2:2" ht="15.75" customHeight="1" x14ac:dyDescent="0.2">
      <c r="B685" s="8"/>
    </row>
    <row r="686" spans="2:2" ht="15.75" customHeight="1" x14ac:dyDescent="0.2">
      <c r="B686" s="8"/>
    </row>
    <row r="687" spans="2:2" ht="15.75" customHeight="1" x14ac:dyDescent="0.2">
      <c r="B687" s="8"/>
    </row>
    <row r="688" spans="2:2" ht="15.75" customHeight="1" x14ac:dyDescent="0.2">
      <c r="B688" s="8"/>
    </row>
    <row r="689" spans="2:2" ht="15.75" customHeight="1" x14ac:dyDescent="0.2">
      <c r="B689" s="8"/>
    </row>
    <row r="690" spans="2:2" ht="15.75" customHeight="1" x14ac:dyDescent="0.2">
      <c r="B690" s="8"/>
    </row>
    <row r="691" spans="2:2" ht="15.75" customHeight="1" x14ac:dyDescent="0.2">
      <c r="B691" s="8"/>
    </row>
    <row r="692" spans="2:2" ht="15.75" customHeight="1" x14ac:dyDescent="0.2">
      <c r="B692" s="8"/>
    </row>
    <row r="693" spans="2:2" ht="15.75" customHeight="1" x14ac:dyDescent="0.2">
      <c r="B693" s="8"/>
    </row>
    <row r="694" spans="2:2" ht="15.75" customHeight="1" x14ac:dyDescent="0.2">
      <c r="B694" s="8"/>
    </row>
    <row r="695" spans="2:2" ht="15.75" customHeight="1" x14ac:dyDescent="0.2">
      <c r="B695" s="8"/>
    </row>
    <row r="696" spans="2:2" ht="15.75" customHeight="1" x14ac:dyDescent="0.2">
      <c r="B696" s="8"/>
    </row>
    <row r="697" spans="2:2" ht="15.75" customHeight="1" x14ac:dyDescent="0.2">
      <c r="B697" s="8"/>
    </row>
    <row r="698" spans="2:2" ht="15.75" customHeight="1" x14ac:dyDescent="0.2">
      <c r="B698" s="8"/>
    </row>
    <row r="699" spans="2:2" ht="15.75" customHeight="1" x14ac:dyDescent="0.2">
      <c r="B699" s="8"/>
    </row>
    <row r="700" spans="2:2" ht="15.75" customHeight="1" x14ac:dyDescent="0.2">
      <c r="B700" s="8"/>
    </row>
    <row r="701" spans="2:2" ht="15.75" customHeight="1" x14ac:dyDescent="0.2">
      <c r="B701" s="8"/>
    </row>
    <row r="702" spans="2:2" ht="15.75" customHeight="1" x14ac:dyDescent="0.2">
      <c r="B702" s="8"/>
    </row>
    <row r="703" spans="2:2" ht="15.75" customHeight="1" x14ac:dyDescent="0.2">
      <c r="B703" s="8"/>
    </row>
    <row r="704" spans="2:2" ht="15.75" customHeight="1" x14ac:dyDescent="0.2">
      <c r="B704" s="8"/>
    </row>
    <row r="705" spans="2:2" ht="15.75" customHeight="1" x14ac:dyDescent="0.2">
      <c r="B705" s="8"/>
    </row>
    <row r="706" spans="2:2" ht="15.75" customHeight="1" x14ac:dyDescent="0.2">
      <c r="B706" s="8"/>
    </row>
    <row r="707" spans="2:2" ht="15.75" customHeight="1" x14ac:dyDescent="0.2">
      <c r="B707" s="8"/>
    </row>
    <row r="708" spans="2:2" ht="15.75" customHeight="1" x14ac:dyDescent="0.2">
      <c r="B708" s="8"/>
    </row>
    <row r="709" spans="2:2" ht="15.75" customHeight="1" x14ac:dyDescent="0.2">
      <c r="B709" s="8"/>
    </row>
    <row r="710" spans="2:2" ht="15.75" customHeight="1" x14ac:dyDescent="0.2">
      <c r="B710" s="8"/>
    </row>
    <row r="711" spans="2:2" ht="15.75" customHeight="1" x14ac:dyDescent="0.2">
      <c r="B711" s="8"/>
    </row>
    <row r="712" spans="2:2" ht="15.75" customHeight="1" x14ac:dyDescent="0.2">
      <c r="B712" s="8"/>
    </row>
    <row r="713" spans="2:2" ht="15.75" customHeight="1" x14ac:dyDescent="0.2">
      <c r="B713" s="8"/>
    </row>
    <row r="714" spans="2:2" ht="15.75" customHeight="1" x14ac:dyDescent="0.2">
      <c r="B714" s="8"/>
    </row>
    <row r="715" spans="2:2" ht="15.75" customHeight="1" x14ac:dyDescent="0.2">
      <c r="B715" s="8"/>
    </row>
    <row r="716" spans="2:2" ht="15.75" customHeight="1" x14ac:dyDescent="0.2">
      <c r="B716" s="8"/>
    </row>
    <row r="717" spans="2:2" ht="15.75" customHeight="1" x14ac:dyDescent="0.2">
      <c r="B717" s="8"/>
    </row>
    <row r="718" spans="2:2" ht="15.75" customHeight="1" x14ac:dyDescent="0.2">
      <c r="B718" s="8"/>
    </row>
    <row r="719" spans="2:2" ht="15.75" customHeight="1" x14ac:dyDescent="0.2">
      <c r="B719" s="8"/>
    </row>
    <row r="720" spans="2:2" ht="15.75" customHeight="1" x14ac:dyDescent="0.2">
      <c r="B720" s="8"/>
    </row>
    <row r="721" spans="2:2" ht="15.75" customHeight="1" x14ac:dyDescent="0.2">
      <c r="B721" s="8"/>
    </row>
    <row r="722" spans="2:2" ht="15.75" customHeight="1" x14ac:dyDescent="0.2">
      <c r="B722" s="8"/>
    </row>
    <row r="723" spans="2:2" ht="15.75" customHeight="1" x14ac:dyDescent="0.2">
      <c r="B723" s="8"/>
    </row>
    <row r="724" spans="2:2" ht="15.75" customHeight="1" x14ac:dyDescent="0.2">
      <c r="B724" s="8"/>
    </row>
    <row r="725" spans="2:2" ht="15.75" customHeight="1" x14ac:dyDescent="0.2">
      <c r="B725" s="8"/>
    </row>
    <row r="726" spans="2:2" ht="15.75" customHeight="1" x14ac:dyDescent="0.2">
      <c r="B726" s="8"/>
    </row>
    <row r="727" spans="2:2" ht="15.75" customHeight="1" x14ac:dyDescent="0.2">
      <c r="B727" s="8"/>
    </row>
    <row r="728" spans="2:2" ht="15.75" customHeight="1" x14ac:dyDescent="0.2">
      <c r="B728" s="8"/>
    </row>
    <row r="729" spans="2:2" ht="15.75" customHeight="1" x14ac:dyDescent="0.2">
      <c r="B729" s="8"/>
    </row>
    <row r="730" spans="2:2" ht="15.75" customHeight="1" x14ac:dyDescent="0.2">
      <c r="B730" s="8"/>
    </row>
    <row r="731" spans="2:2" ht="15.75" customHeight="1" x14ac:dyDescent="0.2">
      <c r="B731" s="8"/>
    </row>
    <row r="732" spans="2:2" ht="15.75" customHeight="1" x14ac:dyDescent="0.2">
      <c r="B732" s="8"/>
    </row>
    <row r="733" spans="2:2" ht="15.75" customHeight="1" x14ac:dyDescent="0.2">
      <c r="B733" s="8"/>
    </row>
    <row r="734" spans="2:2" ht="15.75" customHeight="1" x14ac:dyDescent="0.2">
      <c r="B734" s="8"/>
    </row>
    <row r="735" spans="2:2" ht="15.75" customHeight="1" x14ac:dyDescent="0.2">
      <c r="B735" s="8"/>
    </row>
    <row r="736" spans="2:2" ht="15.75" customHeight="1" x14ac:dyDescent="0.2">
      <c r="B736" s="8"/>
    </row>
    <row r="737" spans="2:2" ht="15.75" customHeight="1" x14ac:dyDescent="0.2">
      <c r="B737" s="8"/>
    </row>
    <row r="738" spans="2:2" ht="15.75" customHeight="1" x14ac:dyDescent="0.2">
      <c r="B738" s="8"/>
    </row>
    <row r="739" spans="2:2" ht="15.75" customHeight="1" x14ac:dyDescent="0.2">
      <c r="B739" s="8"/>
    </row>
    <row r="740" spans="2:2" ht="15.75" customHeight="1" x14ac:dyDescent="0.2">
      <c r="B740" s="8"/>
    </row>
    <row r="741" spans="2:2" ht="15.75" customHeight="1" x14ac:dyDescent="0.2">
      <c r="B741" s="8"/>
    </row>
    <row r="742" spans="2:2" ht="15.75" customHeight="1" x14ac:dyDescent="0.2">
      <c r="B742" s="8"/>
    </row>
    <row r="743" spans="2:2" ht="15.75" customHeight="1" x14ac:dyDescent="0.2">
      <c r="B743" s="8"/>
    </row>
    <row r="744" spans="2:2" ht="15.75" customHeight="1" x14ac:dyDescent="0.2">
      <c r="B744" s="8"/>
    </row>
    <row r="745" spans="2:2" ht="15.75" customHeight="1" x14ac:dyDescent="0.2">
      <c r="B745" s="8"/>
    </row>
    <row r="746" spans="2:2" ht="15.75" customHeight="1" x14ac:dyDescent="0.2">
      <c r="B746" s="8"/>
    </row>
    <row r="747" spans="2:2" ht="15.75" customHeight="1" x14ac:dyDescent="0.2">
      <c r="B747" s="8"/>
    </row>
    <row r="748" spans="2:2" ht="15.75" customHeight="1" x14ac:dyDescent="0.2">
      <c r="B748" s="8"/>
    </row>
    <row r="749" spans="2:2" ht="15.75" customHeight="1" x14ac:dyDescent="0.2">
      <c r="B749" s="8"/>
    </row>
    <row r="750" spans="2:2" ht="15.75" customHeight="1" x14ac:dyDescent="0.2">
      <c r="B750" s="8"/>
    </row>
    <row r="751" spans="2:2" ht="15.75" customHeight="1" x14ac:dyDescent="0.2">
      <c r="B751" s="8"/>
    </row>
    <row r="752" spans="2:2" ht="15.75" customHeight="1" x14ac:dyDescent="0.2">
      <c r="B752" s="8"/>
    </row>
    <row r="753" spans="2:2" ht="15.75" customHeight="1" x14ac:dyDescent="0.2">
      <c r="B753" s="8"/>
    </row>
    <row r="754" spans="2:2" ht="15.75" customHeight="1" x14ac:dyDescent="0.2">
      <c r="B754" s="8"/>
    </row>
    <row r="755" spans="2:2" ht="15.75" customHeight="1" x14ac:dyDescent="0.2">
      <c r="B755" s="8"/>
    </row>
    <row r="756" spans="2:2" ht="15.75" customHeight="1" x14ac:dyDescent="0.2">
      <c r="B756" s="8"/>
    </row>
    <row r="757" spans="2:2" ht="15.75" customHeight="1" x14ac:dyDescent="0.2">
      <c r="B757" s="8"/>
    </row>
    <row r="758" spans="2:2" ht="15.75" customHeight="1" x14ac:dyDescent="0.2">
      <c r="B758" s="8"/>
    </row>
    <row r="759" spans="2:2" ht="15.75" customHeight="1" x14ac:dyDescent="0.2">
      <c r="B759" s="8"/>
    </row>
    <row r="760" spans="2:2" ht="15.75" customHeight="1" x14ac:dyDescent="0.2">
      <c r="B760" s="8"/>
    </row>
    <row r="761" spans="2:2" ht="15.75" customHeight="1" x14ac:dyDescent="0.2">
      <c r="B761" s="8"/>
    </row>
    <row r="762" spans="2:2" ht="15.75" customHeight="1" x14ac:dyDescent="0.2">
      <c r="B762" s="8"/>
    </row>
    <row r="763" spans="2:2" ht="15.75" customHeight="1" x14ac:dyDescent="0.2">
      <c r="B763" s="8"/>
    </row>
    <row r="764" spans="2:2" ht="15.75" customHeight="1" x14ac:dyDescent="0.2">
      <c r="B764" s="8"/>
    </row>
    <row r="765" spans="2:2" ht="15.75" customHeight="1" x14ac:dyDescent="0.2">
      <c r="B765" s="8"/>
    </row>
    <row r="766" spans="2:2" ht="15.75" customHeight="1" x14ac:dyDescent="0.2">
      <c r="B766" s="8"/>
    </row>
    <row r="767" spans="2:2" ht="15.75" customHeight="1" x14ac:dyDescent="0.2">
      <c r="B767" s="8"/>
    </row>
    <row r="768" spans="2:2" ht="15.75" customHeight="1" x14ac:dyDescent="0.2">
      <c r="B768" s="8"/>
    </row>
    <row r="769" spans="2:2" ht="15.75" customHeight="1" x14ac:dyDescent="0.2">
      <c r="B769" s="8"/>
    </row>
    <row r="770" spans="2:2" ht="15.75" customHeight="1" x14ac:dyDescent="0.2">
      <c r="B770" s="8"/>
    </row>
    <row r="771" spans="2:2" ht="15.75" customHeight="1" x14ac:dyDescent="0.2">
      <c r="B771" s="8"/>
    </row>
    <row r="772" spans="2:2" ht="15.75" customHeight="1" x14ac:dyDescent="0.2">
      <c r="B772" s="8"/>
    </row>
    <row r="773" spans="2:2" ht="15.75" customHeight="1" x14ac:dyDescent="0.2">
      <c r="B773" s="8"/>
    </row>
    <row r="774" spans="2:2" ht="15.75" customHeight="1" x14ac:dyDescent="0.2">
      <c r="B774" s="8"/>
    </row>
    <row r="775" spans="2:2" ht="15.75" customHeight="1" x14ac:dyDescent="0.2">
      <c r="B775" s="8"/>
    </row>
    <row r="776" spans="2:2" ht="15.75" customHeight="1" x14ac:dyDescent="0.2">
      <c r="B776" s="8"/>
    </row>
    <row r="777" spans="2:2" ht="15.75" customHeight="1" x14ac:dyDescent="0.2">
      <c r="B777" s="8"/>
    </row>
    <row r="778" spans="2:2" ht="15.75" customHeight="1" x14ac:dyDescent="0.2">
      <c r="B778" s="8"/>
    </row>
    <row r="779" spans="2:2" ht="15.75" customHeight="1" x14ac:dyDescent="0.2">
      <c r="B779" s="8"/>
    </row>
    <row r="780" spans="2:2" ht="15.75" customHeight="1" x14ac:dyDescent="0.2">
      <c r="B780" s="8"/>
    </row>
    <row r="781" spans="2:2" ht="15.75" customHeight="1" x14ac:dyDescent="0.2">
      <c r="B781" s="8"/>
    </row>
    <row r="782" spans="2:2" ht="15.75" customHeight="1" x14ac:dyDescent="0.2">
      <c r="B782" s="8"/>
    </row>
    <row r="783" spans="2:2" ht="15.75" customHeight="1" x14ac:dyDescent="0.2">
      <c r="B783" s="8"/>
    </row>
    <row r="784" spans="2:2" ht="15.75" customHeight="1" x14ac:dyDescent="0.2">
      <c r="B784" s="8"/>
    </row>
    <row r="785" spans="2:2" ht="15.75" customHeight="1" x14ac:dyDescent="0.2">
      <c r="B785" s="8"/>
    </row>
    <row r="786" spans="2:2" ht="15.75" customHeight="1" x14ac:dyDescent="0.2">
      <c r="B786" s="8"/>
    </row>
    <row r="787" spans="2:2" ht="15.75" customHeight="1" x14ac:dyDescent="0.2">
      <c r="B787" s="8"/>
    </row>
    <row r="788" spans="2:2" ht="15.75" customHeight="1" x14ac:dyDescent="0.2">
      <c r="B788" s="8"/>
    </row>
    <row r="789" spans="2:2" ht="15.75" customHeight="1" x14ac:dyDescent="0.2">
      <c r="B789" s="8"/>
    </row>
    <row r="790" spans="2:2" ht="15.75" customHeight="1" x14ac:dyDescent="0.2">
      <c r="B790" s="8"/>
    </row>
    <row r="791" spans="2:2" ht="15.75" customHeight="1" x14ac:dyDescent="0.2">
      <c r="B791" s="8"/>
    </row>
    <row r="792" spans="2:2" ht="15.75" customHeight="1" x14ac:dyDescent="0.2">
      <c r="B792" s="8"/>
    </row>
    <row r="793" spans="2:2" ht="15.75" customHeight="1" x14ac:dyDescent="0.2">
      <c r="B793" s="8"/>
    </row>
    <row r="794" spans="2:2" ht="15.75" customHeight="1" x14ac:dyDescent="0.2">
      <c r="B794" s="8"/>
    </row>
    <row r="795" spans="2:2" ht="15.75" customHeight="1" x14ac:dyDescent="0.2">
      <c r="B795" s="8"/>
    </row>
    <row r="796" spans="2:2" ht="15.75" customHeight="1" x14ac:dyDescent="0.2">
      <c r="B796" s="8"/>
    </row>
    <row r="797" spans="2:2" ht="15.75" customHeight="1" x14ac:dyDescent="0.2">
      <c r="B797" s="8"/>
    </row>
    <row r="798" spans="2:2" ht="15.75" customHeight="1" x14ac:dyDescent="0.2">
      <c r="B798" s="8"/>
    </row>
    <row r="799" spans="2:2" ht="15.75" customHeight="1" x14ac:dyDescent="0.2">
      <c r="B799" s="8"/>
    </row>
    <row r="800" spans="2:2" ht="15.75" customHeight="1" x14ac:dyDescent="0.2">
      <c r="B800" s="8"/>
    </row>
    <row r="801" spans="2:2" ht="15.75" customHeight="1" x14ac:dyDescent="0.2">
      <c r="B801" s="8"/>
    </row>
    <row r="802" spans="2:2" ht="15.75" customHeight="1" x14ac:dyDescent="0.2">
      <c r="B802" s="8"/>
    </row>
    <row r="803" spans="2:2" ht="15.75" customHeight="1" x14ac:dyDescent="0.2">
      <c r="B803" s="8"/>
    </row>
    <row r="804" spans="2:2" ht="15.75" customHeight="1" x14ac:dyDescent="0.2">
      <c r="B804" s="8"/>
    </row>
    <row r="805" spans="2:2" ht="15.75" customHeight="1" x14ac:dyDescent="0.2">
      <c r="B805" s="8"/>
    </row>
    <row r="806" spans="2:2" ht="15.75" customHeight="1" x14ac:dyDescent="0.2">
      <c r="B806" s="8"/>
    </row>
    <row r="807" spans="2:2" ht="15.75" customHeight="1" x14ac:dyDescent="0.2">
      <c r="B807" s="8"/>
    </row>
    <row r="808" spans="2:2" ht="15.75" customHeight="1" x14ac:dyDescent="0.2">
      <c r="B808" s="8"/>
    </row>
    <row r="809" spans="2:2" ht="15.75" customHeight="1" x14ac:dyDescent="0.2">
      <c r="B809" s="8"/>
    </row>
    <row r="810" spans="2:2" ht="15.75" customHeight="1" x14ac:dyDescent="0.2">
      <c r="B810" s="8"/>
    </row>
    <row r="811" spans="2:2" ht="15.75" customHeight="1" x14ac:dyDescent="0.2">
      <c r="B811" s="8"/>
    </row>
    <row r="812" spans="2:2" ht="15.75" customHeight="1" x14ac:dyDescent="0.2">
      <c r="B812" s="8"/>
    </row>
    <row r="813" spans="2:2" ht="15.75" customHeight="1" x14ac:dyDescent="0.2">
      <c r="B813" s="8"/>
    </row>
    <row r="814" spans="2:2" ht="15.75" customHeight="1" x14ac:dyDescent="0.2">
      <c r="B814" s="8"/>
    </row>
    <row r="815" spans="2:2" ht="15.75" customHeight="1" x14ac:dyDescent="0.2">
      <c r="B815" s="8"/>
    </row>
    <row r="816" spans="2:2" ht="15.75" customHeight="1" x14ac:dyDescent="0.2">
      <c r="B816" s="8"/>
    </row>
    <row r="817" spans="2:2" ht="15.75" customHeight="1" x14ac:dyDescent="0.2">
      <c r="B817" s="8"/>
    </row>
    <row r="818" spans="2:2" ht="15.75" customHeight="1" x14ac:dyDescent="0.2">
      <c r="B818" s="8"/>
    </row>
    <row r="819" spans="2:2" ht="15.75" customHeight="1" x14ac:dyDescent="0.2">
      <c r="B819" s="8"/>
    </row>
    <row r="820" spans="2:2" ht="15.75" customHeight="1" x14ac:dyDescent="0.2">
      <c r="B820" s="8"/>
    </row>
    <row r="821" spans="2:2" ht="15.75" customHeight="1" x14ac:dyDescent="0.2">
      <c r="B821" s="8"/>
    </row>
    <row r="822" spans="2:2" ht="15.75" customHeight="1" x14ac:dyDescent="0.2">
      <c r="B822" s="8"/>
    </row>
    <row r="823" spans="2:2" ht="15.75" customHeight="1" x14ac:dyDescent="0.2">
      <c r="B823" s="8"/>
    </row>
    <row r="824" spans="2:2" ht="15.75" customHeight="1" x14ac:dyDescent="0.2">
      <c r="B824" s="8"/>
    </row>
    <row r="825" spans="2:2" ht="15.75" customHeight="1" x14ac:dyDescent="0.2">
      <c r="B825" s="8"/>
    </row>
    <row r="826" spans="2:2" ht="15.75" customHeight="1" x14ac:dyDescent="0.2">
      <c r="B826" s="8"/>
    </row>
    <row r="827" spans="2:2" ht="15.75" customHeight="1" x14ac:dyDescent="0.2">
      <c r="B827" s="8"/>
    </row>
    <row r="828" spans="2:2" ht="15.75" customHeight="1" x14ac:dyDescent="0.2">
      <c r="B828" s="8"/>
    </row>
    <row r="829" spans="2:2" ht="15.75" customHeight="1" x14ac:dyDescent="0.2">
      <c r="B829" s="8"/>
    </row>
    <row r="830" spans="2:2" ht="15.75" customHeight="1" x14ac:dyDescent="0.2">
      <c r="B830" s="8"/>
    </row>
    <row r="831" spans="2:2" ht="15.75" customHeight="1" x14ac:dyDescent="0.2">
      <c r="B831" s="8"/>
    </row>
    <row r="832" spans="2:2" ht="15.75" customHeight="1" x14ac:dyDescent="0.2">
      <c r="B832" s="8"/>
    </row>
    <row r="833" spans="2:2" ht="15.75" customHeight="1" x14ac:dyDescent="0.2">
      <c r="B833" s="8"/>
    </row>
    <row r="834" spans="2:2" ht="15.75" customHeight="1" x14ac:dyDescent="0.2">
      <c r="B834" s="8"/>
    </row>
    <row r="835" spans="2:2" ht="15.75" customHeight="1" x14ac:dyDescent="0.2">
      <c r="B835" s="8"/>
    </row>
    <row r="836" spans="2:2" ht="15.75" customHeight="1" x14ac:dyDescent="0.2">
      <c r="B836" s="8"/>
    </row>
    <row r="837" spans="2:2" ht="15.75" customHeight="1" x14ac:dyDescent="0.2">
      <c r="B837" s="8"/>
    </row>
    <row r="838" spans="2:2" ht="15.75" customHeight="1" x14ac:dyDescent="0.2">
      <c r="B838" s="8"/>
    </row>
    <row r="839" spans="2:2" ht="15.75" customHeight="1" x14ac:dyDescent="0.2">
      <c r="B839" s="8"/>
    </row>
    <row r="840" spans="2:2" ht="15.75" customHeight="1" x14ac:dyDescent="0.2">
      <c r="B840" s="8"/>
    </row>
    <row r="841" spans="2:2" ht="15.75" customHeight="1" x14ac:dyDescent="0.2">
      <c r="B841" s="8"/>
    </row>
    <row r="842" spans="2:2" ht="15.75" customHeight="1" x14ac:dyDescent="0.2">
      <c r="B842" s="8"/>
    </row>
    <row r="843" spans="2:2" ht="15.75" customHeight="1" x14ac:dyDescent="0.2">
      <c r="B843" s="8"/>
    </row>
    <row r="844" spans="2:2" ht="15.75" customHeight="1" x14ac:dyDescent="0.2">
      <c r="B844" s="8"/>
    </row>
    <row r="845" spans="2:2" ht="15.75" customHeight="1" x14ac:dyDescent="0.2">
      <c r="B845" s="8"/>
    </row>
    <row r="846" spans="2:2" ht="15.75" customHeight="1" x14ac:dyDescent="0.2">
      <c r="B846" s="8"/>
    </row>
    <row r="847" spans="2:2" ht="15.75" customHeight="1" x14ac:dyDescent="0.2">
      <c r="B847" s="8"/>
    </row>
    <row r="848" spans="2:2" ht="15.75" customHeight="1" x14ac:dyDescent="0.2">
      <c r="B848" s="8"/>
    </row>
    <row r="849" spans="2:2" ht="15.75" customHeight="1" x14ac:dyDescent="0.2">
      <c r="B849" s="8"/>
    </row>
    <row r="850" spans="2:2" ht="15.75" customHeight="1" x14ac:dyDescent="0.2">
      <c r="B850" s="8"/>
    </row>
    <row r="851" spans="2:2" ht="15.75" customHeight="1" x14ac:dyDescent="0.2">
      <c r="B851" s="8"/>
    </row>
    <row r="852" spans="2:2" ht="15.75" customHeight="1" x14ac:dyDescent="0.2">
      <c r="B852" s="8"/>
    </row>
    <row r="853" spans="2:2" ht="15.75" customHeight="1" x14ac:dyDescent="0.2">
      <c r="B853" s="8"/>
    </row>
    <row r="854" spans="2:2" ht="15.75" customHeight="1" x14ac:dyDescent="0.2">
      <c r="B854" s="8"/>
    </row>
    <row r="855" spans="2:2" ht="15.75" customHeight="1" x14ac:dyDescent="0.2">
      <c r="B855" s="8"/>
    </row>
    <row r="856" spans="2:2" ht="15.75" customHeight="1" x14ac:dyDescent="0.2">
      <c r="B856" s="8"/>
    </row>
    <row r="857" spans="2:2" ht="15.75" customHeight="1" x14ac:dyDescent="0.2">
      <c r="B857" s="8"/>
    </row>
    <row r="858" spans="2:2" ht="15.75" customHeight="1" x14ac:dyDescent="0.2">
      <c r="B858" s="8"/>
    </row>
    <row r="859" spans="2:2" ht="15.75" customHeight="1" x14ac:dyDescent="0.2">
      <c r="B859" s="8"/>
    </row>
    <row r="860" spans="2:2" ht="15.75" customHeight="1" x14ac:dyDescent="0.2">
      <c r="B860" s="8"/>
    </row>
    <row r="861" spans="2:2" ht="15.75" customHeight="1" x14ac:dyDescent="0.2">
      <c r="B861" s="8"/>
    </row>
    <row r="862" spans="2:2" ht="15.75" customHeight="1" x14ac:dyDescent="0.2">
      <c r="B862" s="8"/>
    </row>
    <row r="863" spans="2:2" ht="15.75" customHeight="1" x14ac:dyDescent="0.2">
      <c r="B863" s="8"/>
    </row>
    <row r="864" spans="2:2" ht="15.75" customHeight="1" x14ac:dyDescent="0.2">
      <c r="B864" s="8"/>
    </row>
    <row r="865" spans="2:2" ht="15.75" customHeight="1" x14ac:dyDescent="0.2">
      <c r="B865" s="8"/>
    </row>
    <row r="866" spans="2:2" ht="15.75" customHeight="1" x14ac:dyDescent="0.2">
      <c r="B866" s="8"/>
    </row>
    <row r="867" spans="2:2" ht="15.75" customHeight="1" x14ac:dyDescent="0.2">
      <c r="B867" s="8"/>
    </row>
    <row r="868" spans="2:2" ht="15.75" customHeight="1" x14ac:dyDescent="0.2">
      <c r="B868" s="8"/>
    </row>
    <row r="869" spans="2:2" ht="15.75" customHeight="1" x14ac:dyDescent="0.2">
      <c r="B869" s="8"/>
    </row>
    <row r="870" spans="2:2" ht="15.75" customHeight="1" x14ac:dyDescent="0.2">
      <c r="B870" s="8"/>
    </row>
    <row r="871" spans="2:2" ht="15.75" customHeight="1" x14ac:dyDescent="0.2">
      <c r="B871" s="8"/>
    </row>
    <row r="872" spans="2:2" ht="15.75" customHeight="1" x14ac:dyDescent="0.2">
      <c r="B872" s="8"/>
    </row>
    <row r="873" spans="2:2" ht="15.75" customHeight="1" x14ac:dyDescent="0.2">
      <c r="B873" s="8"/>
    </row>
    <row r="874" spans="2:2" ht="15.75" customHeight="1" x14ac:dyDescent="0.2">
      <c r="B874" s="8"/>
    </row>
    <row r="875" spans="2:2" ht="15.75" customHeight="1" x14ac:dyDescent="0.2">
      <c r="B875" s="8"/>
    </row>
    <row r="876" spans="2:2" ht="15.75" customHeight="1" x14ac:dyDescent="0.2">
      <c r="B876" s="8"/>
    </row>
    <row r="877" spans="2:2" ht="15.75" customHeight="1" x14ac:dyDescent="0.2">
      <c r="B877" s="8"/>
    </row>
    <row r="878" spans="2:2" ht="15.75" customHeight="1" x14ac:dyDescent="0.2">
      <c r="B878" s="8"/>
    </row>
    <row r="879" spans="2:2" ht="15.75" customHeight="1" x14ac:dyDescent="0.2">
      <c r="B879" s="8"/>
    </row>
    <row r="880" spans="2:2" ht="15.75" customHeight="1" x14ac:dyDescent="0.2">
      <c r="B880" s="8"/>
    </row>
    <row r="881" spans="2:2" ht="15.75" customHeight="1" x14ac:dyDescent="0.2">
      <c r="B881" s="8"/>
    </row>
    <row r="882" spans="2:2" ht="15.75" customHeight="1" x14ac:dyDescent="0.2">
      <c r="B882" s="8"/>
    </row>
    <row r="883" spans="2:2" ht="15.75" customHeight="1" x14ac:dyDescent="0.2">
      <c r="B883" s="8"/>
    </row>
    <row r="884" spans="2:2" ht="15.75" customHeight="1" x14ac:dyDescent="0.2">
      <c r="B884" s="8"/>
    </row>
    <row r="885" spans="2:2" ht="15.75" customHeight="1" x14ac:dyDescent="0.2">
      <c r="B885" s="8"/>
    </row>
    <row r="886" spans="2:2" ht="15.75" customHeight="1" x14ac:dyDescent="0.2">
      <c r="B886" s="8"/>
    </row>
    <row r="887" spans="2:2" ht="15.75" customHeight="1" x14ac:dyDescent="0.2">
      <c r="B887" s="8"/>
    </row>
    <row r="888" spans="2:2" ht="15.75" customHeight="1" x14ac:dyDescent="0.2">
      <c r="B888" s="8"/>
    </row>
    <row r="889" spans="2:2" ht="15.75" customHeight="1" x14ac:dyDescent="0.2">
      <c r="B889" s="8"/>
    </row>
    <row r="890" spans="2:2" ht="15.75" customHeight="1" x14ac:dyDescent="0.2">
      <c r="B890" s="8"/>
    </row>
    <row r="891" spans="2:2" ht="15.75" customHeight="1" x14ac:dyDescent="0.2">
      <c r="B891" s="8"/>
    </row>
    <row r="892" spans="2:2" ht="15.75" customHeight="1" x14ac:dyDescent="0.2">
      <c r="B892" s="8"/>
    </row>
    <row r="893" spans="2:2" ht="15.75" customHeight="1" x14ac:dyDescent="0.2">
      <c r="B893" s="8"/>
    </row>
    <row r="894" spans="2:2" ht="15.75" customHeight="1" x14ac:dyDescent="0.2">
      <c r="B894" s="8"/>
    </row>
    <row r="895" spans="2:2" ht="15.75" customHeight="1" x14ac:dyDescent="0.2">
      <c r="B895" s="8"/>
    </row>
    <row r="896" spans="2:2" ht="15.75" customHeight="1" x14ac:dyDescent="0.2">
      <c r="B896" s="8"/>
    </row>
    <row r="897" spans="2:2" ht="15.75" customHeight="1" x14ac:dyDescent="0.2">
      <c r="B897" s="8"/>
    </row>
    <row r="898" spans="2:2" ht="15.75" customHeight="1" x14ac:dyDescent="0.2">
      <c r="B898" s="8"/>
    </row>
    <row r="899" spans="2:2" ht="15.75" customHeight="1" x14ac:dyDescent="0.2">
      <c r="B899" s="8"/>
    </row>
    <row r="900" spans="2:2" ht="15.75" customHeight="1" x14ac:dyDescent="0.2">
      <c r="B900" s="8"/>
    </row>
    <row r="901" spans="2:2" ht="15.75" customHeight="1" x14ac:dyDescent="0.2">
      <c r="B901" s="8"/>
    </row>
    <row r="902" spans="2:2" ht="15.75" customHeight="1" x14ac:dyDescent="0.2">
      <c r="B902" s="8"/>
    </row>
    <row r="903" spans="2:2" ht="15.75" customHeight="1" x14ac:dyDescent="0.2">
      <c r="B903" s="8"/>
    </row>
    <row r="904" spans="2:2" ht="15.75" customHeight="1" x14ac:dyDescent="0.2">
      <c r="B904" s="8"/>
    </row>
    <row r="905" spans="2:2" ht="15.75" customHeight="1" x14ac:dyDescent="0.2">
      <c r="B905" s="8"/>
    </row>
    <row r="906" spans="2:2" ht="15.75" customHeight="1" x14ac:dyDescent="0.2">
      <c r="B906" s="8"/>
    </row>
    <row r="907" spans="2:2" ht="15.75" customHeight="1" x14ac:dyDescent="0.2">
      <c r="B907" s="8"/>
    </row>
    <row r="908" spans="2:2" ht="15.75" customHeight="1" x14ac:dyDescent="0.2">
      <c r="B908" s="8"/>
    </row>
    <row r="909" spans="2:2" ht="15.75" customHeight="1" x14ac:dyDescent="0.2">
      <c r="B909" s="8"/>
    </row>
    <row r="910" spans="2:2" ht="15.75" customHeight="1" x14ac:dyDescent="0.2">
      <c r="B910" s="8"/>
    </row>
    <row r="911" spans="2:2" ht="15.75" customHeight="1" x14ac:dyDescent="0.2">
      <c r="B911" s="8"/>
    </row>
    <row r="912" spans="2:2" ht="15.75" customHeight="1" x14ac:dyDescent="0.2">
      <c r="B912" s="8"/>
    </row>
    <row r="913" spans="2:2" ht="15.75" customHeight="1" x14ac:dyDescent="0.2">
      <c r="B913" s="8"/>
    </row>
    <row r="914" spans="2:2" ht="15.75" customHeight="1" x14ac:dyDescent="0.2">
      <c r="B914" s="8"/>
    </row>
    <row r="915" spans="2:2" ht="15.75" customHeight="1" x14ac:dyDescent="0.2">
      <c r="B915" s="8"/>
    </row>
    <row r="916" spans="2:2" ht="15.75" customHeight="1" x14ac:dyDescent="0.2">
      <c r="B916" s="8"/>
    </row>
    <row r="917" spans="2:2" ht="15.75" customHeight="1" x14ac:dyDescent="0.2">
      <c r="B917" s="8"/>
    </row>
    <row r="918" spans="2:2" ht="15.75" customHeight="1" x14ac:dyDescent="0.2">
      <c r="B918" s="8"/>
    </row>
    <row r="919" spans="2:2" ht="15.75" customHeight="1" x14ac:dyDescent="0.2">
      <c r="B919" s="8"/>
    </row>
    <row r="920" spans="2:2" ht="15.75" customHeight="1" x14ac:dyDescent="0.2">
      <c r="B920" s="8"/>
    </row>
    <row r="921" spans="2:2" ht="15.75" customHeight="1" x14ac:dyDescent="0.2">
      <c r="B921" s="8"/>
    </row>
    <row r="922" spans="2:2" ht="15.75" customHeight="1" x14ac:dyDescent="0.2">
      <c r="B922" s="8"/>
    </row>
    <row r="923" spans="2:2" ht="15.75" customHeight="1" x14ac:dyDescent="0.2">
      <c r="B923" s="8"/>
    </row>
    <row r="924" spans="2:2" ht="15.75" customHeight="1" x14ac:dyDescent="0.2">
      <c r="B924" s="8"/>
    </row>
    <row r="925" spans="2:2" ht="15.75" customHeight="1" x14ac:dyDescent="0.2">
      <c r="B925" s="8"/>
    </row>
    <row r="926" spans="2:2" ht="15.75" customHeight="1" x14ac:dyDescent="0.2">
      <c r="B926" s="8"/>
    </row>
    <row r="927" spans="2:2" ht="15.75" customHeight="1" x14ac:dyDescent="0.2">
      <c r="B927" s="8"/>
    </row>
    <row r="928" spans="2:2" ht="15.75" customHeight="1" x14ac:dyDescent="0.2">
      <c r="B928" s="8"/>
    </row>
    <row r="929" spans="2:2" ht="15.75" customHeight="1" x14ac:dyDescent="0.2">
      <c r="B929" s="8"/>
    </row>
    <row r="930" spans="2:2" ht="15.75" customHeight="1" x14ac:dyDescent="0.2">
      <c r="B930" s="8"/>
    </row>
    <row r="931" spans="2:2" ht="15.75" customHeight="1" x14ac:dyDescent="0.2">
      <c r="B931" s="8"/>
    </row>
    <row r="932" spans="2:2" ht="15.75" customHeight="1" x14ac:dyDescent="0.2">
      <c r="B932" s="8"/>
    </row>
    <row r="933" spans="2:2" ht="15.75" customHeight="1" x14ac:dyDescent="0.2">
      <c r="B933" s="8"/>
    </row>
    <row r="934" spans="2:2" ht="15.75" customHeight="1" x14ac:dyDescent="0.2">
      <c r="B934" s="8"/>
    </row>
    <row r="935" spans="2:2" ht="15.75" customHeight="1" x14ac:dyDescent="0.2">
      <c r="B935" s="8"/>
    </row>
    <row r="936" spans="2:2" ht="15.75" customHeight="1" x14ac:dyDescent="0.2">
      <c r="B936" s="8"/>
    </row>
    <row r="937" spans="2:2" ht="15.75" customHeight="1" x14ac:dyDescent="0.2">
      <c r="B937" s="8"/>
    </row>
    <row r="938" spans="2:2" ht="15.75" customHeight="1" x14ac:dyDescent="0.2">
      <c r="B938" s="8"/>
    </row>
    <row r="939" spans="2:2" ht="15.75" customHeight="1" x14ac:dyDescent="0.2">
      <c r="B939" s="8"/>
    </row>
    <row r="940" spans="2:2" ht="15.75" customHeight="1" x14ac:dyDescent="0.2">
      <c r="B940" s="8"/>
    </row>
    <row r="941" spans="2:2" ht="15.75" customHeight="1" x14ac:dyDescent="0.2">
      <c r="B941" s="8"/>
    </row>
    <row r="942" spans="2:2" ht="15.75" customHeight="1" x14ac:dyDescent="0.2">
      <c r="B942" s="8"/>
    </row>
    <row r="943" spans="2:2" ht="15.75" customHeight="1" x14ac:dyDescent="0.2">
      <c r="B943" s="8"/>
    </row>
    <row r="944" spans="2:2" ht="15.75" customHeight="1" x14ac:dyDescent="0.2">
      <c r="B944" s="8"/>
    </row>
    <row r="945" spans="2:2" ht="15.75" customHeight="1" x14ac:dyDescent="0.2">
      <c r="B945" s="8"/>
    </row>
    <row r="946" spans="2:2" ht="15.75" customHeight="1" x14ac:dyDescent="0.2">
      <c r="B946" s="8"/>
    </row>
    <row r="947" spans="2:2" ht="15.75" customHeight="1" x14ac:dyDescent="0.2">
      <c r="B947" s="8"/>
    </row>
    <row r="948" spans="2:2" ht="15.75" customHeight="1" x14ac:dyDescent="0.2">
      <c r="B948" s="8"/>
    </row>
    <row r="949" spans="2:2" ht="15.75" customHeight="1" x14ac:dyDescent="0.2">
      <c r="B949" s="8"/>
    </row>
    <row r="950" spans="2:2" ht="15.75" customHeight="1" x14ac:dyDescent="0.2">
      <c r="B950" s="8"/>
    </row>
    <row r="951" spans="2:2" ht="15.75" customHeight="1" x14ac:dyDescent="0.2">
      <c r="B951" s="8"/>
    </row>
    <row r="952" spans="2:2" ht="15.75" customHeight="1" x14ac:dyDescent="0.2">
      <c r="B952" s="8"/>
    </row>
    <row r="953" spans="2:2" ht="15.75" customHeight="1" x14ac:dyDescent="0.2">
      <c r="B953" s="8"/>
    </row>
    <row r="954" spans="2:2" ht="15.75" customHeight="1" x14ac:dyDescent="0.2">
      <c r="B954" s="8"/>
    </row>
    <row r="955" spans="2:2" ht="15.75" customHeight="1" x14ac:dyDescent="0.2">
      <c r="B955" s="8"/>
    </row>
    <row r="956" spans="2:2" ht="15.75" customHeight="1" x14ac:dyDescent="0.2">
      <c r="B956" s="8"/>
    </row>
    <row r="957" spans="2:2" ht="15.75" customHeight="1" x14ac:dyDescent="0.2">
      <c r="B957" s="8"/>
    </row>
    <row r="958" spans="2:2" ht="15.75" customHeight="1" x14ac:dyDescent="0.2">
      <c r="B958" s="8"/>
    </row>
    <row r="959" spans="2:2" ht="15.75" customHeight="1" x14ac:dyDescent="0.2">
      <c r="B959" s="8"/>
    </row>
    <row r="960" spans="2:2" ht="15.75" customHeight="1" x14ac:dyDescent="0.2">
      <c r="B960" s="8"/>
    </row>
    <row r="961" spans="2:2" ht="15.75" customHeight="1" x14ac:dyDescent="0.2">
      <c r="B961" s="8"/>
    </row>
    <row r="962" spans="2:2" ht="15.75" customHeight="1" x14ac:dyDescent="0.2">
      <c r="B962" s="8"/>
    </row>
    <row r="963" spans="2:2" ht="15.75" customHeight="1" x14ac:dyDescent="0.2">
      <c r="B963" s="8"/>
    </row>
    <row r="964" spans="2:2" ht="15.75" customHeight="1" x14ac:dyDescent="0.2">
      <c r="B964" s="8"/>
    </row>
    <row r="965" spans="2:2" ht="15.75" customHeight="1" x14ac:dyDescent="0.2">
      <c r="B965" s="8"/>
    </row>
    <row r="966" spans="2:2" ht="15.75" customHeight="1" x14ac:dyDescent="0.2">
      <c r="B966" s="8"/>
    </row>
    <row r="967" spans="2:2" ht="15.75" customHeight="1" x14ac:dyDescent="0.2">
      <c r="B967" s="8"/>
    </row>
    <row r="968" spans="2:2" ht="15.75" customHeight="1" x14ac:dyDescent="0.2">
      <c r="B968" s="8"/>
    </row>
    <row r="969" spans="2:2" ht="15.75" customHeight="1" x14ac:dyDescent="0.2">
      <c r="B969" s="8"/>
    </row>
    <row r="970" spans="2:2" ht="15.75" customHeight="1" x14ac:dyDescent="0.2">
      <c r="B970" s="8"/>
    </row>
    <row r="971" spans="2:2" ht="15.75" customHeight="1" x14ac:dyDescent="0.2">
      <c r="B971" s="8"/>
    </row>
    <row r="972" spans="2:2" ht="15.75" customHeight="1" x14ac:dyDescent="0.2">
      <c r="B972" s="8"/>
    </row>
    <row r="973" spans="2:2" ht="15.75" customHeight="1" x14ac:dyDescent="0.2">
      <c r="B973" s="8"/>
    </row>
    <row r="974" spans="2:2" ht="15.75" customHeight="1" x14ac:dyDescent="0.2">
      <c r="B974" s="8"/>
    </row>
    <row r="975" spans="2:2" ht="15.75" customHeight="1" x14ac:dyDescent="0.2">
      <c r="B975" s="8"/>
    </row>
    <row r="976" spans="2:2" ht="15.75" customHeight="1" x14ac:dyDescent="0.2">
      <c r="B976" s="8"/>
    </row>
    <row r="977" spans="2:2" ht="15.75" customHeight="1" x14ac:dyDescent="0.2">
      <c r="B977" s="8"/>
    </row>
    <row r="978" spans="2:2" ht="15.75" customHeight="1" x14ac:dyDescent="0.2">
      <c r="B978" s="8"/>
    </row>
    <row r="979" spans="2:2" ht="15.75" customHeight="1" x14ac:dyDescent="0.2">
      <c r="B979" s="8"/>
    </row>
    <row r="980" spans="2:2" ht="15.75" customHeight="1" x14ac:dyDescent="0.2">
      <c r="B980" s="8"/>
    </row>
    <row r="981" spans="2:2" ht="15.75" customHeight="1" x14ac:dyDescent="0.2">
      <c r="B981" s="8"/>
    </row>
    <row r="982" spans="2:2" ht="15.75" customHeight="1" x14ac:dyDescent="0.2">
      <c r="B982" s="8"/>
    </row>
    <row r="983" spans="2:2" ht="15.75" customHeight="1" x14ac:dyDescent="0.2">
      <c r="B983" s="8"/>
    </row>
    <row r="984" spans="2:2" ht="15.75" customHeight="1" x14ac:dyDescent="0.2">
      <c r="B984" s="8"/>
    </row>
    <row r="985" spans="2:2" ht="15.75" customHeight="1" x14ac:dyDescent="0.2">
      <c r="B985" s="8"/>
    </row>
    <row r="986" spans="2:2" ht="15.75" customHeight="1" x14ac:dyDescent="0.2">
      <c r="B986" s="8"/>
    </row>
    <row r="987" spans="2:2" ht="15.75" customHeight="1" x14ac:dyDescent="0.2">
      <c r="B987" s="8"/>
    </row>
    <row r="988" spans="2:2" ht="15.75" customHeight="1" x14ac:dyDescent="0.2">
      <c r="B988" s="8"/>
    </row>
    <row r="989" spans="2:2" ht="15.75" customHeight="1" x14ac:dyDescent="0.2">
      <c r="B989" s="8"/>
    </row>
    <row r="990" spans="2:2" ht="15.75" customHeight="1" x14ac:dyDescent="0.2">
      <c r="B990" s="8"/>
    </row>
    <row r="991" spans="2:2" ht="15.75" customHeight="1" x14ac:dyDescent="0.2">
      <c r="B991" s="8"/>
    </row>
    <row r="992" spans="2:2" ht="15.75" customHeight="1" x14ac:dyDescent="0.2">
      <c r="B992" s="8"/>
    </row>
    <row r="993" spans="2:2" ht="15.75" customHeight="1" x14ac:dyDescent="0.2">
      <c r="B993" s="8"/>
    </row>
    <row r="994" spans="2:2" ht="15.75" customHeight="1" x14ac:dyDescent="0.2">
      <c r="B994" s="8"/>
    </row>
    <row r="995" spans="2:2" ht="15.75" customHeight="1" x14ac:dyDescent="0.2">
      <c r="B995" s="8"/>
    </row>
    <row r="996" spans="2:2" ht="15.75" customHeight="1" x14ac:dyDescent="0.2">
      <c r="B996" s="8"/>
    </row>
    <row r="997" spans="2:2" ht="15.75" customHeight="1" x14ac:dyDescent="0.2">
      <c r="B997" s="8"/>
    </row>
    <row r="998" spans="2:2" ht="15.75" customHeight="1" x14ac:dyDescent="0.2">
      <c r="B998" s="8"/>
    </row>
    <row r="999" spans="2:2" ht="15.75" customHeight="1" x14ac:dyDescent="0.2">
      <c r="B999" s="8"/>
    </row>
    <row r="1000" spans="2:2" ht="15.75" customHeight="1" x14ac:dyDescent="0.2">
      <c r="B1000" s="8"/>
    </row>
    <row r="1001" spans="2:2" ht="15.75" customHeight="1" x14ac:dyDescent="0.2">
      <c r="B1001" s="8"/>
    </row>
    <row r="1002" spans="2:2" ht="15.75" customHeight="1" x14ac:dyDescent="0.2">
      <c r="B1002" s="8"/>
    </row>
    <row r="1003" spans="2:2" ht="15.75" customHeight="1" x14ac:dyDescent="0.2">
      <c r="B1003" s="8"/>
    </row>
    <row r="1004" spans="2:2" ht="15.75" customHeight="1" x14ac:dyDescent="0.2">
      <c r="B1004" s="8"/>
    </row>
    <row r="1005" spans="2:2" ht="15.75" customHeight="1" x14ac:dyDescent="0.2">
      <c r="B1005" s="8"/>
    </row>
    <row r="1006" spans="2:2" ht="15.75" customHeight="1" x14ac:dyDescent="0.2">
      <c r="B1006" s="8"/>
    </row>
    <row r="1007" spans="2:2" ht="15.75" customHeight="1" x14ac:dyDescent="0.2">
      <c r="B1007" s="8"/>
    </row>
    <row r="1008" spans="2:2" ht="15.75" customHeight="1" x14ac:dyDescent="0.2">
      <c r="B1008" s="8"/>
    </row>
    <row r="1009" spans="2:2" ht="15.75" customHeight="1" x14ac:dyDescent="0.2">
      <c r="B1009" s="8"/>
    </row>
    <row r="1010" spans="2:2" ht="15.75" customHeight="1" x14ac:dyDescent="0.2">
      <c r="B1010" s="8"/>
    </row>
    <row r="1011" spans="2:2" ht="15.75" customHeight="1" x14ac:dyDescent="0.2">
      <c r="B1011" s="8"/>
    </row>
    <row r="1012" spans="2:2" ht="15.75" customHeight="1" x14ac:dyDescent="0.2">
      <c r="B1012" s="8"/>
    </row>
    <row r="1013" spans="2:2" ht="15.75" customHeight="1" x14ac:dyDescent="0.2">
      <c r="B1013" s="8"/>
    </row>
    <row r="1014" spans="2:2" ht="15.75" customHeight="1" x14ac:dyDescent="0.2">
      <c r="B1014" s="8"/>
    </row>
    <row r="1015" spans="2:2" ht="15.75" customHeight="1" x14ac:dyDescent="0.2">
      <c r="B1015" s="8"/>
    </row>
    <row r="1016" spans="2:2" ht="15.75" customHeight="1" x14ac:dyDescent="0.2">
      <c r="B1016" s="8"/>
    </row>
    <row r="1017" spans="2:2" ht="15.75" customHeight="1" x14ac:dyDescent="0.2">
      <c r="B1017" s="8"/>
    </row>
    <row r="1018" spans="2:2" ht="15.75" customHeight="1" x14ac:dyDescent="0.2">
      <c r="B1018" s="8"/>
    </row>
    <row r="1019" spans="2:2" ht="15.75" customHeight="1" x14ac:dyDescent="0.2">
      <c r="B1019" s="8"/>
    </row>
    <row r="1020" spans="2:2" ht="15.75" customHeight="1" x14ac:dyDescent="0.2">
      <c r="B1020" s="8"/>
    </row>
    <row r="1021" spans="2:2" ht="15.75" customHeight="1" x14ac:dyDescent="0.2">
      <c r="B1021" s="8"/>
    </row>
    <row r="1022" spans="2:2" ht="15.75" customHeight="1" x14ac:dyDescent="0.2">
      <c r="B1022" s="8"/>
    </row>
    <row r="1023" spans="2:2" ht="15.75" customHeight="1" x14ac:dyDescent="0.2">
      <c r="B1023" s="8"/>
    </row>
    <row r="1024" spans="2:2" ht="15.75" customHeight="1" x14ac:dyDescent="0.2">
      <c r="B1024" s="8"/>
    </row>
    <row r="1025" spans="2:2" ht="15.75" customHeight="1" x14ac:dyDescent="0.2">
      <c r="B1025" s="8"/>
    </row>
    <row r="1026" spans="2:2" ht="15.75" customHeight="1" x14ac:dyDescent="0.2">
      <c r="B1026" s="8"/>
    </row>
    <row r="1027" spans="2:2" ht="15.75" customHeight="1" x14ac:dyDescent="0.2">
      <c r="B1027" s="8"/>
    </row>
    <row r="1028" spans="2:2" ht="15.75" customHeight="1" x14ac:dyDescent="0.2">
      <c r="B1028" s="8"/>
    </row>
    <row r="1029" spans="2:2" ht="15.75" customHeight="1" x14ac:dyDescent="0.2">
      <c r="B1029" s="8"/>
    </row>
    <row r="1030" spans="2:2" ht="15.75" customHeight="1" x14ac:dyDescent="0.2">
      <c r="B1030" s="8"/>
    </row>
    <row r="1031" spans="2:2" ht="15.75" customHeight="1" x14ac:dyDescent="0.2">
      <c r="B1031" s="8"/>
    </row>
    <row r="1032" spans="2:2" ht="15.75" customHeight="1" x14ac:dyDescent="0.2">
      <c r="B1032" s="8"/>
    </row>
    <row r="1033" spans="2:2" ht="15.75" customHeight="1" x14ac:dyDescent="0.2">
      <c r="B1033" s="8"/>
    </row>
    <row r="1034" spans="2:2" ht="15.75" customHeight="1" x14ac:dyDescent="0.2">
      <c r="B1034" s="8"/>
    </row>
    <row r="1035" spans="2:2" ht="15.75" customHeight="1" x14ac:dyDescent="0.2">
      <c r="B1035" s="8"/>
    </row>
    <row r="1036" spans="2:2" ht="15.75" customHeight="1" x14ac:dyDescent="0.2">
      <c r="B1036" s="8"/>
    </row>
    <row r="1037" spans="2:2" ht="15.75" customHeight="1" x14ac:dyDescent="0.2">
      <c r="B1037" s="8"/>
    </row>
    <row r="1038" spans="2:2" ht="15.75" customHeight="1" x14ac:dyDescent="0.2">
      <c r="B1038" s="8"/>
    </row>
    <row r="1039" spans="2:2" ht="15.75" customHeight="1" x14ac:dyDescent="0.2">
      <c r="B1039" s="8"/>
    </row>
    <row r="1040" spans="2:2" ht="15.75" customHeight="1" x14ac:dyDescent="0.2">
      <c r="B1040" s="8"/>
    </row>
    <row r="1041" spans="2:2" ht="15.75" customHeight="1" x14ac:dyDescent="0.2">
      <c r="B1041" s="8"/>
    </row>
    <row r="1042" spans="2:2" ht="15.75" customHeight="1" x14ac:dyDescent="0.2">
      <c r="B1042" s="8"/>
    </row>
    <row r="1043" spans="2:2" ht="15.75" customHeight="1" x14ac:dyDescent="0.2">
      <c r="B1043" s="8"/>
    </row>
    <row r="1044" spans="2:2" ht="15.75" customHeight="1" x14ac:dyDescent="0.2">
      <c r="B1044" s="8"/>
    </row>
    <row r="1045" spans="2:2" ht="15.75" customHeight="1" x14ac:dyDescent="0.2">
      <c r="B1045" s="8"/>
    </row>
    <row r="1046" spans="2:2" ht="15.75" customHeight="1" x14ac:dyDescent="0.2">
      <c r="B1046" s="8"/>
    </row>
    <row r="1047" spans="2:2" ht="15.75" customHeight="1" x14ac:dyDescent="0.2">
      <c r="B1047" s="8"/>
    </row>
    <row r="1048" spans="2:2" ht="15.75" customHeight="1" x14ac:dyDescent="0.2">
      <c r="B1048" s="8"/>
    </row>
    <row r="1049" spans="2:2" ht="15.75" customHeight="1" x14ac:dyDescent="0.2">
      <c r="B1049" s="8"/>
    </row>
    <row r="1050" spans="2:2" ht="15.75" customHeight="1" x14ac:dyDescent="0.2">
      <c r="B1050" s="8"/>
    </row>
    <row r="1051" spans="2:2" ht="15.75" customHeight="1" x14ac:dyDescent="0.2">
      <c r="B1051" s="8"/>
    </row>
    <row r="1052" spans="2:2" ht="15.75" customHeight="1" x14ac:dyDescent="0.2">
      <c r="B1052" s="8"/>
    </row>
    <row r="1053" spans="2:2" ht="15.75" customHeight="1" x14ac:dyDescent="0.2">
      <c r="B1053" s="8"/>
    </row>
    <row r="1054" spans="2:2" ht="15.75" customHeight="1" x14ac:dyDescent="0.2">
      <c r="B1054" s="8"/>
    </row>
    <row r="1055" spans="2:2" ht="15.75" customHeight="1" x14ac:dyDescent="0.2">
      <c r="B1055" s="8"/>
    </row>
    <row r="1056" spans="2:2" ht="15.75" customHeight="1" x14ac:dyDescent="0.2">
      <c r="B1056" s="8"/>
    </row>
    <row r="1057" spans="2:2" ht="15.75" customHeight="1" x14ac:dyDescent="0.2">
      <c r="B1057" s="8"/>
    </row>
    <row r="1058" spans="2:2" ht="15.75" customHeight="1" x14ac:dyDescent="0.2">
      <c r="B1058" s="8"/>
    </row>
    <row r="1059" spans="2:2" ht="15.75" customHeight="1" x14ac:dyDescent="0.2">
      <c r="B1059" s="8"/>
    </row>
    <row r="1060" spans="2:2" ht="15.75" customHeight="1" x14ac:dyDescent="0.2">
      <c r="B1060" s="8"/>
    </row>
    <row r="1061" spans="2:2" ht="15.75" customHeight="1" x14ac:dyDescent="0.2">
      <c r="B1061" s="8"/>
    </row>
    <row r="1062" spans="2:2" ht="15.75" customHeight="1" x14ac:dyDescent="0.2">
      <c r="B1062" s="8"/>
    </row>
    <row r="1063" spans="2:2" ht="15.75" customHeight="1" x14ac:dyDescent="0.2">
      <c r="B1063" s="8"/>
    </row>
    <row r="1064" spans="2:2" ht="15.75" customHeight="1" x14ac:dyDescent="0.2">
      <c r="B1064" s="8"/>
    </row>
    <row r="1065" spans="2:2" ht="15.75" customHeight="1" x14ac:dyDescent="0.2">
      <c r="B1065" s="8"/>
    </row>
    <row r="1066" spans="2:2" ht="15.75" customHeight="1" x14ac:dyDescent="0.2">
      <c r="B1066" s="8"/>
    </row>
    <row r="1067" spans="2:2" ht="15.75" customHeight="1" x14ac:dyDescent="0.2">
      <c r="B1067" s="8"/>
    </row>
    <row r="1068" spans="2:2" ht="15.75" customHeight="1" x14ac:dyDescent="0.2">
      <c r="B1068" s="8"/>
    </row>
    <row r="1069" spans="2:2" ht="15.75" customHeight="1" x14ac:dyDescent="0.2">
      <c r="B1069" s="8"/>
    </row>
    <row r="1070" spans="2:2" ht="15.75" customHeight="1" x14ac:dyDescent="0.2">
      <c r="B1070" s="8"/>
    </row>
    <row r="1071" spans="2:2" ht="15.75" customHeight="1" x14ac:dyDescent="0.2">
      <c r="B1071" s="8"/>
    </row>
    <row r="1072" spans="2:2" ht="15.75" customHeight="1" x14ac:dyDescent="0.2">
      <c r="B1072" s="8"/>
    </row>
    <row r="1073" spans="2:2" ht="15.75" customHeight="1" x14ac:dyDescent="0.2">
      <c r="B1073" s="8"/>
    </row>
    <row r="1074" spans="2:2" ht="15.75" customHeight="1" x14ac:dyDescent="0.2">
      <c r="B1074" s="8"/>
    </row>
    <row r="1075" spans="2:2" ht="15.75" customHeight="1" x14ac:dyDescent="0.2">
      <c r="B1075" s="8"/>
    </row>
    <row r="1076" spans="2:2" ht="15.75" customHeight="1" x14ac:dyDescent="0.2">
      <c r="B1076" s="8"/>
    </row>
    <row r="1077" spans="2:2" ht="15.75" customHeight="1" x14ac:dyDescent="0.2">
      <c r="B1077" s="8"/>
    </row>
    <row r="1078" spans="2:2" ht="15.75" customHeight="1" x14ac:dyDescent="0.2">
      <c r="B1078" s="8"/>
    </row>
    <row r="1079" spans="2:2" ht="15.75" customHeight="1" x14ac:dyDescent="0.2">
      <c r="B1079" s="8"/>
    </row>
    <row r="1080" spans="2:2" ht="15.75" customHeight="1" x14ac:dyDescent="0.2">
      <c r="B1080" s="8"/>
    </row>
    <row r="1081" spans="2:2" ht="15.75" customHeight="1" x14ac:dyDescent="0.2">
      <c r="B1081" s="8"/>
    </row>
    <row r="1082" spans="2:2" ht="15.75" customHeight="1" x14ac:dyDescent="0.2">
      <c r="B1082" s="8"/>
    </row>
    <row r="1083" spans="2:2" ht="15.75" customHeight="1" x14ac:dyDescent="0.2">
      <c r="B1083" s="8"/>
    </row>
    <row r="1084" spans="2:2" ht="15.75" customHeight="1" x14ac:dyDescent="0.2">
      <c r="B1084" s="8"/>
    </row>
    <row r="1085" spans="2:2" ht="15.75" customHeight="1" x14ac:dyDescent="0.2">
      <c r="B1085" s="8"/>
    </row>
    <row r="1086" spans="2:2" ht="15.75" customHeight="1" x14ac:dyDescent="0.2">
      <c r="B1086" s="8"/>
    </row>
    <row r="1087" spans="2:2" ht="15.75" customHeight="1" x14ac:dyDescent="0.2">
      <c r="B1087" s="8"/>
    </row>
    <row r="1088" spans="2:2" ht="15.75" customHeight="1" x14ac:dyDescent="0.2">
      <c r="B1088" s="8"/>
    </row>
    <row r="1089" spans="2:2" ht="15.75" customHeight="1" x14ac:dyDescent="0.2">
      <c r="B1089" s="8"/>
    </row>
    <row r="1090" spans="2:2" ht="15.75" customHeight="1" x14ac:dyDescent="0.2">
      <c r="B1090" s="8"/>
    </row>
    <row r="1091" spans="2:2" ht="15.75" customHeight="1" x14ac:dyDescent="0.2">
      <c r="B1091" s="8"/>
    </row>
    <row r="1092" spans="2:2" ht="15.75" customHeight="1" x14ac:dyDescent="0.2">
      <c r="B1092" s="8"/>
    </row>
    <row r="1093" spans="2:2" ht="15.75" customHeight="1" x14ac:dyDescent="0.2">
      <c r="B1093" s="8"/>
    </row>
    <row r="1094" spans="2:2" ht="15.75" customHeight="1" x14ac:dyDescent="0.2">
      <c r="B1094" s="8"/>
    </row>
    <row r="1095" spans="2:2" ht="15.75" customHeight="1" x14ac:dyDescent="0.2">
      <c r="B1095" s="8"/>
    </row>
    <row r="1096" spans="2:2" ht="15.75" customHeight="1" x14ac:dyDescent="0.2">
      <c r="B1096" s="8"/>
    </row>
    <row r="1097" spans="2:2" ht="15.75" customHeight="1" x14ac:dyDescent="0.2">
      <c r="B1097" s="8"/>
    </row>
    <row r="1098" spans="2:2" ht="15.75" customHeight="1" x14ac:dyDescent="0.2">
      <c r="B1098" s="8"/>
    </row>
    <row r="1099" spans="2:2" ht="15.75" customHeight="1" x14ac:dyDescent="0.2">
      <c r="B1099" s="8"/>
    </row>
    <row r="1100" spans="2:2" ht="15.75" customHeight="1" x14ac:dyDescent="0.2">
      <c r="B1100" s="8"/>
    </row>
    <row r="1101" spans="2:2" ht="15.75" customHeight="1" x14ac:dyDescent="0.2">
      <c r="B1101" s="8"/>
    </row>
    <row r="1102" spans="2:2" ht="15.75" customHeight="1" x14ac:dyDescent="0.2">
      <c r="B1102" s="8"/>
    </row>
    <row r="1103" spans="2:2" ht="15.75" customHeight="1" x14ac:dyDescent="0.2">
      <c r="B1103" s="8"/>
    </row>
    <row r="1104" spans="2:2" ht="15.75" customHeight="1" x14ac:dyDescent="0.2">
      <c r="B1104" s="8"/>
    </row>
    <row r="1105" spans="2:2" ht="15.75" customHeight="1" x14ac:dyDescent="0.2">
      <c r="B1105" s="8"/>
    </row>
    <row r="1106" spans="2:2" ht="15.75" customHeight="1" x14ac:dyDescent="0.2">
      <c r="B1106" s="8"/>
    </row>
    <row r="1107" spans="2:2" ht="15.75" customHeight="1" x14ac:dyDescent="0.2">
      <c r="B1107" s="8"/>
    </row>
    <row r="1108" spans="2:2" ht="15.75" customHeight="1" x14ac:dyDescent="0.2">
      <c r="B1108" s="8"/>
    </row>
    <row r="1109" spans="2:2" ht="15.75" customHeight="1" x14ac:dyDescent="0.2">
      <c r="B1109" s="8"/>
    </row>
    <row r="1110" spans="2:2" ht="15.75" customHeight="1" x14ac:dyDescent="0.2">
      <c r="B1110" s="8"/>
    </row>
    <row r="1111" spans="2:2" ht="15.75" customHeight="1" x14ac:dyDescent="0.2">
      <c r="B1111" s="8"/>
    </row>
    <row r="1112" spans="2:2" ht="15.75" customHeight="1" x14ac:dyDescent="0.2">
      <c r="B1112" s="8"/>
    </row>
    <row r="1113" spans="2:2" ht="15.75" customHeight="1" x14ac:dyDescent="0.2">
      <c r="B1113" s="8"/>
    </row>
    <row r="1114" spans="2:2" ht="15.75" customHeight="1" x14ac:dyDescent="0.2">
      <c r="B1114" s="8"/>
    </row>
    <row r="1115" spans="2:2" ht="15.75" customHeight="1" x14ac:dyDescent="0.2">
      <c r="B1115" s="8"/>
    </row>
    <row r="1116" spans="2:2" ht="15.75" customHeight="1" x14ac:dyDescent="0.2">
      <c r="B1116" s="8"/>
    </row>
    <row r="1117" spans="2:2" ht="15.75" customHeight="1" x14ac:dyDescent="0.2">
      <c r="B1117" s="8"/>
    </row>
    <row r="1118" spans="2:2" ht="15.75" customHeight="1" x14ac:dyDescent="0.2">
      <c r="B1118" s="8"/>
    </row>
    <row r="1119" spans="2:2" ht="15.75" customHeight="1" x14ac:dyDescent="0.2">
      <c r="B1119" s="8"/>
    </row>
    <row r="1120" spans="2:2" ht="15.75" customHeight="1" x14ac:dyDescent="0.2">
      <c r="B1120" s="8"/>
    </row>
    <row r="1121" spans="2:2" ht="15.75" customHeight="1" x14ac:dyDescent="0.2">
      <c r="B1121" s="8"/>
    </row>
    <row r="1122" spans="2:2" ht="15.75" customHeight="1" x14ac:dyDescent="0.2">
      <c r="B1122" s="8"/>
    </row>
    <row r="1123" spans="2:2" ht="15.75" customHeight="1" x14ac:dyDescent="0.2">
      <c r="B1123" s="8"/>
    </row>
    <row r="1124" spans="2:2" ht="15.75" customHeight="1" x14ac:dyDescent="0.2">
      <c r="B1124" s="8"/>
    </row>
    <row r="1125" spans="2:2" ht="15.75" customHeight="1" x14ac:dyDescent="0.2">
      <c r="B1125" s="8"/>
    </row>
    <row r="1126" spans="2:2" ht="15.75" customHeight="1" x14ac:dyDescent="0.2">
      <c r="B1126" s="8"/>
    </row>
    <row r="1127" spans="2:2" ht="15.75" customHeight="1" x14ac:dyDescent="0.2">
      <c r="B1127" s="8"/>
    </row>
    <row r="1128" spans="2:2" ht="15.75" customHeight="1" x14ac:dyDescent="0.2">
      <c r="B1128" s="8"/>
    </row>
    <row r="1129" spans="2:2" ht="15.75" customHeight="1" x14ac:dyDescent="0.2">
      <c r="B1129" s="8"/>
    </row>
    <row r="1130" spans="2:2" ht="15.75" customHeight="1" x14ac:dyDescent="0.2">
      <c r="B1130" s="8"/>
    </row>
    <row r="1131" spans="2:2" ht="15.75" customHeight="1" x14ac:dyDescent="0.2">
      <c r="B1131" s="8"/>
    </row>
    <row r="1132" spans="2:2" ht="15.75" customHeight="1" x14ac:dyDescent="0.2">
      <c r="B1132" s="8"/>
    </row>
    <row r="1133" spans="2:2" ht="15.75" customHeight="1" x14ac:dyDescent="0.2">
      <c r="B1133" s="8"/>
    </row>
    <row r="1134" spans="2:2" ht="15.75" customHeight="1" x14ac:dyDescent="0.2">
      <c r="B1134" s="8"/>
    </row>
    <row r="1135" spans="2:2" ht="15.75" customHeight="1" x14ac:dyDescent="0.2">
      <c r="B1135" s="8"/>
    </row>
    <row r="1136" spans="2:2" ht="15.75" customHeight="1" x14ac:dyDescent="0.2">
      <c r="B1136" s="8"/>
    </row>
    <row r="1137" spans="2:2" ht="15.75" customHeight="1" x14ac:dyDescent="0.2">
      <c r="B1137" s="8"/>
    </row>
    <row r="1138" spans="2:2" ht="15.75" customHeight="1" x14ac:dyDescent="0.2">
      <c r="B1138" s="8"/>
    </row>
    <row r="1139" spans="2:2" ht="15.75" customHeight="1" x14ac:dyDescent="0.2">
      <c r="B1139" s="8"/>
    </row>
    <row r="1140" spans="2:2" ht="15.75" customHeight="1" x14ac:dyDescent="0.2">
      <c r="B1140" s="8"/>
    </row>
    <row r="1141" spans="2:2" ht="15.75" customHeight="1" x14ac:dyDescent="0.2">
      <c r="B1141" s="8"/>
    </row>
    <row r="1142" spans="2:2" ht="15.75" customHeight="1" x14ac:dyDescent="0.2">
      <c r="B1142" s="8"/>
    </row>
    <row r="1143" spans="2:2" ht="15.75" customHeight="1" x14ac:dyDescent="0.2">
      <c r="B1143" s="8"/>
    </row>
    <row r="1144" spans="2:2" ht="15.75" customHeight="1" x14ac:dyDescent="0.2">
      <c r="B1144" s="8"/>
    </row>
    <row r="1145" spans="2:2" ht="15.75" customHeight="1" x14ac:dyDescent="0.2">
      <c r="B1145" s="8"/>
    </row>
    <row r="1146" spans="2:2" ht="15.75" customHeight="1" x14ac:dyDescent="0.2">
      <c r="B1146" s="8"/>
    </row>
    <row r="1147" spans="2:2" ht="15.75" customHeight="1" x14ac:dyDescent="0.2">
      <c r="B1147" s="8"/>
    </row>
    <row r="1148" spans="2:2" ht="15.75" customHeight="1" x14ac:dyDescent="0.2">
      <c r="B1148" s="8"/>
    </row>
    <row r="1149" spans="2:2" ht="15.75" customHeight="1" x14ac:dyDescent="0.2">
      <c r="B1149" s="8"/>
    </row>
    <row r="1150" spans="2:2" ht="15.75" customHeight="1" x14ac:dyDescent="0.2">
      <c r="B1150" s="8"/>
    </row>
    <row r="1151" spans="2:2" ht="15.75" customHeight="1" x14ac:dyDescent="0.2">
      <c r="B1151" s="8"/>
    </row>
    <row r="1152" spans="2:2" ht="15.75" customHeight="1" x14ac:dyDescent="0.2">
      <c r="B1152" s="8"/>
    </row>
    <row r="1153" spans="2:2" ht="15.75" customHeight="1" x14ac:dyDescent="0.2">
      <c r="B1153" s="8"/>
    </row>
    <row r="1154" spans="2:2" ht="15.75" customHeight="1" x14ac:dyDescent="0.2">
      <c r="B1154" s="8"/>
    </row>
    <row r="1155" spans="2:2" ht="15.75" customHeight="1" x14ac:dyDescent="0.2">
      <c r="B1155" s="8"/>
    </row>
    <row r="1156" spans="2:2" ht="15.75" customHeight="1" x14ac:dyDescent="0.2">
      <c r="B1156" s="8"/>
    </row>
    <row r="1157" spans="2:2" ht="15.75" customHeight="1" x14ac:dyDescent="0.2">
      <c r="B1157" s="8"/>
    </row>
    <row r="1158" spans="2:2" ht="15.75" customHeight="1" x14ac:dyDescent="0.2">
      <c r="B1158" s="8"/>
    </row>
    <row r="1159" spans="2:2" ht="15.75" customHeight="1" x14ac:dyDescent="0.2">
      <c r="B1159" s="8"/>
    </row>
    <row r="1160" spans="2:2" ht="15.75" customHeight="1" x14ac:dyDescent="0.2">
      <c r="B1160" s="8"/>
    </row>
    <row r="1161" spans="2:2" ht="15.75" customHeight="1" x14ac:dyDescent="0.2">
      <c r="B1161" s="8"/>
    </row>
    <row r="1162" spans="2:2" ht="15.75" customHeight="1" x14ac:dyDescent="0.2">
      <c r="B1162" s="8"/>
    </row>
    <row r="1163" spans="2:2" ht="15.75" customHeight="1" x14ac:dyDescent="0.2">
      <c r="B1163" s="8"/>
    </row>
    <row r="1164" spans="2:2" ht="15.75" customHeight="1" x14ac:dyDescent="0.2">
      <c r="B1164" s="8"/>
    </row>
    <row r="1165" spans="2:2" ht="15.75" customHeight="1" x14ac:dyDescent="0.2">
      <c r="B1165" s="8"/>
    </row>
    <row r="1166" spans="2:2" ht="15.75" customHeight="1" x14ac:dyDescent="0.2">
      <c r="B1166" s="8"/>
    </row>
    <row r="1167" spans="2:2" ht="15.75" customHeight="1" x14ac:dyDescent="0.2">
      <c r="B1167" s="8"/>
    </row>
    <row r="1168" spans="2:2" ht="15.75" customHeight="1" x14ac:dyDescent="0.2">
      <c r="B1168" s="8"/>
    </row>
    <row r="1169" spans="2:2" ht="15.75" customHeight="1" x14ac:dyDescent="0.2">
      <c r="B1169" s="8"/>
    </row>
    <row r="1170" spans="2:2" ht="15.75" customHeight="1" x14ac:dyDescent="0.2">
      <c r="B1170" s="8"/>
    </row>
    <row r="1171" spans="2:2" ht="15.75" customHeight="1" x14ac:dyDescent="0.2">
      <c r="B1171" s="8"/>
    </row>
    <row r="1172" spans="2:2" ht="15.75" customHeight="1" x14ac:dyDescent="0.2">
      <c r="B1172" s="8"/>
    </row>
    <row r="1173" spans="2:2" ht="15.75" customHeight="1" x14ac:dyDescent="0.2">
      <c r="B1173" s="8"/>
    </row>
    <row r="1174" spans="2:2" ht="15.75" customHeight="1" x14ac:dyDescent="0.2">
      <c r="B1174" s="8"/>
    </row>
    <row r="1175" spans="2:2" ht="15.75" customHeight="1" x14ac:dyDescent="0.2">
      <c r="B1175" s="8"/>
    </row>
    <row r="1176" spans="2:2" ht="15.75" customHeight="1" x14ac:dyDescent="0.2">
      <c r="B1176" s="8"/>
    </row>
    <row r="1177" spans="2:2" ht="15.75" customHeight="1" x14ac:dyDescent="0.2">
      <c r="B1177" s="8"/>
    </row>
    <row r="1178" spans="2:2" ht="15.75" customHeight="1" x14ac:dyDescent="0.2">
      <c r="B1178" s="8"/>
    </row>
    <row r="1179" spans="2:2" ht="15.75" customHeight="1" x14ac:dyDescent="0.2">
      <c r="B1179" s="8"/>
    </row>
    <row r="1180" spans="2:2" ht="15.75" customHeight="1" x14ac:dyDescent="0.2">
      <c r="B1180" s="8"/>
    </row>
    <row r="1181" spans="2:2" ht="15.75" customHeight="1" x14ac:dyDescent="0.2">
      <c r="B1181" s="8"/>
    </row>
    <row r="1182" spans="2:2" ht="15.75" customHeight="1" x14ac:dyDescent="0.2">
      <c r="B1182" s="8"/>
    </row>
    <row r="1183" spans="2:2" ht="15.75" customHeight="1" x14ac:dyDescent="0.2">
      <c r="B1183" s="8"/>
    </row>
    <row r="1184" spans="2:2" ht="15.75" customHeight="1" x14ac:dyDescent="0.2">
      <c r="B1184" s="8"/>
    </row>
    <row r="1185" spans="2:2" ht="15.75" customHeight="1" x14ac:dyDescent="0.2">
      <c r="B1185" s="8"/>
    </row>
    <row r="1186" spans="2:2" ht="15.75" customHeight="1" x14ac:dyDescent="0.2">
      <c r="B1186" s="8"/>
    </row>
    <row r="1187" spans="2:2" ht="15.75" customHeight="1" x14ac:dyDescent="0.2">
      <c r="B1187" s="8"/>
    </row>
    <row r="1188" spans="2:2" ht="15.75" customHeight="1" x14ac:dyDescent="0.2">
      <c r="B1188" s="8"/>
    </row>
    <row r="1189" spans="2:2" ht="15.75" customHeight="1" x14ac:dyDescent="0.2">
      <c r="B1189" s="8"/>
    </row>
    <row r="1190" spans="2:2" ht="15.75" customHeight="1" x14ac:dyDescent="0.2">
      <c r="B1190" s="8"/>
    </row>
    <row r="1191" spans="2:2" ht="15.75" customHeight="1" x14ac:dyDescent="0.2">
      <c r="B1191" s="8"/>
    </row>
    <row r="1192" spans="2:2" ht="15.75" customHeight="1" x14ac:dyDescent="0.2">
      <c r="B1192" s="8"/>
    </row>
    <row r="1193" spans="2:2" ht="15.75" customHeight="1" x14ac:dyDescent="0.2">
      <c r="B1193" s="8"/>
    </row>
    <row r="1194" spans="2:2" ht="15.75" customHeight="1" x14ac:dyDescent="0.2">
      <c r="B1194" s="8"/>
    </row>
    <row r="1195" spans="2:2" ht="15.75" customHeight="1" x14ac:dyDescent="0.2">
      <c r="B1195" s="8"/>
    </row>
    <row r="1196" spans="2:2" ht="15.75" customHeight="1" x14ac:dyDescent="0.2">
      <c r="B1196" s="8"/>
    </row>
    <row r="1197" spans="2:2" ht="15.75" customHeight="1" x14ac:dyDescent="0.2">
      <c r="B1197" s="8"/>
    </row>
    <row r="1198" spans="2:2" ht="15.75" customHeight="1" x14ac:dyDescent="0.2">
      <c r="B1198" s="8"/>
    </row>
    <row r="1199" spans="2:2" ht="15.75" customHeight="1" x14ac:dyDescent="0.2">
      <c r="B1199" s="8"/>
    </row>
    <row r="1200" spans="2:2" ht="15.75" customHeight="1" x14ac:dyDescent="0.2">
      <c r="B1200" s="8"/>
    </row>
    <row r="1201" spans="2:2" ht="15.75" customHeight="1" x14ac:dyDescent="0.2">
      <c r="B1201" s="8"/>
    </row>
    <row r="1202" spans="2:2" ht="15.75" customHeight="1" x14ac:dyDescent="0.2">
      <c r="B1202" s="8"/>
    </row>
    <row r="1203" spans="2:2" ht="15.75" customHeight="1" x14ac:dyDescent="0.2">
      <c r="B1203" s="8"/>
    </row>
    <row r="1204" spans="2:2" ht="15.75" customHeight="1" x14ac:dyDescent="0.2">
      <c r="B1204" s="8"/>
    </row>
    <row r="1205" spans="2:2" ht="15.75" customHeight="1" x14ac:dyDescent="0.2">
      <c r="B1205" s="8"/>
    </row>
    <row r="1206" spans="2:2" ht="15.75" customHeight="1" x14ac:dyDescent="0.2">
      <c r="B1206" s="8"/>
    </row>
    <row r="1207" spans="2:2" ht="15.75" customHeight="1" x14ac:dyDescent="0.2">
      <c r="B1207" s="8"/>
    </row>
    <row r="1208" spans="2:2" ht="15.75" customHeight="1" x14ac:dyDescent="0.2">
      <c r="B1208" s="8"/>
    </row>
    <row r="1209" spans="2:2" ht="15.75" customHeight="1" x14ac:dyDescent="0.2">
      <c r="B1209" s="8"/>
    </row>
    <row r="1210" spans="2:2" ht="15.75" customHeight="1" x14ac:dyDescent="0.2">
      <c r="B1210" s="8"/>
    </row>
    <row r="1211" spans="2:2" ht="15.75" customHeight="1" x14ac:dyDescent="0.2">
      <c r="B1211" s="8"/>
    </row>
    <row r="1212" spans="2:2" ht="15.75" customHeight="1" x14ac:dyDescent="0.2">
      <c r="B1212" s="8"/>
    </row>
    <row r="1213" spans="2:2" ht="15.75" customHeight="1" x14ac:dyDescent="0.2">
      <c r="B1213" s="8"/>
    </row>
    <row r="1214" spans="2:2" ht="15.75" customHeight="1" x14ac:dyDescent="0.2">
      <c r="B1214" s="8"/>
    </row>
    <row r="1215" spans="2:2" ht="15.75" customHeight="1" x14ac:dyDescent="0.2">
      <c r="B1215" s="8"/>
    </row>
    <row r="1216" spans="2:2" ht="15.75" customHeight="1" x14ac:dyDescent="0.2">
      <c r="B1216" s="8"/>
    </row>
    <row r="1217" spans="2:2" ht="15.75" customHeight="1" x14ac:dyDescent="0.2">
      <c r="B1217" s="8"/>
    </row>
    <row r="1218" spans="2:2" ht="15.75" customHeight="1" x14ac:dyDescent="0.2">
      <c r="B1218" s="8"/>
    </row>
    <row r="1219" spans="2:2" ht="15.75" customHeight="1" x14ac:dyDescent="0.2">
      <c r="B1219" s="8"/>
    </row>
    <row r="1220" spans="2:2" ht="15.75" customHeight="1" x14ac:dyDescent="0.2">
      <c r="B1220" s="8"/>
    </row>
    <row r="1221" spans="2:2" ht="15.75" customHeight="1" x14ac:dyDescent="0.2">
      <c r="B1221" s="8"/>
    </row>
    <row r="1222" spans="2:2" ht="15.75" customHeight="1" x14ac:dyDescent="0.2">
      <c r="B1222" s="8"/>
    </row>
    <row r="1223" spans="2:2" ht="15.75" customHeight="1" x14ac:dyDescent="0.2">
      <c r="B1223" s="8"/>
    </row>
    <row r="1224" spans="2:2" ht="15.75" customHeight="1" x14ac:dyDescent="0.2">
      <c r="B1224" s="8"/>
    </row>
    <row r="1225" spans="2:2" ht="15.75" customHeight="1" x14ac:dyDescent="0.2">
      <c r="B1225" s="8"/>
    </row>
    <row r="1226" spans="2:2" ht="15.75" customHeight="1" x14ac:dyDescent="0.2">
      <c r="B1226" s="8"/>
    </row>
    <row r="1227" spans="2:2" ht="15.75" customHeight="1" x14ac:dyDescent="0.2">
      <c r="B1227" s="8"/>
    </row>
    <row r="1228" spans="2:2" ht="15.75" customHeight="1" x14ac:dyDescent="0.2">
      <c r="B1228" s="8"/>
    </row>
    <row r="1229" spans="2:2" ht="15.75" customHeight="1" x14ac:dyDescent="0.2">
      <c r="B1229" s="8"/>
    </row>
    <row r="1230" spans="2:2" ht="15.75" customHeight="1" x14ac:dyDescent="0.2">
      <c r="B1230" s="8"/>
    </row>
    <row r="1231" spans="2:2" ht="15.75" customHeight="1" x14ac:dyDescent="0.2">
      <c r="B1231" s="8"/>
    </row>
    <row r="1232" spans="2:2" ht="15.75" customHeight="1" x14ac:dyDescent="0.2">
      <c r="B1232" s="8"/>
    </row>
    <row r="1233" spans="2:2" ht="15.75" customHeight="1" x14ac:dyDescent="0.2">
      <c r="B1233" s="8"/>
    </row>
    <row r="1234" spans="2:2" ht="15.75" customHeight="1" x14ac:dyDescent="0.2">
      <c r="B1234" s="8"/>
    </row>
    <row r="1235" spans="2:2" ht="15.75" customHeight="1" x14ac:dyDescent="0.2">
      <c r="B1235" s="8"/>
    </row>
    <row r="1236" spans="2:2" ht="15.75" customHeight="1" x14ac:dyDescent="0.2">
      <c r="B1236" s="8"/>
    </row>
    <row r="1237" spans="2:2" ht="15.75" customHeight="1" x14ac:dyDescent="0.2">
      <c r="B1237" s="8"/>
    </row>
    <row r="1238" spans="2:2" ht="15.75" customHeight="1" x14ac:dyDescent="0.2">
      <c r="B1238" s="8"/>
    </row>
    <row r="1239" spans="2:2" ht="15.75" customHeight="1" x14ac:dyDescent="0.2">
      <c r="B1239" s="8"/>
    </row>
    <row r="1240" spans="2:2" ht="15.75" customHeight="1" x14ac:dyDescent="0.2">
      <c r="B1240" s="8"/>
    </row>
    <row r="1241" spans="2:2" ht="15.75" customHeight="1" x14ac:dyDescent="0.2">
      <c r="B1241" s="8"/>
    </row>
    <row r="1242" spans="2:2" ht="15.75" customHeight="1" x14ac:dyDescent="0.2">
      <c r="B1242" s="8"/>
    </row>
    <row r="1243" spans="2:2" ht="15.75" customHeight="1" x14ac:dyDescent="0.2">
      <c r="B1243" s="8"/>
    </row>
    <row r="1244" spans="2:2" ht="15.75" customHeight="1" x14ac:dyDescent="0.2">
      <c r="B1244" s="8"/>
    </row>
    <row r="1245" spans="2:2" ht="15.75" customHeight="1" x14ac:dyDescent="0.2">
      <c r="B1245" s="8"/>
    </row>
    <row r="1246" spans="2:2" ht="15.75" customHeight="1" x14ac:dyDescent="0.2">
      <c r="B1246" s="8"/>
    </row>
    <row r="1247" spans="2:2" ht="15.75" customHeight="1" x14ac:dyDescent="0.2">
      <c r="B1247" s="8"/>
    </row>
    <row r="1248" spans="2:2" ht="15.75" customHeight="1" x14ac:dyDescent="0.2">
      <c r="B1248" s="8"/>
    </row>
    <row r="1249" spans="2:2" ht="15.75" customHeight="1" x14ac:dyDescent="0.2">
      <c r="B1249" s="8"/>
    </row>
    <row r="1250" spans="2:2" ht="15.75" customHeight="1" x14ac:dyDescent="0.2">
      <c r="B1250" s="8"/>
    </row>
    <row r="1251" spans="2:2" ht="15.75" customHeight="1" x14ac:dyDescent="0.2">
      <c r="B1251" s="8"/>
    </row>
    <row r="1252" spans="2:2" ht="15.75" customHeight="1" x14ac:dyDescent="0.2">
      <c r="B1252" s="8"/>
    </row>
    <row r="1253" spans="2:2" ht="15.75" customHeight="1" x14ac:dyDescent="0.2">
      <c r="B1253" s="8"/>
    </row>
    <row r="1254" spans="2:2" ht="15.75" customHeight="1" x14ac:dyDescent="0.2">
      <c r="B1254" s="8"/>
    </row>
    <row r="1255" spans="2:2" ht="15.75" customHeight="1" x14ac:dyDescent="0.2">
      <c r="B1255" s="8"/>
    </row>
    <row r="1256" spans="2:2" ht="15.75" customHeight="1" x14ac:dyDescent="0.2">
      <c r="B1256" s="8"/>
    </row>
    <row r="1257" spans="2:2" ht="15.75" customHeight="1" x14ac:dyDescent="0.2">
      <c r="B1257" s="8"/>
    </row>
    <row r="1258" spans="2:2" ht="15.75" customHeight="1" x14ac:dyDescent="0.2">
      <c r="B1258" s="8"/>
    </row>
    <row r="1259" spans="2:2" ht="15.75" customHeight="1" x14ac:dyDescent="0.2">
      <c r="B1259" s="8"/>
    </row>
    <row r="1260" spans="2:2" ht="15.75" customHeight="1" x14ac:dyDescent="0.2">
      <c r="B1260" s="8"/>
    </row>
    <row r="1261" spans="2:2" ht="15.75" customHeight="1" x14ac:dyDescent="0.2">
      <c r="B1261" s="8"/>
    </row>
    <row r="1262" spans="2:2" ht="15.75" customHeight="1" x14ac:dyDescent="0.2">
      <c r="B1262" s="8"/>
    </row>
    <row r="1263" spans="2:2" ht="15.75" customHeight="1" x14ac:dyDescent="0.2">
      <c r="B1263" s="8"/>
    </row>
    <row r="1264" spans="2:2" ht="15.75" customHeight="1" x14ac:dyDescent="0.2">
      <c r="B1264" s="8"/>
    </row>
    <row r="1265" spans="2:2" ht="15.75" customHeight="1" x14ac:dyDescent="0.2">
      <c r="B1265" s="8"/>
    </row>
    <row r="1266" spans="2:2" ht="15.75" customHeight="1" x14ac:dyDescent="0.2">
      <c r="B1266" s="8"/>
    </row>
    <row r="1267" spans="2:2" ht="15.75" customHeight="1" x14ac:dyDescent="0.2">
      <c r="B1267" s="8"/>
    </row>
    <row r="1268" spans="2:2" ht="15.75" customHeight="1" x14ac:dyDescent="0.2">
      <c r="B1268" s="8"/>
    </row>
    <row r="1269" spans="2:2" ht="15.75" customHeight="1" x14ac:dyDescent="0.2">
      <c r="B1269" s="8"/>
    </row>
    <row r="1270" spans="2:2" ht="15.75" customHeight="1" x14ac:dyDescent="0.2">
      <c r="B1270" s="8"/>
    </row>
    <row r="1271" spans="2:2" ht="15.75" customHeight="1" x14ac:dyDescent="0.2">
      <c r="B1271" s="8"/>
    </row>
    <row r="1272" spans="2:2" ht="15.75" customHeight="1" x14ac:dyDescent="0.2">
      <c r="B1272" s="8"/>
    </row>
    <row r="1273" spans="2:2" ht="15.75" customHeight="1" x14ac:dyDescent="0.2">
      <c r="B1273" s="8"/>
    </row>
    <row r="1274" spans="2:2" ht="15.75" customHeight="1" x14ac:dyDescent="0.2">
      <c r="B1274" s="8"/>
    </row>
    <row r="1275" spans="2:2" ht="15.75" customHeight="1" x14ac:dyDescent="0.2">
      <c r="B1275" s="8"/>
    </row>
    <row r="1276" spans="2:2" ht="15.75" customHeight="1" x14ac:dyDescent="0.2">
      <c r="B1276" s="8"/>
    </row>
    <row r="1277" spans="2:2" ht="15.75" customHeight="1" x14ac:dyDescent="0.2">
      <c r="B1277" s="8"/>
    </row>
    <row r="1278" spans="2:2" ht="15.75" customHeight="1" x14ac:dyDescent="0.2">
      <c r="B1278" s="8"/>
    </row>
    <row r="1279" spans="2:2" ht="15.75" customHeight="1" x14ac:dyDescent="0.2">
      <c r="B1279" s="8"/>
    </row>
    <row r="1280" spans="2:2" ht="15.75" customHeight="1" x14ac:dyDescent="0.2">
      <c r="B1280" s="8"/>
    </row>
    <row r="1281" spans="2:2" ht="15.75" customHeight="1" x14ac:dyDescent="0.2">
      <c r="B1281" s="8"/>
    </row>
    <row r="1282" spans="2:2" ht="15.75" customHeight="1" x14ac:dyDescent="0.2">
      <c r="B1282" s="8"/>
    </row>
    <row r="1283" spans="2:2" ht="15.75" customHeight="1" x14ac:dyDescent="0.2">
      <c r="B1283" s="8"/>
    </row>
    <row r="1284" spans="2:2" ht="15.75" customHeight="1" x14ac:dyDescent="0.2">
      <c r="B1284" s="8"/>
    </row>
    <row r="1285" spans="2:2" ht="15.75" customHeight="1" x14ac:dyDescent="0.2">
      <c r="B1285" s="8"/>
    </row>
    <row r="1286" spans="2:2" ht="15.75" customHeight="1" x14ac:dyDescent="0.2">
      <c r="B1286" s="8"/>
    </row>
    <row r="1287" spans="2:2" ht="15.75" customHeight="1" x14ac:dyDescent="0.2">
      <c r="B1287" s="8"/>
    </row>
    <row r="1288" spans="2:2" ht="15.75" customHeight="1" x14ac:dyDescent="0.2">
      <c r="B1288" s="8"/>
    </row>
    <row r="1289" spans="2:2" ht="15.75" customHeight="1" x14ac:dyDescent="0.2">
      <c r="B1289" s="8"/>
    </row>
    <row r="1290" spans="2:2" ht="15.75" customHeight="1" x14ac:dyDescent="0.2">
      <c r="B1290" s="8"/>
    </row>
    <row r="1291" spans="2:2" ht="15.75" customHeight="1" x14ac:dyDescent="0.2">
      <c r="B1291" s="8"/>
    </row>
    <row r="1292" spans="2:2" ht="15.75" customHeight="1" x14ac:dyDescent="0.2">
      <c r="B1292" s="8"/>
    </row>
    <row r="1293" spans="2:2" ht="15.75" customHeight="1" x14ac:dyDescent="0.2">
      <c r="B1293" s="8"/>
    </row>
    <row r="1294" spans="2:2" ht="15.75" customHeight="1" x14ac:dyDescent="0.2">
      <c r="B1294" s="8"/>
    </row>
    <row r="1295" spans="2:2" ht="15.75" customHeight="1" x14ac:dyDescent="0.2">
      <c r="B1295" s="8"/>
    </row>
    <row r="1296" spans="2:2" ht="15.75" customHeight="1" x14ac:dyDescent="0.2">
      <c r="B1296" s="8"/>
    </row>
    <row r="1297" spans="2:2" ht="15.75" customHeight="1" x14ac:dyDescent="0.2">
      <c r="B1297" s="8"/>
    </row>
    <row r="1298" spans="2:2" ht="15.75" customHeight="1" x14ac:dyDescent="0.2">
      <c r="B1298" s="8"/>
    </row>
    <row r="1299" spans="2:2" ht="15.75" customHeight="1" x14ac:dyDescent="0.2">
      <c r="B1299" s="8"/>
    </row>
    <row r="1300" spans="2:2" ht="15.75" customHeight="1" x14ac:dyDescent="0.2">
      <c r="B1300" s="8"/>
    </row>
    <row r="1301" spans="2:2" ht="15.75" customHeight="1" x14ac:dyDescent="0.2">
      <c r="B1301" s="8"/>
    </row>
    <row r="1302" spans="2:2" ht="15.75" customHeight="1" x14ac:dyDescent="0.2">
      <c r="B1302" s="8"/>
    </row>
    <row r="1303" spans="2:2" ht="15.75" customHeight="1" x14ac:dyDescent="0.2">
      <c r="B1303" s="8"/>
    </row>
    <row r="1304" spans="2:2" ht="15.75" customHeight="1" x14ac:dyDescent="0.2">
      <c r="B1304" s="8"/>
    </row>
    <row r="1305" spans="2:2" ht="15.75" customHeight="1" x14ac:dyDescent="0.2">
      <c r="B1305" s="8"/>
    </row>
    <row r="1306" spans="2:2" ht="15.75" customHeight="1" x14ac:dyDescent="0.2">
      <c r="B1306" s="8"/>
    </row>
    <row r="1307" spans="2:2" ht="15.75" customHeight="1" x14ac:dyDescent="0.2">
      <c r="B1307" s="8"/>
    </row>
    <row r="1308" spans="2:2" ht="15.75" customHeight="1" x14ac:dyDescent="0.2">
      <c r="B1308" s="8"/>
    </row>
    <row r="1309" spans="2:2" ht="15.75" customHeight="1" x14ac:dyDescent="0.2">
      <c r="B1309" s="8"/>
    </row>
    <row r="1310" spans="2:2" ht="15.75" customHeight="1" x14ac:dyDescent="0.2">
      <c r="B1310" s="8"/>
    </row>
    <row r="1311" spans="2:2" ht="15.75" customHeight="1" x14ac:dyDescent="0.2">
      <c r="B1311" s="8"/>
    </row>
    <row r="1312" spans="2:2" ht="15.75" customHeight="1" x14ac:dyDescent="0.2">
      <c r="B1312" s="8"/>
    </row>
    <row r="1313" spans="2:2" ht="15.75" customHeight="1" x14ac:dyDescent="0.2">
      <c r="B1313" s="8"/>
    </row>
    <row r="1314" spans="2:2" ht="15.75" customHeight="1" x14ac:dyDescent="0.2">
      <c r="B1314" s="8"/>
    </row>
    <row r="1315" spans="2:2" ht="15.75" customHeight="1" x14ac:dyDescent="0.2">
      <c r="B1315" s="8"/>
    </row>
    <row r="1316" spans="2:2" ht="15.75" customHeight="1" x14ac:dyDescent="0.2">
      <c r="B1316" s="8"/>
    </row>
    <row r="1317" spans="2:2" ht="15.75" customHeight="1" x14ac:dyDescent="0.2">
      <c r="B1317" s="8"/>
    </row>
    <row r="1318" spans="2:2" ht="15.75" customHeight="1" x14ac:dyDescent="0.2">
      <c r="B1318" s="8"/>
    </row>
    <row r="1319" spans="2:2" ht="15.75" customHeight="1" x14ac:dyDescent="0.2">
      <c r="B1319" s="8"/>
    </row>
    <row r="1320" spans="2:2" ht="15.75" customHeight="1" x14ac:dyDescent="0.2">
      <c r="B1320" s="8"/>
    </row>
    <row r="1321" spans="2:2" ht="15.75" customHeight="1" x14ac:dyDescent="0.2">
      <c r="B1321" s="8"/>
    </row>
    <row r="1322" spans="2:2" ht="15.75" customHeight="1" x14ac:dyDescent="0.2">
      <c r="B1322" s="8"/>
    </row>
    <row r="1323" spans="2:2" ht="15.75" customHeight="1" x14ac:dyDescent="0.2">
      <c r="B1323" s="8"/>
    </row>
    <row r="1324" spans="2:2" ht="15.75" customHeight="1" x14ac:dyDescent="0.2">
      <c r="B1324" s="8"/>
    </row>
    <row r="1325" spans="2:2" ht="15.75" customHeight="1" x14ac:dyDescent="0.2">
      <c r="B1325" s="8"/>
    </row>
    <row r="1326" spans="2:2" ht="15.75" customHeight="1" x14ac:dyDescent="0.2">
      <c r="B1326" s="8"/>
    </row>
    <row r="1327" spans="2:2" ht="15.75" customHeight="1" x14ac:dyDescent="0.2">
      <c r="B1327" s="8"/>
    </row>
    <row r="1328" spans="2:2" ht="15.75" customHeight="1" x14ac:dyDescent="0.2">
      <c r="B1328" s="8"/>
    </row>
    <row r="1329" spans="2:2" ht="15.75" customHeight="1" x14ac:dyDescent="0.2">
      <c r="B1329" s="8"/>
    </row>
    <row r="1330" spans="2:2" ht="15.75" customHeight="1" x14ac:dyDescent="0.2">
      <c r="B1330" s="8"/>
    </row>
    <row r="1331" spans="2:2" ht="15.75" customHeight="1" x14ac:dyDescent="0.2">
      <c r="B1331" s="8"/>
    </row>
    <row r="1332" spans="2:2" ht="15.75" customHeight="1" x14ac:dyDescent="0.2">
      <c r="B1332" s="8"/>
    </row>
    <row r="1333" spans="2:2" ht="15.75" customHeight="1" x14ac:dyDescent="0.2">
      <c r="B1333" s="8"/>
    </row>
    <row r="1334" spans="2:2" ht="15.75" customHeight="1" x14ac:dyDescent="0.2">
      <c r="B1334" s="8"/>
    </row>
    <row r="1335" spans="2:2" ht="15.75" customHeight="1" x14ac:dyDescent="0.2">
      <c r="B1335" s="8"/>
    </row>
    <row r="1336" spans="2:2" ht="15.75" customHeight="1" x14ac:dyDescent="0.2">
      <c r="B1336" s="8"/>
    </row>
    <row r="1337" spans="2:2" ht="15.75" customHeight="1" x14ac:dyDescent="0.2">
      <c r="B1337" s="8"/>
    </row>
    <row r="1338" spans="2:2" ht="15.75" customHeight="1" x14ac:dyDescent="0.2">
      <c r="B1338" s="8"/>
    </row>
    <row r="1339" spans="2:2" ht="15.75" customHeight="1" x14ac:dyDescent="0.2">
      <c r="B1339" s="8"/>
    </row>
    <row r="1340" spans="2:2" ht="15.75" customHeight="1" x14ac:dyDescent="0.2">
      <c r="B1340" s="8"/>
    </row>
    <row r="1341" spans="2:2" ht="15.75" customHeight="1" x14ac:dyDescent="0.2">
      <c r="B1341" s="8"/>
    </row>
    <row r="1342" spans="2:2" ht="15.75" customHeight="1" x14ac:dyDescent="0.2">
      <c r="B1342" s="8"/>
    </row>
    <row r="1343" spans="2:2" ht="15.75" customHeight="1" x14ac:dyDescent="0.2">
      <c r="B1343" s="8"/>
    </row>
    <row r="1344" spans="2:2" ht="15.75" customHeight="1" x14ac:dyDescent="0.2">
      <c r="B1344" s="8"/>
    </row>
    <row r="1345" spans="2:2" ht="15.75" customHeight="1" x14ac:dyDescent="0.2">
      <c r="B1345" s="8"/>
    </row>
    <row r="1346" spans="2:2" ht="15.75" customHeight="1" x14ac:dyDescent="0.2">
      <c r="B1346" s="8"/>
    </row>
    <row r="1347" spans="2:2" ht="15.75" customHeight="1" x14ac:dyDescent="0.2">
      <c r="B1347" s="8"/>
    </row>
    <row r="1348" spans="2:2" ht="15.75" customHeight="1" x14ac:dyDescent="0.2">
      <c r="B1348" s="8"/>
    </row>
    <row r="1349" spans="2:2" ht="15.75" customHeight="1" x14ac:dyDescent="0.2">
      <c r="B1349" s="8"/>
    </row>
    <row r="1350" spans="2:2" ht="15.75" customHeight="1" x14ac:dyDescent="0.2">
      <c r="B1350" s="8"/>
    </row>
    <row r="1351" spans="2:2" ht="15.75" customHeight="1" x14ac:dyDescent="0.2">
      <c r="B1351" s="8"/>
    </row>
    <row r="1352" spans="2:2" ht="15.75" customHeight="1" x14ac:dyDescent="0.2">
      <c r="B1352" s="8"/>
    </row>
    <row r="1353" spans="2:2" ht="15.75" customHeight="1" x14ac:dyDescent="0.2">
      <c r="B1353" s="8"/>
    </row>
    <row r="1354" spans="2:2" ht="15.75" customHeight="1" x14ac:dyDescent="0.2">
      <c r="B1354" s="8"/>
    </row>
    <row r="1355" spans="2:2" ht="15.75" customHeight="1" x14ac:dyDescent="0.2">
      <c r="B1355" s="8"/>
    </row>
    <row r="1356" spans="2:2" ht="15.75" customHeight="1" x14ac:dyDescent="0.2">
      <c r="B1356" s="8"/>
    </row>
    <row r="1357" spans="2:2" ht="15.75" customHeight="1" x14ac:dyDescent="0.2">
      <c r="B1357" s="8"/>
    </row>
    <row r="1358" spans="2:2" ht="15.75" customHeight="1" x14ac:dyDescent="0.2">
      <c r="B1358" s="8"/>
    </row>
    <row r="1359" spans="2:2" ht="15.75" customHeight="1" x14ac:dyDescent="0.2">
      <c r="B1359" s="8"/>
    </row>
    <row r="1360" spans="2:2" ht="15.75" customHeight="1" x14ac:dyDescent="0.2">
      <c r="B1360" s="8"/>
    </row>
    <row r="1361" spans="2:2" ht="15.75" customHeight="1" x14ac:dyDescent="0.2">
      <c r="B1361" s="8"/>
    </row>
    <row r="1362" spans="2:2" ht="15.75" customHeight="1" x14ac:dyDescent="0.2">
      <c r="B1362" s="8"/>
    </row>
    <row r="1363" spans="2:2" ht="15.75" customHeight="1" x14ac:dyDescent="0.2">
      <c r="B1363" s="8"/>
    </row>
    <row r="1364" spans="2:2" ht="15.75" customHeight="1" x14ac:dyDescent="0.2">
      <c r="B1364" s="8"/>
    </row>
    <row r="1365" spans="2:2" ht="15.75" customHeight="1" x14ac:dyDescent="0.2">
      <c r="B1365" s="8"/>
    </row>
    <row r="1366" spans="2:2" ht="15.75" customHeight="1" x14ac:dyDescent="0.2">
      <c r="B1366" s="8"/>
    </row>
    <row r="1367" spans="2:2" ht="15.75" customHeight="1" x14ac:dyDescent="0.2">
      <c r="B1367" s="8"/>
    </row>
    <row r="1368" spans="2:2" ht="15.75" customHeight="1" x14ac:dyDescent="0.2">
      <c r="B1368" s="8"/>
    </row>
    <row r="1369" spans="2:2" ht="15.75" customHeight="1" x14ac:dyDescent="0.2">
      <c r="B1369" s="8"/>
    </row>
    <row r="1370" spans="2:2" ht="15.75" customHeight="1" x14ac:dyDescent="0.2">
      <c r="B1370" s="8"/>
    </row>
    <row r="1371" spans="2:2" ht="15.75" customHeight="1" x14ac:dyDescent="0.2">
      <c r="B1371" s="8"/>
    </row>
    <row r="1372" spans="2:2" ht="15.75" customHeight="1" x14ac:dyDescent="0.2">
      <c r="B1372" s="8"/>
    </row>
    <row r="1373" spans="2:2" ht="15.75" customHeight="1" x14ac:dyDescent="0.2">
      <c r="B1373" s="8"/>
    </row>
    <row r="1374" spans="2:2" ht="15.75" customHeight="1" x14ac:dyDescent="0.2">
      <c r="B1374" s="8"/>
    </row>
    <row r="1375" spans="2:2" ht="15.75" customHeight="1" x14ac:dyDescent="0.2">
      <c r="B1375" s="8"/>
    </row>
    <row r="1376" spans="2:2" ht="15.75" customHeight="1" x14ac:dyDescent="0.2">
      <c r="B1376" s="8"/>
    </row>
    <row r="1377" spans="2:2" ht="15.75" customHeight="1" x14ac:dyDescent="0.2">
      <c r="B1377" s="8"/>
    </row>
    <row r="1378" spans="2:2" ht="15.75" customHeight="1" x14ac:dyDescent="0.2">
      <c r="B1378" s="8"/>
    </row>
    <row r="1379" spans="2:2" ht="15.75" customHeight="1" x14ac:dyDescent="0.2">
      <c r="B1379" s="8"/>
    </row>
    <row r="1380" spans="2:2" ht="15.75" customHeight="1" x14ac:dyDescent="0.2">
      <c r="B1380" s="8"/>
    </row>
    <row r="1381" spans="2:2" ht="15.75" customHeight="1" x14ac:dyDescent="0.2">
      <c r="B1381" s="8"/>
    </row>
    <row r="1382" spans="2:2" ht="15.75" customHeight="1" x14ac:dyDescent="0.2">
      <c r="B1382" s="8"/>
    </row>
    <row r="1383" spans="2:2" ht="15.75" customHeight="1" x14ac:dyDescent="0.2">
      <c r="B1383" s="8"/>
    </row>
    <row r="1384" spans="2:2" ht="15.75" customHeight="1" x14ac:dyDescent="0.2">
      <c r="B1384" s="8"/>
    </row>
    <row r="1385" spans="2:2" ht="15.75" customHeight="1" x14ac:dyDescent="0.2">
      <c r="B1385" s="8"/>
    </row>
    <row r="1386" spans="2:2" ht="15.75" customHeight="1" x14ac:dyDescent="0.2">
      <c r="B1386" s="8"/>
    </row>
    <row r="1387" spans="2:2" ht="15.75" customHeight="1" x14ac:dyDescent="0.2">
      <c r="B1387" s="8"/>
    </row>
    <row r="1388" spans="2:2" ht="15.75" customHeight="1" x14ac:dyDescent="0.2">
      <c r="B1388" s="8"/>
    </row>
    <row r="1389" spans="2:2" ht="15.75" customHeight="1" x14ac:dyDescent="0.2">
      <c r="B1389" s="8"/>
    </row>
    <row r="1390" spans="2:2" ht="15.75" customHeight="1" x14ac:dyDescent="0.2">
      <c r="B1390" s="8"/>
    </row>
    <row r="1391" spans="2:2" ht="15.75" customHeight="1" x14ac:dyDescent="0.2">
      <c r="B1391" s="8"/>
    </row>
    <row r="1392" spans="2:2" ht="15.75" customHeight="1" x14ac:dyDescent="0.2">
      <c r="B1392" s="8"/>
    </row>
    <row r="1393" spans="2:2" ht="15.75" customHeight="1" x14ac:dyDescent="0.2">
      <c r="B1393" s="8"/>
    </row>
    <row r="1394" spans="2:2" ht="15.75" customHeight="1" x14ac:dyDescent="0.2">
      <c r="B1394" s="8"/>
    </row>
    <row r="1395" spans="2:2" ht="15.75" customHeight="1" x14ac:dyDescent="0.2">
      <c r="B1395" s="8"/>
    </row>
    <row r="1396" spans="2:2" ht="15.75" customHeight="1" x14ac:dyDescent="0.2">
      <c r="B1396" s="8"/>
    </row>
    <row r="1397" spans="2:2" ht="15.75" customHeight="1" x14ac:dyDescent="0.2">
      <c r="B1397" s="8"/>
    </row>
    <row r="1398" spans="2:2" ht="15.75" customHeight="1" x14ac:dyDescent="0.2">
      <c r="B1398" s="8"/>
    </row>
    <row r="1399" spans="2:2" ht="15.75" customHeight="1" x14ac:dyDescent="0.2">
      <c r="B1399" s="8"/>
    </row>
    <row r="1400" spans="2:2" ht="15.75" customHeight="1" x14ac:dyDescent="0.2">
      <c r="B1400" s="8"/>
    </row>
    <row r="1401" spans="2:2" ht="15.75" customHeight="1" x14ac:dyDescent="0.2">
      <c r="B1401" s="8"/>
    </row>
    <row r="1402" spans="2:2" ht="15.75" customHeight="1" x14ac:dyDescent="0.2">
      <c r="B1402" s="8"/>
    </row>
    <row r="1403" spans="2:2" ht="15.75" customHeight="1" x14ac:dyDescent="0.2">
      <c r="B1403" s="8"/>
    </row>
    <row r="1404" spans="2:2" ht="15.75" customHeight="1" x14ac:dyDescent="0.2">
      <c r="B1404" s="8"/>
    </row>
    <row r="1405" spans="2:2" ht="15.75" customHeight="1" x14ac:dyDescent="0.2">
      <c r="B1405" s="8"/>
    </row>
    <row r="1406" spans="2:2" ht="15.75" customHeight="1" x14ac:dyDescent="0.2">
      <c r="B1406" s="8"/>
    </row>
    <row r="1407" spans="2:2" ht="15.75" customHeight="1" x14ac:dyDescent="0.2">
      <c r="B1407" s="8"/>
    </row>
    <row r="1408" spans="2:2" ht="15.75" customHeight="1" x14ac:dyDescent="0.2">
      <c r="B1408" s="8"/>
    </row>
    <row r="1409" spans="2:2" ht="15.75" customHeight="1" x14ac:dyDescent="0.2">
      <c r="B1409" s="8"/>
    </row>
    <row r="1410" spans="2:2" ht="15.75" customHeight="1" x14ac:dyDescent="0.2">
      <c r="B1410" s="8"/>
    </row>
    <row r="1411" spans="2:2" ht="15.75" customHeight="1" x14ac:dyDescent="0.2">
      <c r="B1411" s="8"/>
    </row>
    <row r="1412" spans="2:2" ht="15.75" customHeight="1" x14ac:dyDescent="0.2">
      <c r="B1412" s="8"/>
    </row>
    <row r="1413" spans="2:2" ht="15.75" customHeight="1" x14ac:dyDescent="0.2">
      <c r="B1413" s="8"/>
    </row>
    <row r="1414" spans="2:2" ht="15.75" customHeight="1" x14ac:dyDescent="0.2">
      <c r="B1414" s="8"/>
    </row>
    <row r="1415" spans="2:2" ht="15.75" customHeight="1" x14ac:dyDescent="0.2">
      <c r="B1415" s="8"/>
    </row>
    <row r="1416" spans="2:2" ht="15.75" customHeight="1" x14ac:dyDescent="0.2">
      <c r="B1416" s="8"/>
    </row>
    <row r="1417" spans="2:2" ht="15.75" customHeight="1" x14ac:dyDescent="0.2">
      <c r="B1417" s="8"/>
    </row>
    <row r="1418" spans="2:2" ht="15.75" customHeight="1" x14ac:dyDescent="0.2">
      <c r="B1418" s="8"/>
    </row>
    <row r="1419" spans="2:2" ht="15.75" customHeight="1" x14ac:dyDescent="0.2">
      <c r="B1419" s="8"/>
    </row>
    <row r="1420" spans="2:2" ht="15.75" customHeight="1" x14ac:dyDescent="0.2">
      <c r="B1420" s="8"/>
    </row>
    <row r="1421" spans="2:2" ht="15.75" customHeight="1" x14ac:dyDescent="0.2">
      <c r="B1421" s="8"/>
    </row>
    <row r="1422" spans="2:2" ht="15.75" customHeight="1" x14ac:dyDescent="0.2">
      <c r="B1422" s="8"/>
    </row>
    <row r="1423" spans="2:2" ht="15.75" customHeight="1" x14ac:dyDescent="0.2">
      <c r="B1423" s="8"/>
    </row>
    <row r="1424" spans="2:2" ht="15.75" customHeight="1" x14ac:dyDescent="0.2">
      <c r="B1424" s="8"/>
    </row>
    <row r="1425" spans="2:2" ht="15.75" customHeight="1" x14ac:dyDescent="0.2">
      <c r="B1425" s="8"/>
    </row>
    <row r="1426" spans="2:2" ht="15.75" customHeight="1" x14ac:dyDescent="0.2">
      <c r="B1426" s="8"/>
    </row>
    <row r="1427" spans="2:2" ht="15.75" customHeight="1" x14ac:dyDescent="0.2">
      <c r="B1427" s="8"/>
    </row>
    <row r="1428" spans="2:2" ht="15.75" customHeight="1" x14ac:dyDescent="0.2">
      <c r="B1428" s="8"/>
    </row>
    <row r="1429" spans="2:2" ht="15.75" customHeight="1" x14ac:dyDescent="0.2">
      <c r="B1429" s="8"/>
    </row>
    <row r="1430" spans="2:2" ht="15.75" customHeight="1" x14ac:dyDescent="0.2">
      <c r="B1430" s="8"/>
    </row>
    <row r="1431" spans="2:2" ht="15.75" customHeight="1" x14ac:dyDescent="0.2">
      <c r="B1431" s="8"/>
    </row>
    <row r="1432" spans="2:2" ht="15.75" customHeight="1" x14ac:dyDescent="0.2">
      <c r="B1432" s="8"/>
    </row>
    <row r="1433" spans="2:2" ht="15.75" customHeight="1" x14ac:dyDescent="0.2">
      <c r="B1433" s="8"/>
    </row>
    <row r="1434" spans="2:2" ht="15.75" customHeight="1" x14ac:dyDescent="0.2">
      <c r="B1434" s="8"/>
    </row>
    <row r="1435" spans="2:2" ht="15.75" customHeight="1" x14ac:dyDescent="0.2">
      <c r="B1435" s="8"/>
    </row>
    <row r="1436" spans="2:2" ht="15.75" customHeight="1" x14ac:dyDescent="0.2">
      <c r="B1436" s="8"/>
    </row>
    <row r="1437" spans="2:2" ht="15.75" customHeight="1" x14ac:dyDescent="0.2">
      <c r="B1437" s="8"/>
    </row>
    <row r="1438" spans="2:2" ht="15.75" customHeight="1" x14ac:dyDescent="0.2">
      <c r="B1438" s="8"/>
    </row>
    <row r="1439" spans="2:2" ht="15.75" customHeight="1" x14ac:dyDescent="0.2">
      <c r="B1439" s="8"/>
    </row>
    <row r="1440" spans="2:2" ht="15.75" customHeight="1" x14ac:dyDescent="0.2">
      <c r="B1440" s="8"/>
    </row>
    <row r="1441" spans="2:2" ht="15.75" customHeight="1" x14ac:dyDescent="0.2">
      <c r="B1441" s="8"/>
    </row>
    <row r="1442" spans="2:2" ht="15.75" customHeight="1" x14ac:dyDescent="0.2">
      <c r="B1442" s="8"/>
    </row>
    <row r="1443" spans="2:2" ht="15.75" customHeight="1" x14ac:dyDescent="0.2">
      <c r="B1443" s="8"/>
    </row>
    <row r="1444" spans="2:2" ht="15.75" customHeight="1" x14ac:dyDescent="0.2">
      <c r="B1444" s="8"/>
    </row>
    <row r="1445" spans="2:2" ht="15.75" customHeight="1" x14ac:dyDescent="0.2">
      <c r="B1445" s="8"/>
    </row>
    <row r="1446" spans="2:2" ht="15.75" customHeight="1" x14ac:dyDescent="0.2">
      <c r="B1446" s="8"/>
    </row>
    <row r="1447" spans="2:2" ht="15.75" customHeight="1" x14ac:dyDescent="0.2">
      <c r="B1447" s="8"/>
    </row>
    <row r="1448" spans="2:2" ht="15.75" customHeight="1" x14ac:dyDescent="0.2">
      <c r="B1448" s="8"/>
    </row>
    <row r="1449" spans="2:2" ht="15.75" customHeight="1" x14ac:dyDescent="0.2">
      <c r="B1449" s="8"/>
    </row>
    <row r="1450" spans="2:2" ht="15.75" customHeight="1" x14ac:dyDescent="0.2">
      <c r="B1450" s="8"/>
    </row>
    <row r="1451" spans="2:2" ht="15.75" customHeight="1" x14ac:dyDescent="0.2">
      <c r="B1451" s="8"/>
    </row>
    <row r="1452" spans="2:2" ht="15.75" customHeight="1" x14ac:dyDescent="0.2">
      <c r="B1452" s="8"/>
    </row>
    <row r="1453" spans="2:2" ht="15.75" customHeight="1" x14ac:dyDescent="0.2">
      <c r="B1453" s="8"/>
    </row>
    <row r="1454" spans="2:2" ht="15.75" customHeight="1" x14ac:dyDescent="0.2">
      <c r="B1454" s="8"/>
    </row>
    <row r="1455" spans="2:2" ht="15.75" customHeight="1" x14ac:dyDescent="0.2">
      <c r="B1455" s="8"/>
    </row>
    <row r="1456" spans="2:2" ht="15.75" customHeight="1" x14ac:dyDescent="0.2">
      <c r="B1456" s="8"/>
    </row>
    <row r="1457" spans="2:2" ht="15.75" customHeight="1" x14ac:dyDescent="0.2">
      <c r="B1457" s="8"/>
    </row>
    <row r="1458" spans="2:2" ht="15.75" customHeight="1" x14ac:dyDescent="0.2">
      <c r="B1458" s="8"/>
    </row>
    <row r="1459" spans="2:2" ht="15.75" customHeight="1" x14ac:dyDescent="0.2">
      <c r="B1459" s="8"/>
    </row>
    <row r="1460" spans="2:2" ht="15.75" customHeight="1" x14ac:dyDescent="0.2">
      <c r="B1460" s="8"/>
    </row>
    <row r="1461" spans="2:2" ht="15.75" customHeight="1" x14ac:dyDescent="0.2">
      <c r="B1461" s="8"/>
    </row>
    <row r="1462" spans="2:2" ht="15.75" customHeight="1" x14ac:dyDescent="0.2">
      <c r="B1462" s="8"/>
    </row>
    <row r="1463" spans="2:2" ht="15.75" customHeight="1" x14ac:dyDescent="0.2">
      <c r="B1463" s="8"/>
    </row>
    <row r="1464" spans="2:2" ht="15.75" customHeight="1" x14ac:dyDescent="0.2">
      <c r="B1464" s="8"/>
    </row>
    <row r="1465" spans="2:2" ht="15.75" customHeight="1" x14ac:dyDescent="0.2">
      <c r="B1465" s="8"/>
    </row>
    <row r="1466" spans="2:2" ht="15.75" customHeight="1" x14ac:dyDescent="0.2">
      <c r="B1466" s="8"/>
    </row>
    <row r="1467" spans="2:2" ht="15.75" customHeight="1" x14ac:dyDescent="0.2">
      <c r="B1467" s="8"/>
    </row>
    <row r="1468" spans="2:2" ht="15.75" customHeight="1" x14ac:dyDescent="0.2">
      <c r="B1468" s="8"/>
    </row>
    <row r="1469" spans="2:2" ht="15.75" customHeight="1" x14ac:dyDescent="0.2">
      <c r="B1469" s="8"/>
    </row>
    <row r="1470" spans="2:2" ht="15.75" customHeight="1" x14ac:dyDescent="0.2">
      <c r="B1470" s="8"/>
    </row>
    <row r="1471" spans="2:2" ht="15.75" customHeight="1" x14ac:dyDescent="0.2">
      <c r="B1471" s="8"/>
    </row>
    <row r="1472" spans="2:2" ht="15.75" customHeight="1" x14ac:dyDescent="0.2">
      <c r="B1472" s="8"/>
    </row>
    <row r="1473" spans="2:2" ht="15.75" customHeight="1" x14ac:dyDescent="0.2">
      <c r="B1473" s="8"/>
    </row>
    <row r="1474" spans="2:2" ht="15.75" customHeight="1" x14ac:dyDescent="0.2">
      <c r="B1474" s="8"/>
    </row>
    <row r="1475" spans="2:2" ht="15.75" customHeight="1" x14ac:dyDescent="0.2">
      <c r="B1475" s="8"/>
    </row>
    <row r="1476" spans="2:2" ht="15.75" customHeight="1" x14ac:dyDescent="0.2">
      <c r="B1476" s="8"/>
    </row>
    <row r="1477" spans="2:2" ht="15.75" customHeight="1" x14ac:dyDescent="0.2">
      <c r="B1477" s="8"/>
    </row>
    <row r="1478" spans="2:2" ht="15.75" customHeight="1" x14ac:dyDescent="0.2">
      <c r="B1478" s="8"/>
    </row>
    <row r="1479" spans="2:2" ht="15.75" customHeight="1" x14ac:dyDescent="0.2">
      <c r="B1479" s="8"/>
    </row>
    <row r="1480" spans="2:2" ht="15.75" customHeight="1" x14ac:dyDescent="0.2">
      <c r="B1480" s="8"/>
    </row>
    <row r="1481" spans="2:2" ht="15.75" customHeight="1" x14ac:dyDescent="0.2">
      <c r="B1481" s="8"/>
    </row>
    <row r="1482" spans="2:2" ht="15.75" customHeight="1" x14ac:dyDescent="0.2">
      <c r="B1482" s="8"/>
    </row>
    <row r="1483" spans="2:2" ht="15.75" customHeight="1" x14ac:dyDescent="0.2">
      <c r="B1483" s="8"/>
    </row>
    <row r="1484" spans="2:2" ht="15.75" customHeight="1" x14ac:dyDescent="0.2">
      <c r="B1484" s="8"/>
    </row>
    <row r="1485" spans="2:2" ht="15.75" customHeight="1" x14ac:dyDescent="0.2">
      <c r="B1485" s="8"/>
    </row>
    <row r="1486" spans="2:2" ht="15.75" customHeight="1" x14ac:dyDescent="0.2">
      <c r="B1486" s="8"/>
    </row>
    <row r="1487" spans="2:2" ht="15.75" customHeight="1" x14ac:dyDescent="0.2">
      <c r="B1487" s="8"/>
    </row>
    <row r="1488" spans="2:2" ht="15.75" customHeight="1" x14ac:dyDescent="0.2">
      <c r="B1488" s="8"/>
    </row>
    <row r="1489" spans="2:2" ht="15.75" customHeight="1" x14ac:dyDescent="0.2">
      <c r="B1489" s="8"/>
    </row>
    <row r="1490" spans="2:2" ht="15.75" customHeight="1" x14ac:dyDescent="0.2">
      <c r="B1490" s="8"/>
    </row>
    <row r="1491" spans="2:2" ht="15.75" customHeight="1" x14ac:dyDescent="0.2">
      <c r="B1491" s="8"/>
    </row>
    <row r="1492" spans="2:2" ht="15.75" customHeight="1" x14ac:dyDescent="0.2">
      <c r="B1492" s="8"/>
    </row>
    <row r="1493" spans="2:2" ht="15.75" customHeight="1" x14ac:dyDescent="0.2">
      <c r="B1493" s="8"/>
    </row>
    <row r="1494" spans="2:2" ht="15.75" customHeight="1" x14ac:dyDescent="0.2">
      <c r="B1494" s="8"/>
    </row>
    <row r="1495" spans="2:2" ht="15.75" customHeight="1" x14ac:dyDescent="0.2">
      <c r="B1495" s="8"/>
    </row>
    <row r="1496" spans="2:2" ht="15.75" customHeight="1" x14ac:dyDescent="0.2">
      <c r="B1496" s="8"/>
    </row>
    <row r="1497" spans="2:2" ht="15.75" customHeight="1" x14ac:dyDescent="0.2">
      <c r="B1497" s="8"/>
    </row>
    <row r="1498" spans="2:2" ht="15.75" customHeight="1" x14ac:dyDescent="0.2">
      <c r="B1498" s="8"/>
    </row>
    <row r="1499" spans="2:2" ht="15.75" customHeight="1" x14ac:dyDescent="0.2">
      <c r="B1499" s="8"/>
    </row>
    <row r="1500" spans="2:2" ht="15.75" customHeight="1" x14ac:dyDescent="0.2">
      <c r="B1500" s="8"/>
    </row>
    <row r="1501" spans="2:2" ht="15.75" customHeight="1" x14ac:dyDescent="0.2">
      <c r="B1501" s="8"/>
    </row>
    <row r="1502" spans="2:2" ht="15.75" customHeight="1" x14ac:dyDescent="0.2">
      <c r="B1502" s="8"/>
    </row>
    <row r="1503" spans="2:2" ht="15.75" customHeight="1" x14ac:dyDescent="0.2">
      <c r="B1503" s="8"/>
    </row>
    <row r="1504" spans="2:2" ht="15.75" customHeight="1" x14ac:dyDescent="0.2">
      <c r="B1504" s="8"/>
    </row>
    <row r="1505" spans="2:2" ht="15.75" customHeight="1" x14ac:dyDescent="0.2">
      <c r="B1505" s="8"/>
    </row>
    <row r="1506" spans="2:2" ht="15.75" customHeight="1" x14ac:dyDescent="0.2">
      <c r="B1506" s="8"/>
    </row>
    <row r="1507" spans="2:2" ht="15.75" customHeight="1" x14ac:dyDescent="0.2">
      <c r="B1507" s="8"/>
    </row>
    <row r="1508" spans="2:2" ht="15.75" customHeight="1" x14ac:dyDescent="0.2">
      <c r="B1508" s="8"/>
    </row>
    <row r="1509" spans="2:2" ht="15.75" customHeight="1" x14ac:dyDescent="0.2">
      <c r="B1509" s="8"/>
    </row>
    <row r="1510" spans="2:2" ht="15.75" customHeight="1" x14ac:dyDescent="0.2">
      <c r="B1510" s="8"/>
    </row>
    <row r="1511" spans="2:2" ht="15.75" customHeight="1" x14ac:dyDescent="0.2">
      <c r="B1511" s="8"/>
    </row>
    <row r="1512" spans="2:2" ht="15.75" customHeight="1" x14ac:dyDescent="0.2">
      <c r="B1512" s="8"/>
    </row>
    <row r="1513" spans="2:2" ht="15.75" customHeight="1" x14ac:dyDescent="0.2">
      <c r="B1513" s="8"/>
    </row>
    <row r="1514" spans="2:2" ht="15.75" customHeight="1" x14ac:dyDescent="0.2">
      <c r="B1514" s="8"/>
    </row>
    <row r="1515" spans="2:2" ht="15.75" customHeight="1" x14ac:dyDescent="0.2">
      <c r="B1515" s="8"/>
    </row>
    <row r="1516" spans="2:2" ht="15.75" customHeight="1" x14ac:dyDescent="0.2">
      <c r="B1516" s="8"/>
    </row>
    <row r="1517" spans="2:2" ht="15.75" customHeight="1" x14ac:dyDescent="0.2">
      <c r="B1517" s="8"/>
    </row>
    <row r="1518" spans="2:2" ht="15.75" customHeight="1" x14ac:dyDescent="0.2">
      <c r="B1518" s="8"/>
    </row>
    <row r="1519" spans="2:2" ht="15.75" customHeight="1" x14ac:dyDescent="0.2">
      <c r="B1519" s="8"/>
    </row>
    <row r="1520" spans="2:2" ht="15.75" customHeight="1" x14ac:dyDescent="0.2">
      <c r="B1520" s="8"/>
    </row>
    <row r="1521" spans="2:2" ht="15.75" customHeight="1" x14ac:dyDescent="0.2">
      <c r="B1521" s="8"/>
    </row>
    <row r="1522" spans="2:2" ht="15.75" customHeight="1" x14ac:dyDescent="0.2">
      <c r="B1522" s="8"/>
    </row>
    <row r="1523" spans="2:2" ht="15.75" customHeight="1" x14ac:dyDescent="0.2">
      <c r="B1523" s="8"/>
    </row>
    <row r="1524" spans="2:2" ht="15.75" customHeight="1" x14ac:dyDescent="0.2">
      <c r="B1524" s="8"/>
    </row>
    <row r="1525" spans="2:2" ht="15.75" customHeight="1" x14ac:dyDescent="0.2">
      <c r="B1525" s="8"/>
    </row>
    <row r="1526" spans="2:2" ht="15.75" customHeight="1" x14ac:dyDescent="0.2">
      <c r="B1526" s="8"/>
    </row>
    <row r="1527" spans="2:2" ht="15.75" customHeight="1" x14ac:dyDescent="0.2">
      <c r="B1527" s="8"/>
    </row>
    <row r="1528" spans="2:2" ht="15.75" customHeight="1" x14ac:dyDescent="0.2">
      <c r="B1528" s="8"/>
    </row>
    <row r="1529" spans="2:2" ht="15.75" customHeight="1" x14ac:dyDescent="0.2">
      <c r="B1529" s="8"/>
    </row>
    <row r="1530" spans="2:2" ht="15.75" customHeight="1" x14ac:dyDescent="0.2">
      <c r="B1530" s="8"/>
    </row>
    <row r="1531" spans="2:2" ht="15.75" customHeight="1" x14ac:dyDescent="0.2">
      <c r="B1531" s="8"/>
    </row>
    <row r="1532" spans="2:2" ht="15.75" customHeight="1" x14ac:dyDescent="0.2">
      <c r="B1532" s="8"/>
    </row>
    <row r="1533" spans="2:2" ht="15.75" customHeight="1" x14ac:dyDescent="0.2">
      <c r="B1533" s="8"/>
    </row>
    <row r="1534" spans="2:2" ht="15.75" customHeight="1" x14ac:dyDescent="0.2">
      <c r="B1534" s="8"/>
    </row>
    <row r="1535" spans="2:2" ht="15.75" customHeight="1" x14ac:dyDescent="0.2">
      <c r="B1535" s="8"/>
    </row>
    <row r="1536" spans="2:2" ht="15.75" customHeight="1" x14ac:dyDescent="0.2">
      <c r="B1536" s="8"/>
    </row>
    <row r="1537" spans="2:2" ht="15.75" customHeight="1" x14ac:dyDescent="0.2">
      <c r="B1537" s="8"/>
    </row>
    <row r="1538" spans="2:2" ht="15.75" customHeight="1" x14ac:dyDescent="0.2">
      <c r="B1538" s="8"/>
    </row>
    <row r="1539" spans="2:2" ht="15.75" customHeight="1" x14ac:dyDescent="0.2">
      <c r="B1539" s="8"/>
    </row>
    <row r="1540" spans="2:2" ht="15.75" customHeight="1" x14ac:dyDescent="0.2">
      <c r="B1540" s="8"/>
    </row>
    <row r="1541" spans="2:2" ht="15.75" customHeight="1" x14ac:dyDescent="0.2">
      <c r="B1541" s="8"/>
    </row>
    <row r="1542" spans="2:2" ht="15.75" customHeight="1" x14ac:dyDescent="0.2">
      <c r="B1542" s="8"/>
    </row>
    <row r="1543" spans="2:2" ht="15.75" customHeight="1" x14ac:dyDescent="0.2">
      <c r="B1543" s="8"/>
    </row>
    <row r="1544" spans="2:2" ht="15.75" customHeight="1" x14ac:dyDescent="0.2">
      <c r="B1544" s="8"/>
    </row>
    <row r="1545" spans="2:2" ht="15.75" customHeight="1" x14ac:dyDescent="0.2">
      <c r="B1545" s="8"/>
    </row>
    <row r="1546" spans="2:2" ht="15.75" customHeight="1" x14ac:dyDescent="0.2">
      <c r="B1546" s="8"/>
    </row>
    <row r="1547" spans="2:2" ht="15.75" customHeight="1" x14ac:dyDescent="0.2">
      <c r="B1547" s="8"/>
    </row>
    <row r="1548" spans="2:2" ht="15.75" customHeight="1" x14ac:dyDescent="0.2">
      <c r="B1548" s="8"/>
    </row>
    <row r="1549" spans="2:2" ht="15.75" customHeight="1" x14ac:dyDescent="0.2">
      <c r="B1549" s="8"/>
    </row>
    <row r="1550" spans="2:2" ht="15.75" customHeight="1" x14ac:dyDescent="0.2">
      <c r="B1550" s="8"/>
    </row>
    <row r="1551" spans="2:2" ht="15.75" customHeight="1" x14ac:dyDescent="0.2">
      <c r="B1551" s="8"/>
    </row>
    <row r="1552" spans="2:2" ht="15.75" customHeight="1" x14ac:dyDescent="0.2">
      <c r="B1552" s="8"/>
    </row>
    <row r="1553" spans="2:2" ht="15.75" customHeight="1" x14ac:dyDescent="0.2">
      <c r="B1553" s="8"/>
    </row>
    <row r="1554" spans="2:2" ht="15.75" customHeight="1" x14ac:dyDescent="0.2">
      <c r="B1554" s="8"/>
    </row>
    <row r="1555" spans="2:2" ht="15.75" customHeight="1" x14ac:dyDescent="0.2">
      <c r="B1555" s="8"/>
    </row>
    <row r="1556" spans="2:2" ht="15.75" customHeight="1" x14ac:dyDescent="0.2">
      <c r="B1556" s="8"/>
    </row>
    <row r="1557" spans="2:2" ht="15.75" customHeight="1" x14ac:dyDescent="0.2">
      <c r="B1557" s="8"/>
    </row>
    <row r="1558" spans="2:2" ht="15.75" customHeight="1" x14ac:dyDescent="0.2">
      <c r="B1558" s="8"/>
    </row>
    <row r="1559" spans="2:2" ht="15.75" customHeight="1" x14ac:dyDescent="0.2">
      <c r="B1559" s="8"/>
    </row>
    <row r="1560" spans="2:2" ht="15.75" customHeight="1" x14ac:dyDescent="0.2">
      <c r="B1560" s="8"/>
    </row>
    <row r="1561" spans="2:2" ht="15.75" customHeight="1" x14ac:dyDescent="0.2">
      <c r="B1561" s="8"/>
    </row>
    <row r="1562" spans="2:2" ht="15.75" customHeight="1" x14ac:dyDescent="0.2">
      <c r="B1562" s="8"/>
    </row>
    <row r="1563" spans="2:2" ht="15.75" customHeight="1" x14ac:dyDescent="0.2">
      <c r="B1563" s="8"/>
    </row>
    <row r="1564" spans="2:2" ht="15.75" customHeight="1" x14ac:dyDescent="0.2">
      <c r="B1564" s="8"/>
    </row>
    <row r="1565" spans="2:2" ht="15.75" customHeight="1" x14ac:dyDescent="0.2">
      <c r="B1565" s="8"/>
    </row>
    <row r="1566" spans="2:2" ht="15.75" customHeight="1" x14ac:dyDescent="0.2">
      <c r="B1566" s="8"/>
    </row>
    <row r="1567" spans="2:2" ht="15.75" customHeight="1" x14ac:dyDescent="0.2">
      <c r="B1567" s="8"/>
    </row>
    <row r="1568" spans="2:2" ht="15.75" customHeight="1" x14ac:dyDescent="0.2">
      <c r="B1568" s="8"/>
    </row>
    <row r="1569" spans="2:2" ht="15.75" customHeight="1" x14ac:dyDescent="0.2">
      <c r="B1569" s="8"/>
    </row>
    <row r="1570" spans="2:2" ht="15.75" customHeight="1" x14ac:dyDescent="0.2">
      <c r="B1570" s="8"/>
    </row>
    <row r="1571" spans="2:2" ht="15.75" customHeight="1" x14ac:dyDescent="0.2">
      <c r="B1571" s="8"/>
    </row>
    <row r="1572" spans="2:2" ht="15.75" customHeight="1" x14ac:dyDescent="0.2">
      <c r="B1572" s="8"/>
    </row>
    <row r="1573" spans="2:2" ht="15.75" customHeight="1" x14ac:dyDescent="0.2">
      <c r="B1573" s="8"/>
    </row>
    <row r="1574" spans="2:2" ht="15.75" customHeight="1" x14ac:dyDescent="0.2">
      <c r="B1574" s="8"/>
    </row>
    <row r="1575" spans="2:2" ht="15.75" customHeight="1" x14ac:dyDescent="0.2">
      <c r="B1575" s="8"/>
    </row>
    <row r="1576" spans="2:2" ht="15.75" customHeight="1" x14ac:dyDescent="0.2">
      <c r="B1576" s="8"/>
    </row>
    <row r="1577" spans="2:2" ht="15.75" customHeight="1" x14ac:dyDescent="0.2">
      <c r="B1577" s="8"/>
    </row>
    <row r="1578" spans="2:2" ht="15.75" customHeight="1" x14ac:dyDescent="0.2">
      <c r="B1578" s="8"/>
    </row>
    <row r="1579" spans="2:2" ht="15.75" customHeight="1" x14ac:dyDescent="0.2">
      <c r="B1579" s="8"/>
    </row>
    <row r="1580" spans="2:2" ht="15.75" customHeight="1" x14ac:dyDescent="0.2">
      <c r="B1580" s="8"/>
    </row>
    <row r="1581" spans="2:2" ht="15.75" customHeight="1" x14ac:dyDescent="0.2">
      <c r="B1581" s="8"/>
    </row>
    <row r="1582" spans="2:2" ht="15.75" customHeight="1" x14ac:dyDescent="0.2">
      <c r="B1582" s="8"/>
    </row>
    <row r="1583" spans="2:2" ht="15.75" customHeight="1" x14ac:dyDescent="0.2">
      <c r="B1583" s="8"/>
    </row>
    <row r="1584" spans="2:2" ht="15.75" customHeight="1" x14ac:dyDescent="0.2">
      <c r="B1584" s="8"/>
    </row>
    <row r="1585" spans="2:2" ht="15.75" customHeight="1" x14ac:dyDescent="0.2">
      <c r="B1585" s="8"/>
    </row>
    <row r="1586" spans="2:2" ht="15.75" customHeight="1" x14ac:dyDescent="0.2">
      <c r="B1586" s="8"/>
    </row>
    <row r="1587" spans="2:2" ht="15.75" customHeight="1" x14ac:dyDescent="0.2">
      <c r="B1587" s="8"/>
    </row>
    <row r="1588" spans="2:2" ht="15.75" customHeight="1" x14ac:dyDescent="0.2">
      <c r="B1588" s="8"/>
    </row>
    <row r="1589" spans="2:2" ht="15.75" customHeight="1" x14ac:dyDescent="0.2">
      <c r="B1589" s="8"/>
    </row>
    <row r="1590" spans="2:2" ht="15.75" customHeight="1" x14ac:dyDescent="0.2">
      <c r="B1590" s="8"/>
    </row>
    <row r="1591" spans="2:2" ht="15.75" customHeight="1" x14ac:dyDescent="0.2">
      <c r="B1591" s="8"/>
    </row>
    <row r="1592" spans="2:2" ht="15.75" customHeight="1" x14ac:dyDescent="0.2">
      <c r="B1592" s="8"/>
    </row>
    <row r="1593" spans="2:2" ht="15.75" customHeight="1" x14ac:dyDescent="0.2">
      <c r="B1593" s="8"/>
    </row>
    <row r="1594" spans="2:2" ht="15.75" customHeight="1" x14ac:dyDescent="0.2">
      <c r="B1594" s="8"/>
    </row>
    <row r="1595" spans="2:2" ht="15.75" customHeight="1" x14ac:dyDescent="0.2">
      <c r="B1595" s="8"/>
    </row>
    <row r="1596" spans="2:2" ht="15.75" customHeight="1" x14ac:dyDescent="0.2">
      <c r="B1596" s="8"/>
    </row>
    <row r="1597" spans="2:2" ht="15.75" customHeight="1" x14ac:dyDescent="0.2">
      <c r="B1597" s="8"/>
    </row>
    <row r="1598" spans="2:2" ht="15.75" customHeight="1" x14ac:dyDescent="0.2">
      <c r="B1598" s="8"/>
    </row>
    <row r="1599" spans="2:2" ht="15.75" customHeight="1" x14ac:dyDescent="0.2">
      <c r="B1599" s="8"/>
    </row>
    <row r="1600" spans="2:2" ht="15.75" customHeight="1" x14ac:dyDescent="0.2">
      <c r="B1600" s="8"/>
    </row>
    <row r="1601" spans="2:2" ht="15.75" customHeight="1" x14ac:dyDescent="0.2">
      <c r="B1601" s="8"/>
    </row>
    <row r="1602" spans="2:2" ht="15.75" customHeight="1" x14ac:dyDescent="0.2">
      <c r="B1602" s="8"/>
    </row>
    <row r="1603" spans="2:2" ht="15.75" customHeight="1" x14ac:dyDescent="0.2">
      <c r="B1603" s="8"/>
    </row>
    <row r="1604" spans="2:2" ht="15.75" customHeight="1" x14ac:dyDescent="0.2">
      <c r="B1604" s="8"/>
    </row>
    <row r="1605" spans="2:2" ht="15.75" customHeight="1" x14ac:dyDescent="0.2">
      <c r="B1605" s="8"/>
    </row>
    <row r="1606" spans="2:2" ht="15.75" customHeight="1" x14ac:dyDescent="0.2">
      <c r="B1606" s="8"/>
    </row>
    <row r="1607" spans="2:2" ht="15.75" customHeight="1" x14ac:dyDescent="0.2">
      <c r="B1607" s="8"/>
    </row>
    <row r="1608" spans="2:2" ht="15.75" customHeight="1" x14ac:dyDescent="0.2">
      <c r="B1608" s="8"/>
    </row>
    <row r="1609" spans="2:2" ht="15.75" customHeight="1" x14ac:dyDescent="0.2">
      <c r="B1609" s="8"/>
    </row>
    <row r="1610" spans="2:2" ht="15.75" customHeight="1" x14ac:dyDescent="0.2">
      <c r="B1610" s="8"/>
    </row>
    <row r="1611" spans="2:2" ht="15.75" customHeight="1" x14ac:dyDescent="0.2">
      <c r="B1611" s="8"/>
    </row>
    <row r="1612" spans="2:2" ht="15.75" customHeight="1" x14ac:dyDescent="0.2">
      <c r="B1612" s="8"/>
    </row>
    <row r="1613" spans="2:2" ht="15.75" customHeight="1" x14ac:dyDescent="0.2">
      <c r="B1613" s="8"/>
    </row>
    <row r="1614" spans="2:2" ht="15.75" customHeight="1" x14ac:dyDescent="0.2">
      <c r="B1614" s="8"/>
    </row>
    <row r="1615" spans="2:2" ht="15.75" customHeight="1" x14ac:dyDescent="0.2">
      <c r="B1615" s="8"/>
    </row>
    <row r="1616" spans="2:2" ht="15.75" customHeight="1" x14ac:dyDescent="0.2">
      <c r="B1616" s="8"/>
    </row>
    <row r="1617" spans="2:2" ht="15.75" customHeight="1" x14ac:dyDescent="0.2">
      <c r="B1617" s="8"/>
    </row>
    <row r="1618" spans="2:2" ht="15.75" customHeight="1" x14ac:dyDescent="0.2">
      <c r="B1618" s="8"/>
    </row>
    <row r="1619" spans="2:2" ht="15.75" customHeight="1" x14ac:dyDescent="0.2">
      <c r="B1619" s="8"/>
    </row>
    <row r="1620" spans="2:2" ht="15.75" customHeight="1" x14ac:dyDescent="0.2">
      <c r="B1620" s="8"/>
    </row>
    <row r="1621" spans="2:2" ht="15.75" customHeight="1" x14ac:dyDescent="0.2">
      <c r="B1621" s="8"/>
    </row>
    <row r="1622" spans="2:2" ht="15.75" customHeight="1" x14ac:dyDescent="0.2">
      <c r="B1622" s="8"/>
    </row>
    <row r="1623" spans="2:2" ht="15.75" customHeight="1" x14ac:dyDescent="0.2">
      <c r="B1623" s="8"/>
    </row>
    <row r="1624" spans="2:2" ht="15.75" customHeight="1" x14ac:dyDescent="0.2">
      <c r="B1624" s="8"/>
    </row>
    <row r="1625" spans="2:2" ht="15.75" customHeight="1" x14ac:dyDescent="0.2">
      <c r="B1625" s="8"/>
    </row>
    <row r="1626" spans="2:2" ht="15.75" customHeight="1" x14ac:dyDescent="0.2">
      <c r="B1626" s="8"/>
    </row>
    <row r="1627" spans="2:2" ht="15.75" customHeight="1" x14ac:dyDescent="0.2">
      <c r="B1627" s="8"/>
    </row>
    <row r="1628" spans="2:2" ht="15.75" customHeight="1" x14ac:dyDescent="0.2">
      <c r="B1628" s="8"/>
    </row>
    <row r="1629" spans="2:2" ht="15.75" customHeight="1" x14ac:dyDescent="0.2">
      <c r="B1629" s="8"/>
    </row>
    <row r="1630" spans="2:2" ht="15.75" customHeight="1" x14ac:dyDescent="0.2">
      <c r="B1630" s="8"/>
    </row>
    <row r="1631" spans="2:2" ht="15.75" customHeight="1" x14ac:dyDescent="0.2">
      <c r="B1631" s="8"/>
    </row>
    <row r="1632" spans="2:2" ht="15.75" customHeight="1" x14ac:dyDescent="0.2">
      <c r="B1632" s="8"/>
    </row>
    <row r="1633" spans="2:2" ht="15.75" customHeight="1" x14ac:dyDescent="0.2">
      <c r="B1633" s="8"/>
    </row>
    <row r="1634" spans="2:2" ht="15.75" customHeight="1" x14ac:dyDescent="0.2">
      <c r="B1634" s="8"/>
    </row>
    <row r="1635" spans="2:2" ht="15.75" customHeight="1" x14ac:dyDescent="0.2">
      <c r="B1635" s="8"/>
    </row>
    <row r="1636" spans="2:2" ht="15.75" customHeight="1" x14ac:dyDescent="0.2">
      <c r="B1636" s="8"/>
    </row>
    <row r="1637" spans="2:2" ht="15.75" customHeight="1" x14ac:dyDescent="0.2">
      <c r="B1637" s="8"/>
    </row>
    <row r="1638" spans="2:2" ht="15.75" customHeight="1" x14ac:dyDescent="0.2">
      <c r="B1638" s="8"/>
    </row>
    <row r="1639" spans="2:2" ht="15.75" customHeight="1" x14ac:dyDescent="0.2">
      <c r="B1639" s="8"/>
    </row>
    <row r="1640" spans="2:2" ht="15.75" customHeight="1" x14ac:dyDescent="0.2">
      <c r="B1640" s="8"/>
    </row>
    <row r="1641" spans="2:2" ht="15.75" customHeight="1" x14ac:dyDescent="0.2">
      <c r="B1641" s="8"/>
    </row>
    <row r="1642" spans="2:2" ht="15.75" customHeight="1" x14ac:dyDescent="0.2">
      <c r="B1642" s="8"/>
    </row>
    <row r="1643" spans="2:2" ht="15.75" customHeight="1" x14ac:dyDescent="0.2">
      <c r="B1643" s="8"/>
    </row>
    <row r="1644" spans="2:2" ht="15.75" customHeight="1" x14ac:dyDescent="0.2">
      <c r="B1644" s="8"/>
    </row>
    <row r="1645" spans="2:2" ht="15.75" customHeight="1" x14ac:dyDescent="0.2">
      <c r="B1645" s="8"/>
    </row>
    <row r="1646" spans="2:2" ht="15.75" customHeight="1" x14ac:dyDescent="0.2">
      <c r="B1646" s="8"/>
    </row>
    <row r="1647" spans="2:2" ht="15.75" customHeight="1" x14ac:dyDescent="0.2">
      <c r="B1647" s="8"/>
    </row>
    <row r="1648" spans="2:2" ht="15.75" customHeight="1" x14ac:dyDescent="0.2">
      <c r="B1648" s="8"/>
    </row>
    <row r="1649" spans="2:2" ht="15.75" customHeight="1" x14ac:dyDescent="0.2">
      <c r="B1649" s="8"/>
    </row>
    <row r="1650" spans="2:2" ht="15.75" customHeight="1" x14ac:dyDescent="0.2">
      <c r="B1650" s="8"/>
    </row>
    <row r="1651" spans="2:2" ht="15.75" customHeight="1" x14ac:dyDescent="0.2">
      <c r="B1651" s="8"/>
    </row>
    <row r="1652" spans="2:2" ht="15.75" customHeight="1" x14ac:dyDescent="0.2">
      <c r="B1652" s="8"/>
    </row>
    <row r="1653" spans="2:2" ht="15.75" customHeight="1" x14ac:dyDescent="0.2">
      <c r="B1653" s="8"/>
    </row>
    <row r="1654" spans="2:2" ht="15.75" customHeight="1" x14ac:dyDescent="0.2">
      <c r="B1654" s="8"/>
    </row>
    <row r="1655" spans="2:2" ht="15.75" customHeight="1" x14ac:dyDescent="0.2">
      <c r="B1655" s="8"/>
    </row>
    <row r="1656" spans="2:2" ht="15.75" customHeight="1" x14ac:dyDescent="0.2">
      <c r="B1656" s="8"/>
    </row>
    <row r="1657" spans="2:2" ht="15.75" customHeight="1" x14ac:dyDescent="0.2">
      <c r="B1657" s="8"/>
    </row>
    <row r="1658" spans="2:2" ht="15.75" customHeight="1" x14ac:dyDescent="0.2">
      <c r="B1658" s="8"/>
    </row>
    <row r="1659" spans="2:2" ht="15.75" customHeight="1" x14ac:dyDescent="0.2">
      <c r="B1659" s="8"/>
    </row>
    <row r="1660" spans="2:2" ht="15.75" customHeight="1" x14ac:dyDescent="0.2">
      <c r="B1660" s="8"/>
    </row>
    <row r="1661" spans="2:2" ht="15.75" customHeight="1" x14ac:dyDescent="0.2">
      <c r="B1661" s="8"/>
    </row>
    <row r="1662" spans="2:2" ht="15.75" customHeight="1" x14ac:dyDescent="0.2">
      <c r="B1662" s="8"/>
    </row>
    <row r="1663" spans="2:2" ht="15.75" customHeight="1" x14ac:dyDescent="0.2">
      <c r="B1663" s="8"/>
    </row>
    <row r="1664" spans="2:2" ht="15.75" customHeight="1" x14ac:dyDescent="0.2">
      <c r="B1664" s="8"/>
    </row>
    <row r="1665" spans="2:2" ht="15.75" customHeight="1" x14ac:dyDescent="0.2">
      <c r="B1665" s="8"/>
    </row>
    <row r="1666" spans="2:2" ht="15.75" customHeight="1" x14ac:dyDescent="0.2">
      <c r="B1666" s="8"/>
    </row>
    <row r="1667" spans="2:2" ht="15.75" customHeight="1" x14ac:dyDescent="0.2">
      <c r="B1667" s="8"/>
    </row>
    <row r="1668" spans="2:2" ht="15.75" customHeight="1" x14ac:dyDescent="0.2">
      <c r="B1668" s="8"/>
    </row>
    <row r="1669" spans="2:2" ht="15.75" customHeight="1" x14ac:dyDescent="0.2">
      <c r="B1669" s="8"/>
    </row>
    <row r="1670" spans="2:2" ht="15.75" customHeight="1" x14ac:dyDescent="0.2">
      <c r="B1670" s="8"/>
    </row>
    <row r="1671" spans="2:2" ht="15.75" customHeight="1" x14ac:dyDescent="0.2">
      <c r="B1671" s="8"/>
    </row>
    <row r="1672" spans="2:2" ht="15.75" customHeight="1" x14ac:dyDescent="0.2">
      <c r="B1672" s="8"/>
    </row>
    <row r="1673" spans="2:2" ht="15.75" customHeight="1" x14ac:dyDescent="0.2">
      <c r="B1673" s="8"/>
    </row>
    <row r="1674" spans="2:2" ht="15.75" customHeight="1" x14ac:dyDescent="0.2">
      <c r="B1674" s="8"/>
    </row>
    <row r="1675" spans="2:2" ht="15.75" customHeight="1" x14ac:dyDescent="0.2">
      <c r="B1675" s="8"/>
    </row>
    <row r="1676" spans="2:2" ht="15.75" customHeight="1" x14ac:dyDescent="0.2">
      <c r="B1676" s="8"/>
    </row>
    <row r="1677" spans="2:2" ht="15.75" customHeight="1" x14ac:dyDescent="0.2">
      <c r="B1677" s="8"/>
    </row>
    <row r="1678" spans="2:2" ht="15.75" customHeight="1" x14ac:dyDescent="0.2">
      <c r="B1678" s="8"/>
    </row>
    <row r="1679" spans="2:2" ht="15.75" customHeight="1" x14ac:dyDescent="0.2">
      <c r="B1679" s="8"/>
    </row>
    <row r="1680" spans="2:2" ht="15.75" customHeight="1" x14ac:dyDescent="0.2">
      <c r="B1680" s="8"/>
    </row>
    <row r="1681" spans="2:2" ht="15.75" customHeight="1" x14ac:dyDescent="0.2">
      <c r="B1681" s="8"/>
    </row>
    <row r="1682" spans="2:2" ht="15.75" customHeight="1" x14ac:dyDescent="0.2">
      <c r="B1682" s="8"/>
    </row>
    <row r="1683" spans="2:2" ht="15.75" customHeight="1" x14ac:dyDescent="0.2">
      <c r="B1683" s="8"/>
    </row>
    <row r="1684" spans="2:2" ht="15.75" customHeight="1" x14ac:dyDescent="0.2">
      <c r="B1684" s="8"/>
    </row>
    <row r="1685" spans="2:2" ht="15.75" customHeight="1" x14ac:dyDescent="0.2">
      <c r="B1685" s="8"/>
    </row>
    <row r="1686" spans="2:2" ht="15.75" customHeight="1" x14ac:dyDescent="0.2">
      <c r="B1686" s="8"/>
    </row>
    <row r="1687" spans="2:2" ht="15.75" customHeight="1" x14ac:dyDescent="0.2">
      <c r="B1687" s="8"/>
    </row>
    <row r="1688" spans="2:2" ht="15.75" customHeight="1" x14ac:dyDescent="0.2">
      <c r="B1688" s="8"/>
    </row>
    <row r="1689" spans="2:2" ht="15.75" customHeight="1" x14ac:dyDescent="0.2">
      <c r="B1689" s="8"/>
    </row>
    <row r="1690" spans="2:2" ht="15.75" customHeight="1" x14ac:dyDescent="0.2">
      <c r="B1690" s="8"/>
    </row>
    <row r="1691" spans="2:2" ht="15.75" customHeight="1" x14ac:dyDescent="0.2">
      <c r="B1691" s="8"/>
    </row>
    <row r="1692" spans="2:2" ht="15.75" customHeight="1" x14ac:dyDescent="0.2">
      <c r="B1692" s="8"/>
    </row>
    <row r="1693" spans="2:2" ht="15.75" customHeight="1" x14ac:dyDescent="0.2">
      <c r="B1693" s="8"/>
    </row>
    <row r="1694" spans="2:2" ht="15.75" customHeight="1" x14ac:dyDescent="0.2">
      <c r="B1694" s="8"/>
    </row>
    <row r="1695" spans="2:2" ht="15.75" customHeight="1" x14ac:dyDescent="0.2">
      <c r="B1695" s="8"/>
    </row>
    <row r="1696" spans="2:2" ht="15.75" customHeight="1" x14ac:dyDescent="0.2">
      <c r="B1696" s="8"/>
    </row>
    <row r="1697" spans="2:2" ht="15.75" customHeight="1" x14ac:dyDescent="0.2">
      <c r="B1697" s="8"/>
    </row>
    <row r="1698" spans="2:2" ht="15.75" customHeight="1" x14ac:dyDescent="0.2">
      <c r="B1698" s="8"/>
    </row>
    <row r="1699" spans="2:2" ht="15.75" customHeight="1" x14ac:dyDescent="0.2">
      <c r="B1699" s="8"/>
    </row>
    <row r="1700" spans="2:2" ht="15.75" customHeight="1" x14ac:dyDescent="0.2">
      <c r="B1700" s="8"/>
    </row>
    <row r="1701" spans="2:2" ht="15.75" customHeight="1" x14ac:dyDescent="0.2">
      <c r="B1701" s="8"/>
    </row>
    <row r="1702" spans="2:2" ht="15.75" customHeight="1" x14ac:dyDescent="0.2">
      <c r="B1702" s="8"/>
    </row>
    <row r="1703" spans="2:2" ht="15.75" customHeight="1" x14ac:dyDescent="0.2">
      <c r="B1703" s="8"/>
    </row>
    <row r="1704" spans="2:2" ht="15.75" customHeight="1" x14ac:dyDescent="0.2">
      <c r="B1704" s="8"/>
    </row>
    <row r="1705" spans="2:2" ht="15.75" customHeight="1" x14ac:dyDescent="0.2">
      <c r="B1705" s="8"/>
    </row>
    <row r="1706" spans="2:2" ht="15.75" customHeight="1" x14ac:dyDescent="0.2">
      <c r="B1706" s="8"/>
    </row>
    <row r="1707" spans="2:2" ht="15.75" customHeight="1" x14ac:dyDescent="0.2">
      <c r="B1707" s="8"/>
    </row>
    <row r="1708" spans="2:2" ht="15.75" customHeight="1" x14ac:dyDescent="0.2">
      <c r="B1708" s="8"/>
    </row>
    <row r="1709" spans="2:2" ht="15.75" customHeight="1" x14ac:dyDescent="0.2">
      <c r="B1709" s="8"/>
    </row>
    <row r="1710" spans="2:2" ht="15.75" customHeight="1" x14ac:dyDescent="0.2">
      <c r="B1710" s="8"/>
    </row>
    <row r="1711" spans="2:2" ht="15.75" customHeight="1" x14ac:dyDescent="0.2">
      <c r="B1711" s="8"/>
    </row>
    <row r="1712" spans="2:2" ht="15.75" customHeight="1" x14ac:dyDescent="0.2">
      <c r="B1712" s="8"/>
    </row>
    <row r="1713" spans="2:2" ht="15.75" customHeight="1" x14ac:dyDescent="0.2">
      <c r="B1713" s="8"/>
    </row>
    <row r="1714" spans="2:2" ht="15.75" customHeight="1" x14ac:dyDescent="0.2">
      <c r="B1714" s="8"/>
    </row>
    <row r="1715" spans="2:2" ht="15.75" customHeight="1" x14ac:dyDescent="0.2">
      <c r="B1715" s="8"/>
    </row>
    <row r="1716" spans="2:2" ht="15.75" customHeight="1" x14ac:dyDescent="0.2">
      <c r="B1716" s="8"/>
    </row>
    <row r="1717" spans="2:2" ht="15.75" customHeight="1" x14ac:dyDescent="0.2">
      <c r="B1717" s="8"/>
    </row>
    <row r="1718" spans="2:2" ht="15.75" customHeight="1" x14ac:dyDescent="0.2">
      <c r="B1718" s="8"/>
    </row>
    <row r="1719" spans="2:2" ht="15.75" customHeight="1" x14ac:dyDescent="0.2">
      <c r="B1719" s="8"/>
    </row>
    <row r="1720" spans="2:2" ht="15.75" customHeight="1" x14ac:dyDescent="0.2">
      <c r="B1720" s="8"/>
    </row>
    <row r="1721" spans="2:2" ht="15.75" customHeight="1" x14ac:dyDescent="0.2">
      <c r="B1721" s="8"/>
    </row>
    <row r="1722" spans="2:2" ht="15.75" customHeight="1" x14ac:dyDescent="0.2">
      <c r="B1722" s="8"/>
    </row>
    <row r="1723" spans="2:2" ht="15.75" customHeight="1" x14ac:dyDescent="0.2">
      <c r="B1723" s="8"/>
    </row>
    <row r="1724" spans="2:2" ht="15.75" customHeight="1" x14ac:dyDescent="0.2">
      <c r="B1724" s="8"/>
    </row>
    <row r="1725" spans="2:2" ht="15.75" customHeight="1" x14ac:dyDescent="0.2">
      <c r="B1725" s="8"/>
    </row>
    <row r="1726" spans="2:2" ht="15.75" customHeight="1" x14ac:dyDescent="0.2">
      <c r="B1726" s="8"/>
    </row>
    <row r="1727" spans="2:2" ht="15.75" customHeight="1" x14ac:dyDescent="0.2">
      <c r="B1727" s="8"/>
    </row>
    <row r="1728" spans="2:2" ht="15.75" customHeight="1" x14ac:dyDescent="0.2">
      <c r="B1728" s="8"/>
    </row>
    <row r="1729" spans="2:2" ht="15.75" customHeight="1" x14ac:dyDescent="0.2">
      <c r="B1729" s="8"/>
    </row>
    <row r="1730" spans="2:2" ht="15.75" customHeight="1" x14ac:dyDescent="0.2">
      <c r="B1730" s="8"/>
    </row>
    <row r="1731" spans="2:2" ht="15.75" customHeight="1" x14ac:dyDescent="0.2">
      <c r="B1731" s="8"/>
    </row>
    <row r="1732" spans="2:2" ht="15.75" customHeight="1" x14ac:dyDescent="0.2">
      <c r="B1732" s="8"/>
    </row>
    <row r="1733" spans="2:2" ht="15.75" customHeight="1" x14ac:dyDescent="0.2">
      <c r="B1733" s="8"/>
    </row>
    <row r="1734" spans="2:2" ht="15.75" customHeight="1" x14ac:dyDescent="0.2">
      <c r="B1734" s="8"/>
    </row>
    <row r="1735" spans="2:2" ht="15.75" customHeight="1" x14ac:dyDescent="0.2">
      <c r="B1735" s="8"/>
    </row>
    <row r="1736" spans="2:2" ht="15.75" customHeight="1" x14ac:dyDescent="0.2">
      <c r="B1736" s="8"/>
    </row>
    <row r="1737" spans="2:2" ht="15.75" customHeight="1" x14ac:dyDescent="0.2">
      <c r="B1737" s="8"/>
    </row>
    <row r="1738" spans="2:2" ht="15.75" customHeight="1" x14ac:dyDescent="0.2">
      <c r="B1738" s="8"/>
    </row>
    <row r="1739" spans="2:2" ht="15.75" customHeight="1" x14ac:dyDescent="0.2">
      <c r="B1739" s="8"/>
    </row>
    <row r="1740" spans="2:2" ht="15.75" customHeight="1" x14ac:dyDescent="0.2">
      <c r="B1740" s="8"/>
    </row>
    <row r="1741" spans="2:2" ht="15.75" customHeight="1" x14ac:dyDescent="0.2">
      <c r="B1741" s="8"/>
    </row>
    <row r="1742" spans="2:2" ht="15.75" customHeight="1" x14ac:dyDescent="0.2">
      <c r="B1742" s="8"/>
    </row>
    <row r="1743" spans="2:2" ht="15.75" customHeight="1" x14ac:dyDescent="0.2">
      <c r="B1743" s="8"/>
    </row>
    <row r="1744" spans="2:2" ht="15.75" customHeight="1" x14ac:dyDescent="0.2">
      <c r="B1744" s="8"/>
    </row>
    <row r="1745" spans="2:2" ht="15.75" customHeight="1" x14ac:dyDescent="0.2">
      <c r="B1745" s="8"/>
    </row>
    <row r="1746" spans="2:2" ht="15.75" customHeight="1" x14ac:dyDescent="0.2">
      <c r="B1746" s="8"/>
    </row>
    <row r="1747" spans="2:2" ht="15.75" customHeight="1" x14ac:dyDescent="0.2">
      <c r="B1747" s="8"/>
    </row>
    <row r="1748" spans="2:2" ht="15.75" customHeight="1" x14ac:dyDescent="0.2">
      <c r="B1748" s="8"/>
    </row>
    <row r="1749" spans="2:2" ht="15.75" customHeight="1" x14ac:dyDescent="0.2">
      <c r="B1749" s="8"/>
    </row>
    <row r="1750" spans="2:2" ht="15.75" customHeight="1" x14ac:dyDescent="0.2">
      <c r="B1750" s="8"/>
    </row>
    <row r="1751" spans="2:2" ht="15.75" customHeight="1" x14ac:dyDescent="0.2">
      <c r="B1751" s="8"/>
    </row>
    <row r="1752" spans="2:2" ht="15.75" customHeight="1" x14ac:dyDescent="0.2">
      <c r="B1752" s="8"/>
    </row>
    <row r="1753" spans="2:2" ht="15.75" customHeight="1" x14ac:dyDescent="0.2">
      <c r="B1753" s="8"/>
    </row>
    <row r="1754" spans="2:2" ht="15.75" customHeight="1" x14ac:dyDescent="0.2">
      <c r="B1754" s="8"/>
    </row>
    <row r="1755" spans="2:2" ht="15.75" customHeight="1" x14ac:dyDescent="0.2">
      <c r="B1755" s="8"/>
    </row>
    <row r="1756" spans="2:2" ht="15.75" customHeight="1" x14ac:dyDescent="0.2">
      <c r="B1756" s="8"/>
    </row>
    <row r="1757" spans="2:2" ht="15.75" customHeight="1" x14ac:dyDescent="0.2">
      <c r="B1757" s="8"/>
    </row>
    <row r="1758" spans="2:2" ht="15.75" customHeight="1" x14ac:dyDescent="0.2">
      <c r="B1758" s="8"/>
    </row>
    <row r="1759" spans="2:2" ht="15.75" customHeight="1" x14ac:dyDescent="0.2">
      <c r="B1759" s="8"/>
    </row>
    <row r="1760" spans="2:2" ht="15.75" customHeight="1" x14ac:dyDescent="0.2">
      <c r="B1760" s="8"/>
    </row>
    <row r="1761" spans="2:2" ht="15.75" customHeight="1" x14ac:dyDescent="0.2">
      <c r="B1761" s="8"/>
    </row>
    <row r="1762" spans="2:2" ht="15.75" customHeight="1" x14ac:dyDescent="0.2">
      <c r="B1762" s="8"/>
    </row>
    <row r="1763" spans="2:2" ht="15.75" customHeight="1" x14ac:dyDescent="0.2">
      <c r="B1763" s="8"/>
    </row>
    <row r="1764" spans="2:2" ht="15.75" customHeight="1" x14ac:dyDescent="0.2">
      <c r="B1764" s="8"/>
    </row>
    <row r="1765" spans="2:2" ht="15.75" customHeight="1" x14ac:dyDescent="0.2">
      <c r="B1765" s="8"/>
    </row>
    <row r="1766" spans="2:2" ht="15.75" customHeight="1" x14ac:dyDescent="0.2">
      <c r="B1766" s="8"/>
    </row>
    <row r="1767" spans="2:2" ht="15.75" customHeight="1" x14ac:dyDescent="0.2">
      <c r="B1767" s="8"/>
    </row>
    <row r="1768" spans="2:2" ht="15.75" customHeight="1" x14ac:dyDescent="0.2">
      <c r="B1768" s="8"/>
    </row>
    <row r="1769" spans="2:2" ht="15.75" customHeight="1" x14ac:dyDescent="0.2">
      <c r="B1769" s="8"/>
    </row>
    <row r="1770" spans="2:2" ht="15.75" customHeight="1" x14ac:dyDescent="0.2">
      <c r="B1770" s="8"/>
    </row>
    <row r="1771" spans="2:2" ht="15.75" customHeight="1" x14ac:dyDescent="0.2">
      <c r="B1771" s="8"/>
    </row>
    <row r="1772" spans="2:2" ht="15.75" customHeight="1" x14ac:dyDescent="0.2">
      <c r="B1772" s="8"/>
    </row>
    <row r="1773" spans="2:2" ht="15.75" customHeight="1" x14ac:dyDescent="0.2">
      <c r="B1773" s="8"/>
    </row>
    <row r="1774" spans="2:2" ht="15.75" customHeight="1" x14ac:dyDescent="0.2">
      <c r="B1774" s="8"/>
    </row>
    <row r="1775" spans="2:2" ht="15.75" customHeight="1" x14ac:dyDescent="0.2">
      <c r="B1775" s="8"/>
    </row>
    <row r="1776" spans="2:2" ht="15.75" customHeight="1" x14ac:dyDescent="0.2">
      <c r="B1776" s="8"/>
    </row>
    <row r="1777" spans="2:2" ht="15.75" customHeight="1" x14ac:dyDescent="0.2">
      <c r="B1777" s="8"/>
    </row>
    <row r="1778" spans="2:2" ht="15.75" customHeight="1" x14ac:dyDescent="0.2">
      <c r="B1778" s="8"/>
    </row>
    <row r="1779" spans="2:2" ht="15.75" customHeight="1" x14ac:dyDescent="0.2">
      <c r="B1779" s="8"/>
    </row>
    <row r="1780" spans="2:2" ht="15.75" customHeight="1" x14ac:dyDescent="0.2">
      <c r="B1780" s="8"/>
    </row>
    <row r="1781" spans="2:2" ht="15.75" customHeight="1" x14ac:dyDescent="0.2">
      <c r="B1781" s="8"/>
    </row>
    <row r="1782" spans="2:2" ht="15.75" customHeight="1" x14ac:dyDescent="0.2">
      <c r="B1782" s="8"/>
    </row>
    <row r="1783" spans="2:2" ht="15.75" customHeight="1" x14ac:dyDescent="0.2">
      <c r="B1783" s="8"/>
    </row>
    <row r="1784" spans="2:2" ht="15.75" customHeight="1" x14ac:dyDescent="0.2">
      <c r="B1784" s="8"/>
    </row>
    <row r="1785" spans="2:2" ht="15.75" customHeight="1" x14ac:dyDescent="0.2">
      <c r="B1785" s="8"/>
    </row>
    <row r="1786" spans="2:2" ht="15.75" customHeight="1" x14ac:dyDescent="0.2">
      <c r="B1786" s="8"/>
    </row>
    <row r="1787" spans="2:2" ht="15.75" customHeight="1" x14ac:dyDescent="0.2">
      <c r="B1787" s="8"/>
    </row>
    <row r="1788" spans="2:2" ht="15.75" customHeight="1" x14ac:dyDescent="0.2">
      <c r="B1788" s="8"/>
    </row>
    <row r="1789" spans="2:2" ht="15.75" customHeight="1" x14ac:dyDescent="0.2">
      <c r="B1789" s="8"/>
    </row>
    <row r="1790" spans="2:2" ht="15.75" customHeight="1" x14ac:dyDescent="0.2">
      <c r="B1790" s="8"/>
    </row>
    <row r="1791" spans="2:2" ht="15.75" customHeight="1" x14ac:dyDescent="0.2">
      <c r="B1791" s="8"/>
    </row>
    <row r="1792" spans="2:2" ht="15.75" customHeight="1" x14ac:dyDescent="0.2">
      <c r="B1792" s="8"/>
    </row>
    <row r="1793" spans="2:2" ht="15.75" customHeight="1" x14ac:dyDescent="0.2">
      <c r="B1793" s="8"/>
    </row>
    <row r="1794" spans="2:2" ht="15.75" customHeight="1" x14ac:dyDescent="0.2">
      <c r="B1794" s="8"/>
    </row>
    <row r="1795" spans="2:2" ht="15.75" customHeight="1" x14ac:dyDescent="0.2">
      <c r="B1795" s="8"/>
    </row>
    <row r="1796" spans="2:2" ht="15.75" customHeight="1" x14ac:dyDescent="0.2">
      <c r="B1796" s="8"/>
    </row>
    <row r="1797" spans="2:2" ht="15.75" customHeight="1" x14ac:dyDescent="0.2">
      <c r="B1797" s="8"/>
    </row>
    <row r="1798" spans="2:2" ht="15.75" customHeight="1" x14ac:dyDescent="0.2">
      <c r="B1798" s="8"/>
    </row>
    <row r="1799" spans="2:2" ht="15.75" customHeight="1" x14ac:dyDescent="0.2">
      <c r="B1799" s="8"/>
    </row>
    <row r="1800" spans="2:2" ht="15.75" customHeight="1" x14ac:dyDescent="0.2">
      <c r="B1800" s="8"/>
    </row>
    <row r="1801" spans="2:2" ht="15.75" customHeight="1" x14ac:dyDescent="0.2">
      <c r="B1801" s="8"/>
    </row>
    <row r="1802" spans="2:2" ht="15.75" customHeight="1" x14ac:dyDescent="0.2">
      <c r="B1802" s="8"/>
    </row>
    <row r="1803" spans="2:2" ht="15.75" customHeight="1" x14ac:dyDescent="0.2">
      <c r="B1803" s="8"/>
    </row>
    <row r="1804" spans="2:2" ht="15.75" customHeight="1" x14ac:dyDescent="0.2">
      <c r="B1804" s="8"/>
    </row>
    <row r="1805" spans="2:2" ht="15.75" customHeight="1" x14ac:dyDescent="0.2">
      <c r="B1805" s="8"/>
    </row>
    <row r="1806" spans="2:2" ht="15.75" customHeight="1" x14ac:dyDescent="0.2">
      <c r="B1806" s="8"/>
    </row>
    <row r="1807" spans="2:2" ht="15.75" customHeight="1" x14ac:dyDescent="0.2">
      <c r="B1807" s="8"/>
    </row>
    <row r="1808" spans="2:2" ht="15.75" customHeight="1" x14ac:dyDescent="0.2">
      <c r="B1808" s="8"/>
    </row>
    <row r="1809" spans="2:2" ht="15.75" customHeight="1" x14ac:dyDescent="0.2">
      <c r="B1809" s="8"/>
    </row>
    <row r="1810" spans="2:2" ht="15.75" customHeight="1" x14ac:dyDescent="0.2">
      <c r="B1810" s="8"/>
    </row>
    <row r="1811" spans="2:2" ht="15.75" customHeight="1" x14ac:dyDescent="0.2">
      <c r="B1811" s="8"/>
    </row>
    <row r="1812" spans="2:2" ht="15.75" customHeight="1" x14ac:dyDescent="0.2">
      <c r="B1812" s="8"/>
    </row>
    <row r="1813" spans="2:2" ht="15.75" customHeight="1" x14ac:dyDescent="0.2">
      <c r="B1813" s="8"/>
    </row>
    <row r="1814" spans="2:2" ht="15.75" customHeight="1" x14ac:dyDescent="0.2">
      <c r="B1814" s="8"/>
    </row>
    <row r="1815" spans="2:2" ht="15.75" customHeight="1" x14ac:dyDescent="0.2">
      <c r="B1815" s="8"/>
    </row>
    <row r="1816" spans="2:2" ht="15.75" customHeight="1" x14ac:dyDescent="0.2">
      <c r="B1816" s="8"/>
    </row>
    <row r="1817" spans="2:2" ht="15.75" customHeight="1" x14ac:dyDescent="0.2">
      <c r="B1817" s="8"/>
    </row>
    <row r="1818" spans="2:2" ht="15.75" customHeight="1" x14ac:dyDescent="0.2">
      <c r="B1818" s="8"/>
    </row>
    <row r="1819" spans="2:2" ht="15.75" customHeight="1" x14ac:dyDescent="0.2">
      <c r="B1819" s="8"/>
    </row>
    <row r="1820" spans="2:2" ht="15.75" customHeight="1" x14ac:dyDescent="0.2">
      <c r="B1820" s="8"/>
    </row>
    <row r="1821" spans="2:2" ht="15.75" customHeight="1" x14ac:dyDescent="0.2">
      <c r="B1821" s="8"/>
    </row>
    <row r="1822" spans="2:2" ht="15.75" customHeight="1" x14ac:dyDescent="0.2">
      <c r="B1822" s="8"/>
    </row>
    <row r="1823" spans="2:2" ht="15.75" customHeight="1" x14ac:dyDescent="0.2">
      <c r="B1823" s="8"/>
    </row>
    <row r="1824" spans="2:2" ht="15.75" customHeight="1" x14ac:dyDescent="0.2">
      <c r="B1824" s="8"/>
    </row>
    <row r="1825" spans="2:2" ht="15.75" customHeight="1" x14ac:dyDescent="0.2">
      <c r="B1825" s="8"/>
    </row>
    <row r="1826" spans="2:2" ht="15.75" customHeight="1" x14ac:dyDescent="0.2">
      <c r="B1826" s="8"/>
    </row>
    <row r="1827" spans="2:2" ht="15.75" customHeight="1" x14ac:dyDescent="0.2">
      <c r="B1827" s="8"/>
    </row>
    <row r="1828" spans="2:2" ht="15.75" customHeight="1" x14ac:dyDescent="0.2">
      <c r="B1828" s="8"/>
    </row>
    <row r="1829" spans="2:2" ht="15.75" customHeight="1" x14ac:dyDescent="0.2">
      <c r="B1829" s="8"/>
    </row>
    <row r="1830" spans="2:2" ht="15.75" customHeight="1" x14ac:dyDescent="0.2">
      <c r="B1830" s="8"/>
    </row>
    <row r="1831" spans="2:2" ht="15.75" customHeight="1" x14ac:dyDescent="0.2">
      <c r="B1831" s="8"/>
    </row>
    <row r="1832" spans="2:2" ht="15.75" customHeight="1" x14ac:dyDescent="0.2">
      <c r="B1832" s="8"/>
    </row>
    <row r="1833" spans="2:2" ht="15.75" customHeight="1" x14ac:dyDescent="0.2">
      <c r="B1833" s="8"/>
    </row>
    <row r="1834" spans="2:2" ht="15.75" customHeight="1" x14ac:dyDescent="0.2">
      <c r="B1834" s="8"/>
    </row>
    <row r="1835" spans="2:2" ht="15.75" customHeight="1" x14ac:dyDescent="0.2">
      <c r="B1835" s="8"/>
    </row>
    <row r="1836" spans="2:2" ht="15.75" customHeight="1" x14ac:dyDescent="0.2">
      <c r="B1836" s="8"/>
    </row>
    <row r="1837" spans="2:2" ht="15.75" customHeight="1" x14ac:dyDescent="0.2">
      <c r="B1837" s="8"/>
    </row>
    <row r="1838" spans="2:2" ht="15.75" customHeight="1" x14ac:dyDescent="0.2">
      <c r="B1838" s="8"/>
    </row>
    <row r="1839" spans="2:2" ht="15.75" customHeight="1" x14ac:dyDescent="0.2">
      <c r="B1839" s="8"/>
    </row>
    <row r="1840" spans="2:2" ht="15.75" customHeight="1" x14ac:dyDescent="0.2">
      <c r="B1840" s="8"/>
    </row>
    <row r="1841" spans="2:2" ht="15.75" customHeight="1" x14ac:dyDescent="0.2">
      <c r="B1841" s="8"/>
    </row>
    <row r="1842" spans="2:2" ht="15.75" customHeight="1" x14ac:dyDescent="0.2">
      <c r="B1842" s="8"/>
    </row>
    <row r="1843" spans="2:2" ht="15.75" customHeight="1" x14ac:dyDescent="0.2">
      <c r="B1843" s="8"/>
    </row>
    <row r="1844" spans="2:2" ht="15.75" customHeight="1" x14ac:dyDescent="0.2">
      <c r="B1844" s="8"/>
    </row>
    <row r="1845" spans="2:2" ht="15.75" customHeight="1" x14ac:dyDescent="0.2">
      <c r="B1845" s="8"/>
    </row>
    <row r="1846" spans="2:2" ht="15.75" customHeight="1" x14ac:dyDescent="0.2">
      <c r="B1846" s="8"/>
    </row>
    <row r="1847" spans="2:2" ht="15.75" customHeight="1" x14ac:dyDescent="0.2">
      <c r="B1847" s="8"/>
    </row>
    <row r="1848" spans="2:2" ht="15.75" customHeight="1" x14ac:dyDescent="0.2">
      <c r="B1848" s="8"/>
    </row>
    <row r="1849" spans="2:2" ht="15.75" customHeight="1" x14ac:dyDescent="0.2">
      <c r="B1849" s="8"/>
    </row>
    <row r="1850" spans="2:2" ht="15.75" customHeight="1" x14ac:dyDescent="0.2">
      <c r="B1850" s="8"/>
    </row>
    <row r="1851" spans="2:2" ht="15.75" customHeight="1" x14ac:dyDescent="0.2">
      <c r="B1851" s="8"/>
    </row>
    <row r="1852" spans="2:2" ht="15.75" customHeight="1" x14ac:dyDescent="0.2">
      <c r="B1852" s="8"/>
    </row>
    <row r="1853" spans="2:2" ht="15.75" customHeight="1" x14ac:dyDescent="0.2">
      <c r="B1853" s="8"/>
    </row>
    <row r="1854" spans="2:2" ht="15.75" customHeight="1" x14ac:dyDescent="0.2">
      <c r="B1854" s="8"/>
    </row>
    <row r="1855" spans="2:2" ht="15.75" customHeight="1" x14ac:dyDescent="0.2">
      <c r="B1855" s="8"/>
    </row>
    <row r="1856" spans="2:2" ht="15.75" customHeight="1" x14ac:dyDescent="0.2">
      <c r="B1856" s="8"/>
    </row>
    <row r="1857" spans="2:2" ht="15.75" customHeight="1" x14ac:dyDescent="0.2">
      <c r="B1857" s="8"/>
    </row>
    <row r="1858" spans="2:2" ht="15.75" customHeight="1" x14ac:dyDescent="0.2">
      <c r="B1858" s="8"/>
    </row>
    <row r="1859" spans="2:2" ht="15.75" customHeight="1" x14ac:dyDescent="0.2">
      <c r="B1859" s="8"/>
    </row>
    <row r="1860" spans="2:2" ht="15.75" customHeight="1" x14ac:dyDescent="0.2">
      <c r="B1860" s="8"/>
    </row>
    <row r="1861" spans="2:2" ht="15.75" customHeight="1" x14ac:dyDescent="0.2">
      <c r="B1861" s="8"/>
    </row>
    <row r="1862" spans="2:2" ht="15.75" customHeight="1" x14ac:dyDescent="0.2">
      <c r="B1862" s="8"/>
    </row>
    <row r="1863" spans="2:2" ht="15.75" customHeight="1" x14ac:dyDescent="0.2">
      <c r="B1863" s="8"/>
    </row>
    <row r="1864" spans="2:2" ht="15.75" customHeight="1" x14ac:dyDescent="0.2">
      <c r="B1864" s="8"/>
    </row>
    <row r="1865" spans="2:2" ht="15.75" customHeight="1" x14ac:dyDescent="0.2">
      <c r="B1865" s="8"/>
    </row>
    <row r="1866" spans="2:2" ht="15.75" customHeight="1" x14ac:dyDescent="0.2">
      <c r="B1866" s="8"/>
    </row>
    <row r="1867" spans="2:2" ht="15.75" customHeight="1" x14ac:dyDescent="0.2">
      <c r="B1867" s="8"/>
    </row>
    <row r="1868" spans="2:2" ht="15.75" customHeight="1" x14ac:dyDescent="0.2">
      <c r="B1868" s="8"/>
    </row>
    <row r="1869" spans="2:2" ht="15.75" customHeight="1" x14ac:dyDescent="0.2">
      <c r="B1869" s="8"/>
    </row>
    <row r="1870" spans="2:2" ht="15.75" customHeight="1" x14ac:dyDescent="0.2">
      <c r="B1870" s="8"/>
    </row>
    <row r="1871" spans="2:2" ht="15.75" customHeight="1" x14ac:dyDescent="0.2">
      <c r="B1871" s="8"/>
    </row>
    <row r="1872" spans="2:2" ht="15.75" customHeight="1" x14ac:dyDescent="0.2">
      <c r="B1872" s="8"/>
    </row>
    <row r="1873" spans="2:2" ht="15.75" customHeight="1" x14ac:dyDescent="0.2">
      <c r="B1873" s="8"/>
    </row>
    <row r="1874" spans="2:2" ht="15.75" customHeight="1" x14ac:dyDescent="0.2">
      <c r="B1874" s="8"/>
    </row>
    <row r="1875" spans="2:2" ht="15.75" customHeight="1" x14ac:dyDescent="0.2">
      <c r="B1875" s="8"/>
    </row>
    <row r="1876" spans="2:2" ht="15.75" customHeight="1" x14ac:dyDescent="0.2">
      <c r="B1876" s="8"/>
    </row>
    <row r="1877" spans="2:2" ht="15.75" customHeight="1" x14ac:dyDescent="0.2">
      <c r="B1877" s="8"/>
    </row>
    <row r="1878" spans="2:2" ht="15.75" customHeight="1" x14ac:dyDescent="0.2">
      <c r="B1878" s="8"/>
    </row>
    <row r="1879" spans="2:2" ht="15.75" customHeight="1" x14ac:dyDescent="0.2">
      <c r="B1879" s="8"/>
    </row>
    <row r="1880" spans="2:2" ht="15.75" customHeight="1" x14ac:dyDescent="0.2">
      <c r="B1880" s="8"/>
    </row>
    <row r="1881" spans="2:2" ht="15.75" customHeight="1" x14ac:dyDescent="0.2">
      <c r="B1881" s="8"/>
    </row>
    <row r="1882" spans="2:2" ht="15.75" customHeight="1" x14ac:dyDescent="0.2">
      <c r="B1882" s="8"/>
    </row>
    <row r="1883" spans="2:2" ht="15.75" customHeight="1" x14ac:dyDescent="0.2">
      <c r="B1883" s="8"/>
    </row>
    <row r="1884" spans="2:2" ht="15.75" customHeight="1" x14ac:dyDescent="0.2">
      <c r="B1884" s="8"/>
    </row>
    <row r="1885" spans="2:2" ht="15.75" customHeight="1" x14ac:dyDescent="0.2">
      <c r="B1885" s="8"/>
    </row>
    <row r="1886" spans="2:2" ht="15.75" customHeight="1" x14ac:dyDescent="0.2">
      <c r="B1886" s="8"/>
    </row>
    <row r="1887" spans="2:2" ht="15.75" customHeight="1" x14ac:dyDescent="0.2">
      <c r="B1887" s="8"/>
    </row>
    <row r="1888" spans="2:2" ht="15.75" customHeight="1" x14ac:dyDescent="0.2">
      <c r="B1888" s="8"/>
    </row>
    <row r="1889" spans="2:2" ht="15.75" customHeight="1" x14ac:dyDescent="0.2">
      <c r="B1889" s="8"/>
    </row>
    <row r="1890" spans="2:2" ht="15.75" customHeight="1" x14ac:dyDescent="0.2">
      <c r="B1890" s="8"/>
    </row>
    <row r="1891" spans="2:2" ht="15.75" customHeight="1" x14ac:dyDescent="0.2">
      <c r="B1891" s="8"/>
    </row>
    <row r="1892" spans="2:2" ht="15.75" customHeight="1" x14ac:dyDescent="0.2">
      <c r="B1892" s="8"/>
    </row>
    <row r="1893" spans="2:2" ht="15.75" customHeight="1" x14ac:dyDescent="0.2">
      <c r="B1893" s="8"/>
    </row>
    <row r="1894" spans="2:2" ht="15.75" customHeight="1" x14ac:dyDescent="0.2">
      <c r="B1894" s="8"/>
    </row>
    <row r="1895" spans="2:2" ht="15.75" customHeight="1" x14ac:dyDescent="0.2">
      <c r="B1895" s="8"/>
    </row>
    <row r="1896" spans="2:2" ht="15.75" customHeight="1" x14ac:dyDescent="0.2">
      <c r="B1896" s="8"/>
    </row>
    <row r="1897" spans="2:2" ht="15.75" customHeight="1" x14ac:dyDescent="0.2">
      <c r="B1897" s="8"/>
    </row>
    <row r="1898" spans="2:2" ht="15.75" customHeight="1" x14ac:dyDescent="0.2">
      <c r="B1898" s="8"/>
    </row>
    <row r="1899" spans="2:2" ht="15.75" customHeight="1" x14ac:dyDescent="0.2">
      <c r="B1899" s="8"/>
    </row>
    <row r="1900" spans="2:2" ht="15.75" customHeight="1" x14ac:dyDescent="0.2">
      <c r="B1900" s="8"/>
    </row>
    <row r="1901" spans="2:2" ht="15.75" customHeight="1" x14ac:dyDescent="0.2">
      <c r="B1901" s="8"/>
    </row>
    <row r="1902" spans="2:2" ht="15.75" customHeight="1" x14ac:dyDescent="0.2">
      <c r="B1902" s="8"/>
    </row>
    <row r="1903" spans="2:2" ht="15.75" customHeight="1" x14ac:dyDescent="0.2">
      <c r="B1903" s="8"/>
    </row>
    <row r="1904" spans="2:2" ht="15.75" customHeight="1" x14ac:dyDescent="0.2">
      <c r="B1904" s="8"/>
    </row>
    <row r="1905" spans="2:2" ht="15.75" customHeight="1" x14ac:dyDescent="0.2">
      <c r="B1905" s="8"/>
    </row>
    <row r="1906" spans="2:2" ht="15.75" customHeight="1" x14ac:dyDescent="0.2">
      <c r="B1906" s="8"/>
    </row>
    <row r="1907" spans="2:2" ht="15.75" customHeight="1" x14ac:dyDescent="0.2">
      <c r="B1907" s="8"/>
    </row>
    <row r="1908" spans="2:2" ht="15.75" customHeight="1" x14ac:dyDescent="0.2">
      <c r="B1908" s="8"/>
    </row>
    <row r="1909" spans="2:2" ht="15.75" customHeight="1" x14ac:dyDescent="0.2">
      <c r="B1909" s="8"/>
    </row>
    <row r="1910" spans="2:2" ht="15.75" customHeight="1" x14ac:dyDescent="0.2">
      <c r="B1910" s="8"/>
    </row>
    <row r="1911" spans="2:2" ht="15.75" customHeight="1" x14ac:dyDescent="0.2">
      <c r="B1911" s="8"/>
    </row>
    <row r="1912" spans="2:2" ht="15.75" customHeight="1" x14ac:dyDescent="0.2">
      <c r="B1912" s="8"/>
    </row>
    <row r="1913" spans="2:2" ht="15.75" customHeight="1" x14ac:dyDescent="0.2">
      <c r="B1913" s="8"/>
    </row>
    <row r="1914" spans="2:2" ht="15.75" customHeight="1" x14ac:dyDescent="0.2">
      <c r="B1914" s="8"/>
    </row>
    <row r="1915" spans="2:2" ht="15.75" customHeight="1" x14ac:dyDescent="0.2">
      <c r="B1915" s="8"/>
    </row>
    <row r="1916" spans="2:2" ht="15.75" customHeight="1" x14ac:dyDescent="0.2">
      <c r="B1916" s="8"/>
    </row>
    <row r="1917" spans="2:2" ht="15.75" customHeight="1" x14ac:dyDescent="0.2">
      <c r="B1917" s="8"/>
    </row>
    <row r="1918" spans="2:2" ht="15.75" customHeight="1" x14ac:dyDescent="0.2">
      <c r="B1918" s="8"/>
    </row>
    <row r="1919" spans="2:2" ht="15.75" customHeight="1" x14ac:dyDescent="0.2">
      <c r="B1919" s="8"/>
    </row>
    <row r="1920" spans="2:2" ht="15.75" customHeight="1" x14ac:dyDescent="0.2">
      <c r="B1920" s="8"/>
    </row>
    <row r="1921" spans="2:2" ht="15.75" customHeight="1" x14ac:dyDescent="0.2">
      <c r="B1921" s="8"/>
    </row>
    <row r="1922" spans="2:2" ht="15.75" customHeight="1" x14ac:dyDescent="0.2">
      <c r="B1922" s="8"/>
    </row>
    <row r="1923" spans="2:2" ht="15.75" customHeight="1" x14ac:dyDescent="0.2">
      <c r="B1923" s="8"/>
    </row>
    <row r="1924" spans="2:2" ht="15.75" customHeight="1" x14ac:dyDescent="0.2">
      <c r="B1924" s="8"/>
    </row>
    <row r="1925" spans="2:2" ht="15.75" customHeight="1" x14ac:dyDescent="0.2">
      <c r="B1925" s="8"/>
    </row>
    <row r="1926" spans="2:2" ht="15.75" customHeight="1" x14ac:dyDescent="0.2">
      <c r="B1926" s="8"/>
    </row>
    <row r="1927" spans="2:2" ht="15.75" customHeight="1" x14ac:dyDescent="0.2">
      <c r="B1927" s="8"/>
    </row>
    <row r="1928" spans="2:2" ht="15.75" customHeight="1" x14ac:dyDescent="0.2">
      <c r="B1928" s="8"/>
    </row>
    <row r="1929" spans="2:2" ht="15.75" customHeight="1" x14ac:dyDescent="0.2">
      <c r="B1929" s="8"/>
    </row>
    <row r="1930" spans="2:2" ht="15.75" customHeight="1" x14ac:dyDescent="0.2">
      <c r="B1930" s="8"/>
    </row>
    <row r="1931" spans="2:2" ht="15.75" customHeight="1" x14ac:dyDescent="0.2">
      <c r="B1931" s="8"/>
    </row>
    <row r="1932" spans="2:2" ht="15.75" customHeight="1" x14ac:dyDescent="0.2">
      <c r="B1932" s="8"/>
    </row>
    <row r="1933" spans="2:2" ht="15.75" customHeight="1" x14ac:dyDescent="0.2">
      <c r="B1933" s="8"/>
    </row>
    <row r="1934" spans="2:2" ht="15.75" customHeight="1" x14ac:dyDescent="0.2">
      <c r="B1934" s="8"/>
    </row>
    <row r="1935" spans="2:2" ht="15.75" customHeight="1" x14ac:dyDescent="0.2">
      <c r="B1935" s="8"/>
    </row>
    <row r="1936" spans="2:2" ht="15.75" customHeight="1" x14ac:dyDescent="0.2">
      <c r="B1936" s="8"/>
    </row>
    <row r="1937" spans="2:2" ht="15.75" customHeight="1" x14ac:dyDescent="0.2">
      <c r="B1937" s="8"/>
    </row>
    <row r="1938" spans="2:2" ht="15.75" customHeight="1" x14ac:dyDescent="0.2">
      <c r="B1938" s="8"/>
    </row>
    <row r="1939" spans="2:2" ht="15.75" customHeight="1" x14ac:dyDescent="0.2">
      <c r="B1939" s="8"/>
    </row>
    <row r="1940" spans="2:2" ht="15.75" customHeight="1" x14ac:dyDescent="0.2">
      <c r="B1940" s="8"/>
    </row>
    <row r="1941" spans="2:2" ht="15.75" customHeight="1" x14ac:dyDescent="0.2">
      <c r="B1941" s="8"/>
    </row>
    <row r="1942" spans="2:2" ht="15.75" customHeight="1" x14ac:dyDescent="0.2">
      <c r="B1942" s="8"/>
    </row>
    <row r="1943" spans="2:2" ht="15.75" customHeight="1" x14ac:dyDescent="0.2">
      <c r="B1943" s="8"/>
    </row>
    <row r="1944" spans="2:2" ht="15.75" customHeight="1" x14ac:dyDescent="0.2">
      <c r="B1944" s="8"/>
    </row>
    <row r="1945" spans="2:2" ht="15.75" customHeight="1" x14ac:dyDescent="0.2">
      <c r="B1945" s="8"/>
    </row>
    <row r="1946" spans="2:2" ht="15.75" customHeight="1" x14ac:dyDescent="0.2">
      <c r="B1946" s="8"/>
    </row>
    <row r="1947" spans="2:2" ht="15.75" customHeight="1" x14ac:dyDescent="0.2">
      <c r="B1947" s="8"/>
    </row>
    <row r="1948" spans="2:2" ht="15.75" customHeight="1" x14ac:dyDescent="0.2">
      <c r="B1948" s="8"/>
    </row>
    <row r="1949" spans="2:2" ht="15.75" customHeight="1" x14ac:dyDescent="0.2">
      <c r="B1949" s="8"/>
    </row>
    <row r="1950" spans="2:2" ht="15.75" customHeight="1" x14ac:dyDescent="0.2">
      <c r="B1950" s="8"/>
    </row>
    <row r="1951" spans="2:2" ht="15.75" customHeight="1" x14ac:dyDescent="0.2">
      <c r="B1951" s="8"/>
    </row>
    <row r="1952" spans="2:2" ht="15.75" customHeight="1" x14ac:dyDescent="0.2">
      <c r="B1952" s="8"/>
    </row>
    <row r="1953" spans="2:2" ht="15.75" customHeight="1" x14ac:dyDescent="0.2">
      <c r="B1953" s="8"/>
    </row>
    <row r="1954" spans="2:2" ht="15.75" customHeight="1" x14ac:dyDescent="0.2">
      <c r="B1954" s="8"/>
    </row>
    <row r="1955" spans="2:2" ht="15.75" customHeight="1" x14ac:dyDescent="0.2">
      <c r="B1955" s="8"/>
    </row>
    <row r="1956" spans="2:2" ht="15.75" customHeight="1" x14ac:dyDescent="0.2">
      <c r="B1956" s="8"/>
    </row>
    <row r="1957" spans="2:2" ht="15.75" customHeight="1" x14ac:dyDescent="0.2">
      <c r="B1957" s="8"/>
    </row>
    <row r="1958" spans="2:2" ht="15.75" customHeight="1" x14ac:dyDescent="0.2">
      <c r="B1958" s="8"/>
    </row>
    <row r="1959" spans="2:2" ht="15.75" customHeight="1" x14ac:dyDescent="0.2">
      <c r="B1959" s="8"/>
    </row>
    <row r="1960" spans="2:2" ht="15.75" customHeight="1" x14ac:dyDescent="0.2">
      <c r="B1960" s="8"/>
    </row>
    <row r="1961" spans="2:2" ht="15.75" customHeight="1" x14ac:dyDescent="0.2">
      <c r="B1961" s="8"/>
    </row>
    <row r="1962" spans="2:2" ht="15.75" customHeight="1" x14ac:dyDescent="0.2">
      <c r="B1962" s="8"/>
    </row>
    <row r="1963" spans="2:2" ht="15.75" customHeight="1" x14ac:dyDescent="0.2">
      <c r="B1963" s="8"/>
    </row>
    <row r="1964" spans="2:2" ht="15.75" customHeight="1" x14ac:dyDescent="0.2">
      <c r="B1964" s="8"/>
    </row>
    <row r="1965" spans="2:2" ht="15.75" customHeight="1" x14ac:dyDescent="0.2">
      <c r="B1965" s="8"/>
    </row>
    <row r="1966" spans="2:2" ht="15.75" customHeight="1" x14ac:dyDescent="0.2">
      <c r="B1966" s="8"/>
    </row>
    <row r="1967" spans="2:2" ht="15.75" customHeight="1" x14ac:dyDescent="0.2">
      <c r="B1967" s="8"/>
    </row>
    <row r="1968" spans="2:2" ht="15.75" customHeight="1" x14ac:dyDescent="0.2">
      <c r="B1968" s="8"/>
    </row>
    <row r="1969" spans="2:2" ht="15.75" customHeight="1" x14ac:dyDescent="0.2">
      <c r="B1969" s="8"/>
    </row>
    <row r="1970" spans="2:2" ht="15.75" customHeight="1" x14ac:dyDescent="0.2">
      <c r="B1970" s="8"/>
    </row>
    <row r="1971" spans="2:2" ht="15.75" customHeight="1" x14ac:dyDescent="0.2">
      <c r="B1971" s="8"/>
    </row>
    <row r="1972" spans="2:2" ht="15.75" customHeight="1" x14ac:dyDescent="0.2">
      <c r="B1972" s="8"/>
    </row>
    <row r="1973" spans="2:2" ht="15.75" customHeight="1" x14ac:dyDescent="0.2">
      <c r="B1973" s="8"/>
    </row>
    <row r="1974" spans="2:2" ht="15.75" customHeight="1" x14ac:dyDescent="0.2">
      <c r="B1974" s="8"/>
    </row>
    <row r="1975" spans="2:2" ht="15.75" customHeight="1" x14ac:dyDescent="0.2">
      <c r="B1975" s="8"/>
    </row>
    <row r="1976" spans="2:2" ht="15.75" customHeight="1" x14ac:dyDescent="0.2">
      <c r="B1976" s="8"/>
    </row>
    <row r="1977" spans="2:2" ht="15.75" customHeight="1" x14ac:dyDescent="0.2">
      <c r="B1977" s="8"/>
    </row>
    <row r="1978" spans="2:2" ht="15.75" customHeight="1" x14ac:dyDescent="0.2">
      <c r="B1978" s="8"/>
    </row>
    <row r="1979" spans="2:2" ht="15.75" customHeight="1" x14ac:dyDescent="0.2">
      <c r="B1979" s="8"/>
    </row>
    <row r="1980" spans="2:2" ht="15.75" customHeight="1" x14ac:dyDescent="0.2">
      <c r="B1980" s="8"/>
    </row>
    <row r="1981" spans="2:2" ht="15.75" customHeight="1" x14ac:dyDescent="0.2">
      <c r="B1981" s="8"/>
    </row>
    <row r="1982" spans="2:2" ht="15.75" customHeight="1" x14ac:dyDescent="0.2">
      <c r="B1982" s="8"/>
    </row>
    <row r="1983" spans="2:2" ht="15.75" customHeight="1" x14ac:dyDescent="0.2">
      <c r="B1983" s="8"/>
    </row>
    <row r="1984" spans="2:2" ht="15.75" customHeight="1" x14ac:dyDescent="0.2">
      <c r="B1984" s="8"/>
    </row>
    <row r="1985" spans="2:2" ht="15.75" customHeight="1" x14ac:dyDescent="0.2">
      <c r="B1985" s="8"/>
    </row>
    <row r="1986" spans="2:2" ht="15.75" customHeight="1" x14ac:dyDescent="0.2">
      <c r="B1986" s="8"/>
    </row>
    <row r="1987" spans="2:2" ht="15.75" customHeight="1" x14ac:dyDescent="0.2">
      <c r="B1987" s="8"/>
    </row>
    <row r="1988" spans="2:2" ht="15.75" customHeight="1" x14ac:dyDescent="0.2">
      <c r="B1988" s="8"/>
    </row>
    <row r="1989" spans="2:2" ht="15.75" customHeight="1" x14ac:dyDescent="0.2">
      <c r="B1989" s="8"/>
    </row>
    <row r="1990" spans="2:2" ht="15.75" customHeight="1" x14ac:dyDescent="0.2">
      <c r="B1990" s="8"/>
    </row>
    <row r="1991" spans="2:2" ht="15.75" customHeight="1" x14ac:dyDescent="0.2">
      <c r="B1991" s="8"/>
    </row>
    <row r="1992" spans="2:2" ht="15.75" customHeight="1" x14ac:dyDescent="0.2">
      <c r="B1992" s="8"/>
    </row>
    <row r="1993" spans="2:2" ht="15.75" customHeight="1" x14ac:dyDescent="0.2">
      <c r="B1993" s="8"/>
    </row>
    <row r="1994" spans="2:2" ht="15.75" customHeight="1" x14ac:dyDescent="0.2">
      <c r="B1994" s="8"/>
    </row>
    <row r="1995" spans="2:2" ht="15.75" customHeight="1" x14ac:dyDescent="0.2">
      <c r="B1995" s="8"/>
    </row>
    <row r="1996" spans="2:2" ht="15.75" customHeight="1" x14ac:dyDescent="0.2">
      <c r="B1996" s="8"/>
    </row>
    <row r="1997" spans="2:2" ht="15.75" customHeight="1" x14ac:dyDescent="0.2">
      <c r="B1997" s="8"/>
    </row>
    <row r="1998" spans="2:2" ht="15.75" customHeight="1" x14ac:dyDescent="0.2">
      <c r="B1998" s="8"/>
    </row>
    <row r="1999" spans="2:2" ht="15.75" customHeight="1" x14ac:dyDescent="0.2">
      <c r="B1999" s="8"/>
    </row>
    <row r="2000" spans="2:2" ht="15.75" customHeight="1" x14ac:dyDescent="0.2">
      <c r="B2000" s="8"/>
    </row>
    <row r="2001" spans="2:2" ht="15.75" customHeight="1" x14ac:dyDescent="0.2">
      <c r="B2001" s="8"/>
    </row>
    <row r="2002" spans="2:2" ht="15.75" customHeight="1" x14ac:dyDescent="0.2">
      <c r="B2002" s="8"/>
    </row>
    <row r="2003" spans="2:2" ht="15.75" customHeight="1" x14ac:dyDescent="0.2">
      <c r="B2003" s="8"/>
    </row>
    <row r="2004" spans="2:2" ht="15.75" customHeight="1" x14ac:dyDescent="0.2">
      <c r="B2004" s="8"/>
    </row>
    <row r="2005" spans="2:2" ht="15.75" customHeight="1" x14ac:dyDescent="0.2">
      <c r="B2005" s="8"/>
    </row>
    <row r="2006" spans="2:2" ht="15.75" customHeight="1" x14ac:dyDescent="0.2">
      <c r="B2006" s="8"/>
    </row>
    <row r="2007" spans="2:2" ht="15.75" customHeight="1" x14ac:dyDescent="0.2">
      <c r="B2007" s="8"/>
    </row>
    <row r="2008" spans="2:2" ht="15.75" customHeight="1" x14ac:dyDescent="0.2">
      <c r="B2008" s="8"/>
    </row>
    <row r="2009" spans="2:2" ht="15.75" customHeight="1" x14ac:dyDescent="0.2">
      <c r="B2009" s="8"/>
    </row>
    <row r="2010" spans="2:2" ht="15.75" customHeight="1" x14ac:dyDescent="0.2">
      <c r="B2010" s="8"/>
    </row>
    <row r="2011" spans="2:2" ht="15.75" customHeight="1" x14ac:dyDescent="0.2">
      <c r="B2011" s="8"/>
    </row>
    <row r="2012" spans="2:2" ht="15.75" customHeight="1" x14ac:dyDescent="0.2">
      <c r="B2012" s="8"/>
    </row>
    <row r="2013" spans="2:2" ht="15.75" customHeight="1" x14ac:dyDescent="0.2">
      <c r="B2013" s="8"/>
    </row>
    <row r="2014" spans="2:2" ht="15.75" customHeight="1" x14ac:dyDescent="0.2">
      <c r="B2014" s="8"/>
    </row>
    <row r="2015" spans="2:2" ht="15.75" customHeight="1" x14ac:dyDescent="0.2">
      <c r="B2015" s="8"/>
    </row>
    <row r="2016" spans="2:2" ht="15.75" customHeight="1" x14ac:dyDescent="0.2">
      <c r="B2016" s="8"/>
    </row>
    <row r="2017" spans="2:2" ht="15.75" customHeight="1" x14ac:dyDescent="0.2">
      <c r="B2017" s="8"/>
    </row>
    <row r="2018" spans="2:2" ht="15.75" customHeight="1" x14ac:dyDescent="0.2">
      <c r="B2018" s="8"/>
    </row>
    <row r="2019" spans="2:2" ht="15.75" customHeight="1" x14ac:dyDescent="0.2">
      <c r="B2019" s="8"/>
    </row>
    <row r="2020" spans="2:2" ht="15.75" customHeight="1" x14ac:dyDescent="0.2">
      <c r="B2020" s="8"/>
    </row>
    <row r="2021" spans="2:2" ht="15.75" customHeight="1" x14ac:dyDescent="0.2">
      <c r="B2021" s="8"/>
    </row>
    <row r="2022" spans="2:2" ht="15.75" customHeight="1" x14ac:dyDescent="0.2">
      <c r="B2022" s="8"/>
    </row>
    <row r="2023" spans="2:2" ht="15.75" customHeight="1" x14ac:dyDescent="0.2">
      <c r="B2023" s="8"/>
    </row>
    <row r="2024" spans="2:2" ht="15.75" customHeight="1" x14ac:dyDescent="0.2">
      <c r="B2024" s="8"/>
    </row>
    <row r="2025" spans="2:2" ht="15.75" customHeight="1" x14ac:dyDescent="0.2">
      <c r="B2025" s="8"/>
    </row>
    <row r="2026" spans="2:2" ht="15.75" customHeight="1" x14ac:dyDescent="0.2">
      <c r="B2026" s="8"/>
    </row>
    <row r="2027" spans="2:2" ht="15.75" customHeight="1" x14ac:dyDescent="0.2">
      <c r="B2027" s="8"/>
    </row>
    <row r="2028" spans="2:2" ht="15.75" customHeight="1" x14ac:dyDescent="0.2">
      <c r="B2028" s="8"/>
    </row>
    <row r="2029" spans="2:2" ht="15.75" customHeight="1" x14ac:dyDescent="0.2">
      <c r="B2029" s="8"/>
    </row>
    <row r="2030" spans="2:2" ht="15.75" customHeight="1" x14ac:dyDescent="0.2">
      <c r="B2030" s="8"/>
    </row>
    <row r="2031" spans="2:2" ht="15.75" customHeight="1" x14ac:dyDescent="0.2">
      <c r="B2031" s="8"/>
    </row>
    <row r="2032" spans="2:2" ht="15.75" customHeight="1" x14ac:dyDescent="0.2">
      <c r="B2032" s="8"/>
    </row>
    <row r="2033" spans="2:2" ht="15.75" customHeight="1" x14ac:dyDescent="0.2">
      <c r="B2033" s="8"/>
    </row>
    <row r="2034" spans="2:2" ht="15.75" customHeight="1" x14ac:dyDescent="0.2">
      <c r="B2034" s="8"/>
    </row>
    <row r="2035" spans="2:2" ht="15.75" customHeight="1" x14ac:dyDescent="0.2">
      <c r="B2035" s="8"/>
    </row>
    <row r="2036" spans="2:2" ht="15.75" customHeight="1" x14ac:dyDescent="0.2">
      <c r="B2036" s="8"/>
    </row>
    <row r="2037" spans="2:2" ht="15.75" customHeight="1" x14ac:dyDescent="0.2">
      <c r="B2037" s="8"/>
    </row>
    <row r="2038" spans="2:2" ht="15.75" customHeight="1" x14ac:dyDescent="0.2">
      <c r="B2038" s="8"/>
    </row>
    <row r="2039" spans="2:2" ht="15.75" customHeight="1" x14ac:dyDescent="0.2">
      <c r="B2039" s="8"/>
    </row>
    <row r="2040" spans="2:2" ht="15.75" customHeight="1" x14ac:dyDescent="0.2">
      <c r="B2040" s="8"/>
    </row>
    <row r="2041" spans="2:2" ht="15.75" customHeight="1" x14ac:dyDescent="0.2">
      <c r="B2041" s="8"/>
    </row>
    <row r="2042" spans="2:2" ht="15.75" customHeight="1" x14ac:dyDescent="0.2">
      <c r="B2042" s="8"/>
    </row>
    <row r="2043" spans="2:2" ht="15.75" customHeight="1" x14ac:dyDescent="0.2">
      <c r="B2043" s="8"/>
    </row>
    <row r="2044" spans="2:2" ht="15.75" customHeight="1" x14ac:dyDescent="0.2">
      <c r="B2044" s="8"/>
    </row>
    <row r="2045" spans="2:2" ht="15.75" customHeight="1" x14ac:dyDescent="0.2">
      <c r="B2045" s="8"/>
    </row>
    <row r="2046" spans="2:2" ht="15.75" customHeight="1" x14ac:dyDescent="0.2">
      <c r="B2046" s="8"/>
    </row>
    <row r="2047" spans="2:2" ht="15.75" customHeight="1" x14ac:dyDescent="0.2">
      <c r="B2047" s="8"/>
    </row>
    <row r="2048" spans="2:2" ht="15.75" customHeight="1" x14ac:dyDescent="0.2">
      <c r="B2048" s="8"/>
    </row>
    <row r="2049" spans="2:2" ht="15.75" customHeight="1" x14ac:dyDescent="0.2">
      <c r="B2049" s="8"/>
    </row>
    <row r="2050" spans="2:2" ht="15.75" customHeight="1" x14ac:dyDescent="0.2">
      <c r="B2050" s="8"/>
    </row>
    <row r="2051" spans="2:2" ht="15.75" customHeight="1" x14ac:dyDescent="0.2">
      <c r="B2051" s="8"/>
    </row>
    <row r="2052" spans="2:2" ht="15.75" customHeight="1" x14ac:dyDescent="0.2">
      <c r="B2052" s="8"/>
    </row>
    <row r="2053" spans="2:2" ht="15.75" customHeight="1" x14ac:dyDescent="0.2">
      <c r="B2053" s="8"/>
    </row>
    <row r="2054" spans="2:2" ht="15.75" customHeight="1" x14ac:dyDescent="0.2">
      <c r="B2054" s="8"/>
    </row>
    <row r="2055" spans="2:2" ht="15.75" customHeight="1" x14ac:dyDescent="0.2">
      <c r="B2055" s="8"/>
    </row>
    <row r="2056" spans="2:2" ht="15.75" customHeight="1" x14ac:dyDescent="0.2">
      <c r="B2056" s="8"/>
    </row>
    <row r="2057" spans="2:2" ht="15.75" customHeight="1" x14ac:dyDescent="0.2">
      <c r="B2057" s="8"/>
    </row>
    <row r="2058" spans="2:2" ht="15.75" customHeight="1" x14ac:dyDescent="0.2">
      <c r="B2058" s="8"/>
    </row>
    <row r="2059" spans="2:2" ht="15.75" customHeight="1" x14ac:dyDescent="0.2">
      <c r="B2059" s="8"/>
    </row>
    <row r="2060" spans="2:2" ht="15.75" customHeight="1" x14ac:dyDescent="0.2">
      <c r="B2060" s="8"/>
    </row>
    <row r="2061" spans="2:2" ht="15.75" customHeight="1" x14ac:dyDescent="0.2">
      <c r="B2061" s="8"/>
    </row>
    <row r="2062" spans="2:2" ht="15.75" customHeight="1" x14ac:dyDescent="0.2">
      <c r="B2062" s="8"/>
    </row>
    <row r="2063" spans="2:2" ht="15.75" customHeight="1" x14ac:dyDescent="0.2">
      <c r="B2063" s="8"/>
    </row>
    <row r="2064" spans="2:2" ht="15.75" customHeight="1" x14ac:dyDescent="0.2">
      <c r="B2064" s="8"/>
    </row>
    <row r="2065" spans="2:2" ht="15.75" customHeight="1" x14ac:dyDescent="0.2">
      <c r="B2065" s="8"/>
    </row>
    <row r="2066" spans="2:2" ht="15.75" customHeight="1" x14ac:dyDescent="0.2">
      <c r="B2066" s="8"/>
    </row>
    <row r="2067" spans="2:2" ht="15.75" customHeight="1" x14ac:dyDescent="0.2">
      <c r="B2067" s="8"/>
    </row>
    <row r="2068" spans="2:2" ht="15.75" customHeight="1" x14ac:dyDescent="0.2">
      <c r="B2068" s="8"/>
    </row>
    <row r="2069" spans="2:2" ht="15.75" customHeight="1" x14ac:dyDescent="0.2">
      <c r="B2069" s="8"/>
    </row>
    <row r="2070" spans="2:2" ht="15.75" customHeight="1" x14ac:dyDescent="0.2">
      <c r="B2070" s="8"/>
    </row>
    <row r="2071" spans="2:2" ht="15.75" customHeight="1" x14ac:dyDescent="0.2">
      <c r="B2071" s="8"/>
    </row>
    <row r="2072" spans="2:2" ht="15.75" customHeight="1" x14ac:dyDescent="0.2">
      <c r="B2072" s="8"/>
    </row>
    <row r="2073" spans="2:2" ht="15.75" customHeight="1" x14ac:dyDescent="0.2">
      <c r="B2073" s="8"/>
    </row>
    <row r="2074" spans="2:2" ht="15.75" customHeight="1" x14ac:dyDescent="0.2">
      <c r="B2074" s="8"/>
    </row>
    <row r="2075" spans="2:2" ht="15.75" customHeight="1" x14ac:dyDescent="0.2">
      <c r="B2075" s="8"/>
    </row>
    <row r="2076" spans="2:2" ht="15.75" customHeight="1" x14ac:dyDescent="0.2">
      <c r="B2076" s="8"/>
    </row>
    <row r="2077" spans="2:2" ht="15.75" customHeight="1" x14ac:dyDescent="0.2">
      <c r="B2077" s="8"/>
    </row>
    <row r="2078" spans="2:2" ht="15.75" customHeight="1" x14ac:dyDescent="0.2">
      <c r="B2078" s="8"/>
    </row>
    <row r="2079" spans="2:2" ht="15.75" customHeight="1" x14ac:dyDescent="0.2">
      <c r="B2079" s="8"/>
    </row>
    <row r="2080" spans="2:2" ht="15.75" customHeight="1" x14ac:dyDescent="0.2">
      <c r="B2080" s="8"/>
    </row>
    <row r="2081" spans="2:2" ht="15.75" customHeight="1" x14ac:dyDescent="0.2">
      <c r="B2081" s="8"/>
    </row>
    <row r="2082" spans="2:2" ht="15.75" customHeight="1" x14ac:dyDescent="0.2">
      <c r="B2082" s="8"/>
    </row>
    <row r="2083" spans="2:2" ht="15.75" customHeight="1" x14ac:dyDescent="0.2">
      <c r="B2083" s="8"/>
    </row>
    <row r="2084" spans="2:2" ht="15.75" customHeight="1" x14ac:dyDescent="0.2">
      <c r="B2084" s="8"/>
    </row>
    <row r="2085" spans="2:2" ht="15.75" customHeight="1" x14ac:dyDescent="0.2">
      <c r="B2085" s="8"/>
    </row>
    <row r="2086" spans="2:2" ht="15.75" customHeight="1" x14ac:dyDescent="0.2">
      <c r="B2086" s="8"/>
    </row>
    <row r="2087" spans="2:2" ht="15.75" customHeight="1" x14ac:dyDescent="0.2">
      <c r="B2087" s="8"/>
    </row>
    <row r="2088" spans="2:2" ht="15.75" customHeight="1" x14ac:dyDescent="0.2">
      <c r="B2088" s="8"/>
    </row>
    <row r="2089" spans="2:2" ht="15.75" customHeight="1" x14ac:dyDescent="0.2">
      <c r="B2089" s="8"/>
    </row>
    <row r="2090" spans="2:2" ht="15.75" customHeight="1" x14ac:dyDescent="0.2">
      <c r="B2090" s="8"/>
    </row>
    <row r="2091" spans="2:2" ht="15.75" customHeight="1" x14ac:dyDescent="0.2">
      <c r="B2091" s="8"/>
    </row>
    <row r="2092" spans="2:2" ht="15.75" customHeight="1" x14ac:dyDescent="0.2">
      <c r="B2092" s="8"/>
    </row>
    <row r="2093" spans="2:2" ht="15.75" customHeight="1" x14ac:dyDescent="0.2">
      <c r="B2093" s="8"/>
    </row>
    <row r="2094" spans="2:2" ht="15.75" customHeight="1" x14ac:dyDescent="0.2">
      <c r="B2094" s="8"/>
    </row>
    <row r="2095" spans="2:2" ht="15.75" customHeight="1" x14ac:dyDescent="0.2">
      <c r="B2095" s="8"/>
    </row>
    <row r="2096" spans="2:2" ht="15.75" customHeight="1" x14ac:dyDescent="0.2">
      <c r="B2096" s="8"/>
    </row>
    <row r="2097" spans="2:2" ht="15.75" customHeight="1" x14ac:dyDescent="0.2">
      <c r="B2097" s="8"/>
    </row>
    <row r="2098" spans="2:2" ht="15.75" customHeight="1" x14ac:dyDescent="0.2">
      <c r="B2098" s="8"/>
    </row>
    <row r="2099" spans="2:2" ht="15.75" customHeight="1" x14ac:dyDescent="0.2">
      <c r="B2099" s="8"/>
    </row>
    <row r="2100" spans="2:2" ht="15.75" customHeight="1" x14ac:dyDescent="0.2">
      <c r="B2100" s="8"/>
    </row>
    <row r="2101" spans="2:2" ht="15.75" customHeight="1" x14ac:dyDescent="0.2">
      <c r="B2101" s="8"/>
    </row>
    <row r="2102" spans="2:2" ht="15.75" customHeight="1" x14ac:dyDescent="0.2">
      <c r="B2102" s="8"/>
    </row>
    <row r="2103" spans="2:2" ht="15.75" customHeight="1" x14ac:dyDescent="0.2">
      <c r="B2103" s="8"/>
    </row>
    <row r="2104" spans="2:2" ht="15.75" customHeight="1" x14ac:dyDescent="0.2">
      <c r="B2104" s="8"/>
    </row>
    <row r="2105" spans="2:2" ht="15.75" customHeight="1" x14ac:dyDescent="0.2">
      <c r="B2105" s="8"/>
    </row>
    <row r="2106" spans="2:2" ht="15.75" customHeight="1" x14ac:dyDescent="0.2">
      <c r="B2106" s="8"/>
    </row>
    <row r="2107" spans="2:2" ht="15.75" customHeight="1" x14ac:dyDescent="0.2">
      <c r="B2107" s="8"/>
    </row>
    <row r="2108" spans="2:2" ht="15.75" customHeight="1" x14ac:dyDescent="0.2">
      <c r="B2108" s="8"/>
    </row>
    <row r="2109" spans="2:2" ht="15.75" customHeight="1" x14ac:dyDescent="0.2">
      <c r="B2109" s="8"/>
    </row>
    <row r="2110" spans="2:2" ht="15.75" customHeight="1" x14ac:dyDescent="0.2">
      <c r="B2110" s="8"/>
    </row>
    <row r="2111" spans="2:2" ht="15.75" customHeight="1" x14ac:dyDescent="0.2">
      <c r="B2111" s="8"/>
    </row>
    <row r="2112" spans="2:2" ht="15.75" customHeight="1" x14ac:dyDescent="0.2">
      <c r="B2112" s="8"/>
    </row>
    <row r="2113" spans="2:2" ht="15.75" customHeight="1" x14ac:dyDescent="0.2">
      <c r="B2113" s="8"/>
    </row>
    <row r="2114" spans="2:2" ht="15.75" customHeight="1" x14ac:dyDescent="0.2">
      <c r="B2114" s="8"/>
    </row>
    <row r="2115" spans="2:2" ht="15.75" customHeight="1" x14ac:dyDescent="0.2">
      <c r="B2115" s="8"/>
    </row>
    <row r="2116" spans="2:2" ht="15.75" customHeight="1" x14ac:dyDescent="0.2">
      <c r="B2116" s="8"/>
    </row>
    <row r="2117" spans="2:2" ht="15.75" customHeight="1" x14ac:dyDescent="0.2">
      <c r="B2117" s="8"/>
    </row>
    <row r="2118" spans="2:2" ht="15.75" customHeight="1" x14ac:dyDescent="0.2">
      <c r="B2118" s="8"/>
    </row>
    <row r="2119" spans="2:2" ht="15.75" customHeight="1" x14ac:dyDescent="0.2">
      <c r="B2119" s="8"/>
    </row>
    <row r="2120" spans="2:2" ht="15.75" customHeight="1" x14ac:dyDescent="0.2">
      <c r="B2120" s="8"/>
    </row>
    <row r="2121" spans="2:2" ht="15.75" customHeight="1" x14ac:dyDescent="0.2">
      <c r="B2121" s="8"/>
    </row>
    <row r="2122" spans="2:2" ht="15.75" customHeight="1" x14ac:dyDescent="0.2">
      <c r="B2122" s="8"/>
    </row>
    <row r="2123" spans="2:2" ht="15.75" customHeight="1" x14ac:dyDescent="0.2">
      <c r="B2123" s="8"/>
    </row>
    <row r="2124" spans="2:2" ht="15.75" customHeight="1" x14ac:dyDescent="0.2">
      <c r="B2124" s="8"/>
    </row>
    <row r="2125" spans="2:2" ht="15.75" customHeight="1" x14ac:dyDescent="0.2">
      <c r="B2125" s="8"/>
    </row>
    <row r="2126" spans="2:2" ht="15.75" customHeight="1" x14ac:dyDescent="0.2">
      <c r="B2126" s="8"/>
    </row>
    <row r="2127" spans="2:2" ht="15.75" customHeight="1" x14ac:dyDescent="0.2">
      <c r="B2127" s="8"/>
    </row>
    <row r="2128" spans="2:2" ht="15.75" customHeight="1" x14ac:dyDescent="0.2">
      <c r="B2128" s="8"/>
    </row>
    <row r="2129" spans="2:2" ht="15.75" customHeight="1" x14ac:dyDescent="0.2">
      <c r="B2129" s="8"/>
    </row>
    <row r="2130" spans="2:2" ht="15.75" customHeight="1" x14ac:dyDescent="0.2">
      <c r="B2130" s="8"/>
    </row>
    <row r="2131" spans="2:2" ht="15.75" customHeight="1" x14ac:dyDescent="0.2">
      <c r="B2131" s="8"/>
    </row>
    <row r="2132" spans="2:2" ht="15.75" customHeight="1" x14ac:dyDescent="0.2">
      <c r="B2132" s="8"/>
    </row>
    <row r="2133" spans="2:2" ht="15.75" customHeight="1" x14ac:dyDescent="0.2">
      <c r="B2133" s="8"/>
    </row>
    <row r="2134" spans="2:2" ht="15.75" customHeight="1" x14ac:dyDescent="0.2">
      <c r="B2134" s="8"/>
    </row>
    <row r="2135" spans="2:2" ht="15.75" customHeight="1" x14ac:dyDescent="0.2">
      <c r="B2135" s="8"/>
    </row>
    <row r="2136" spans="2:2" ht="15.75" customHeight="1" x14ac:dyDescent="0.2">
      <c r="B2136" s="8"/>
    </row>
    <row r="2137" spans="2:2" ht="15.75" customHeight="1" x14ac:dyDescent="0.2">
      <c r="B2137" s="8"/>
    </row>
    <row r="2138" spans="2:2" ht="15.75" customHeight="1" x14ac:dyDescent="0.2">
      <c r="B2138" s="8"/>
    </row>
    <row r="2139" spans="2:2" ht="15.75" customHeight="1" x14ac:dyDescent="0.2">
      <c r="B2139" s="8"/>
    </row>
    <row r="2140" spans="2:2" ht="15.75" customHeight="1" x14ac:dyDescent="0.2">
      <c r="B2140" s="8"/>
    </row>
    <row r="2141" spans="2:2" ht="15.75" customHeight="1" x14ac:dyDescent="0.2">
      <c r="B2141" s="8"/>
    </row>
    <row r="2142" spans="2:2" ht="15.75" customHeight="1" x14ac:dyDescent="0.2">
      <c r="B2142" s="8"/>
    </row>
    <row r="2143" spans="2:2" ht="15.75" customHeight="1" x14ac:dyDescent="0.2">
      <c r="B2143" s="8"/>
    </row>
    <row r="2144" spans="2:2" ht="15.75" customHeight="1" x14ac:dyDescent="0.2">
      <c r="B2144" s="8"/>
    </row>
    <row r="2145" spans="2:2" ht="15.75" customHeight="1" x14ac:dyDescent="0.2">
      <c r="B2145" s="8"/>
    </row>
    <row r="2146" spans="2:2" ht="15.75" customHeight="1" x14ac:dyDescent="0.2">
      <c r="B2146" s="8"/>
    </row>
    <row r="2147" spans="2:2" ht="15.75" customHeight="1" x14ac:dyDescent="0.2">
      <c r="B2147" s="8"/>
    </row>
    <row r="2148" spans="2:2" ht="15.75" customHeight="1" x14ac:dyDescent="0.2">
      <c r="B2148" s="8"/>
    </row>
    <row r="2149" spans="2:2" ht="15.75" customHeight="1" x14ac:dyDescent="0.2">
      <c r="B2149" s="8"/>
    </row>
    <row r="2150" spans="2:2" ht="15.75" customHeight="1" x14ac:dyDescent="0.2">
      <c r="B2150" s="8"/>
    </row>
    <row r="2151" spans="2:2" ht="15.75" customHeight="1" x14ac:dyDescent="0.2">
      <c r="B2151" s="8"/>
    </row>
    <row r="2152" spans="2:2" ht="15.75" customHeight="1" x14ac:dyDescent="0.2">
      <c r="B2152" s="8"/>
    </row>
    <row r="2153" spans="2:2" ht="15.75" customHeight="1" x14ac:dyDescent="0.2">
      <c r="B2153" s="8"/>
    </row>
    <row r="2154" spans="2:2" ht="15.75" customHeight="1" x14ac:dyDescent="0.2">
      <c r="B2154" s="8"/>
    </row>
    <row r="2155" spans="2:2" ht="15.75" customHeight="1" x14ac:dyDescent="0.2">
      <c r="B2155" s="8"/>
    </row>
    <row r="2156" spans="2:2" ht="15.75" customHeight="1" x14ac:dyDescent="0.2">
      <c r="B2156" s="8"/>
    </row>
    <row r="2157" spans="2:2" ht="15.75" customHeight="1" x14ac:dyDescent="0.2">
      <c r="B2157" s="8"/>
    </row>
    <row r="2158" spans="2:2" ht="15.75" customHeight="1" x14ac:dyDescent="0.2">
      <c r="B2158" s="8"/>
    </row>
    <row r="2159" spans="2:2" ht="15.75" customHeight="1" x14ac:dyDescent="0.2">
      <c r="B2159" s="8"/>
    </row>
    <row r="2160" spans="2:2" ht="15.75" customHeight="1" x14ac:dyDescent="0.2">
      <c r="B2160" s="8"/>
    </row>
    <row r="2161" spans="2:2" ht="15.75" customHeight="1" x14ac:dyDescent="0.2">
      <c r="B2161" s="8"/>
    </row>
    <row r="2162" spans="2:2" ht="15.75" customHeight="1" x14ac:dyDescent="0.2">
      <c r="B2162" s="8"/>
    </row>
    <row r="2163" spans="2:2" ht="15.75" customHeight="1" x14ac:dyDescent="0.2">
      <c r="B2163" s="8"/>
    </row>
    <row r="2164" spans="2:2" ht="15.75" customHeight="1" x14ac:dyDescent="0.2">
      <c r="B2164" s="8"/>
    </row>
    <row r="2165" spans="2:2" ht="15.75" customHeight="1" x14ac:dyDescent="0.2">
      <c r="B2165" s="8"/>
    </row>
    <row r="2166" spans="2:2" ht="15.75" customHeight="1" x14ac:dyDescent="0.2">
      <c r="B2166" s="8"/>
    </row>
    <row r="2167" spans="2:2" ht="15.75" customHeight="1" x14ac:dyDescent="0.2">
      <c r="B2167" s="8"/>
    </row>
    <row r="2168" spans="2:2" ht="15.75" customHeight="1" x14ac:dyDescent="0.2">
      <c r="B2168" s="8"/>
    </row>
    <row r="2169" spans="2:2" ht="15.75" customHeight="1" x14ac:dyDescent="0.2">
      <c r="B2169" s="8"/>
    </row>
    <row r="2170" spans="2:2" ht="15.75" customHeight="1" x14ac:dyDescent="0.2">
      <c r="B2170" s="8"/>
    </row>
    <row r="2171" spans="2:2" ht="15.75" customHeight="1" x14ac:dyDescent="0.2">
      <c r="B2171" s="8"/>
    </row>
    <row r="2172" spans="2:2" ht="15.75" customHeight="1" x14ac:dyDescent="0.2">
      <c r="B2172" s="8"/>
    </row>
    <row r="2173" spans="2:2" ht="15.75" customHeight="1" x14ac:dyDescent="0.2">
      <c r="B2173" s="8"/>
    </row>
    <row r="2174" spans="2:2" ht="15.75" customHeight="1" x14ac:dyDescent="0.2">
      <c r="B2174" s="8"/>
    </row>
    <row r="2175" spans="2:2" ht="15.75" customHeight="1" x14ac:dyDescent="0.2">
      <c r="B2175" s="8"/>
    </row>
    <row r="2176" spans="2:2" ht="15.75" customHeight="1" x14ac:dyDescent="0.2">
      <c r="B2176" s="8"/>
    </row>
    <row r="2177" spans="2:2" ht="15.75" customHeight="1" x14ac:dyDescent="0.2">
      <c r="B2177" s="8"/>
    </row>
    <row r="2178" spans="2:2" ht="15.75" customHeight="1" x14ac:dyDescent="0.2">
      <c r="B2178" s="8"/>
    </row>
    <row r="2179" spans="2:2" ht="15.75" customHeight="1" x14ac:dyDescent="0.2">
      <c r="B2179" s="8"/>
    </row>
    <row r="2180" spans="2:2" ht="15.75" customHeight="1" x14ac:dyDescent="0.2">
      <c r="B2180" s="8"/>
    </row>
    <row r="2181" spans="2:2" ht="15.75" customHeight="1" x14ac:dyDescent="0.2">
      <c r="B2181" s="8"/>
    </row>
    <row r="2182" spans="2:2" ht="15.75" customHeight="1" x14ac:dyDescent="0.2">
      <c r="B2182" s="8"/>
    </row>
    <row r="2183" spans="2:2" ht="15.75" customHeight="1" x14ac:dyDescent="0.2">
      <c r="B2183" s="8"/>
    </row>
    <row r="2184" spans="2:2" ht="15.75" customHeight="1" x14ac:dyDescent="0.2">
      <c r="B2184" s="8"/>
    </row>
    <row r="2185" spans="2:2" ht="15.75" customHeight="1" x14ac:dyDescent="0.2">
      <c r="B2185" s="8"/>
    </row>
    <row r="2186" spans="2:2" ht="15.75" customHeight="1" x14ac:dyDescent="0.2">
      <c r="B2186" s="8"/>
    </row>
    <row r="2187" spans="2:2" ht="15.75" customHeight="1" x14ac:dyDescent="0.2">
      <c r="B2187" s="8"/>
    </row>
    <row r="2188" spans="2:2" ht="15.75" customHeight="1" x14ac:dyDescent="0.2">
      <c r="B2188" s="8"/>
    </row>
    <row r="2189" spans="2:2" ht="15.75" customHeight="1" x14ac:dyDescent="0.2">
      <c r="B2189" s="8"/>
    </row>
    <row r="2190" spans="2:2" ht="15.75" customHeight="1" x14ac:dyDescent="0.2">
      <c r="B2190" s="8"/>
    </row>
    <row r="2191" spans="2:2" ht="15.75" customHeight="1" x14ac:dyDescent="0.2">
      <c r="B2191" s="8"/>
    </row>
    <row r="2192" spans="2:2" ht="15.75" customHeight="1" x14ac:dyDescent="0.2">
      <c r="B2192" s="8"/>
    </row>
    <row r="2193" spans="2:2" ht="15.75" customHeight="1" x14ac:dyDescent="0.2">
      <c r="B2193" s="8"/>
    </row>
    <row r="2194" spans="2:2" ht="15.75" customHeight="1" x14ac:dyDescent="0.2">
      <c r="B2194" s="8"/>
    </row>
    <row r="2195" spans="2:2" ht="15.75" customHeight="1" x14ac:dyDescent="0.2">
      <c r="B2195" s="8"/>
    </row>
    <row r="2196" spans="2:2" ht="15.75" customHeight="1" x14ac:dyDescent="0.2">
      <c r="B2196" s="8"/>
    </row>
    <row r="2197" spans="2:2" ht="15.75" customHeight="1" x14ac:dyDescent="0.2">
      <c r="B2197" s="8"/>
    </row>
    <row r="2198" spans="2:2" ht="15.75" customHeight="1" x14ac:dyDescent="0.2">
      <c r="B2198" s="8"/>
    </row>
    <row r="2199" spans="2:2" ht="15.75" customHeight="1" x14ac:dyDescent="0.2">
      <c r="B2199" s="8"/>
    </row>
    <row r="2200" spans="2:2" ht="15.75" customHeight="1" x14ac:dyDescent="0.2">
      <c r="B2200" s="8"/>
    </row>
    <row r="2201" spans="2:2" ht="15.75" customHeight="1" x14ac:dyDescent="0.2">
      <c r="B2201" s="8"/>
    </row>
    <row r="2202" spans="2:2" ht="15.75" customHeight="1" x14ac:dyDescent="0.2">
      <c r="B2202" s="8"/>
    </row>
    <row r="2203" spans="2:2" ht="15.75" customHeight="1" x14ac:dyDescent="0.2">
      <c r="B2203" s="8"/>
    </row>
    <row r="2204" spans="2:2" ht="15.75" customHeight="1" x14ac:dyDescent="0.2">
      <c r="B2204" s="8"/>
    </row>
    <row r="2205" spans="2:2" ht="15.75" customHeight="1" x14ac:dyDescent="0.2">
      <c r="B2205" s="8"/>
    </row>
    <row r="2206" spans="2:2" ht="15.75" customHeight="1" x14ac:dyDescent="0.2">
      <c r="B2206" s="8"/>
    </row>
    <row r="2207" spans="2:2" ht="15.75" customHeight="1" x14ac:dyDescent="0.2">
      <c r="B2207" s="8"/>
    </row>
    <row r="2208" spans="2:2" ht="15.75" customHeight="1" x14ac:dyDescent="0.2">
      <c r="B2208" s="8"/>
    </row>
    <row r="2209" spans="2:2" ht="15.75" customHeight="1" x14ac:dyDescent="0.2">
      <c r="B2209" s="8"/>
    </row>
    <row r="2210" spans="2:2" ht="15.75" customHeight="1" x14ac:dyDescent="0.2">
      <c r="B2210" s="8"/>
    </row>
    <row r="2211" spans="2:2" ht="15.75" customHeight="1" x14ac:dyDescent="0.2">
      <c r="B2211" s="8"/>
    </row>
    <row r="2212" spans="2:2" ht="15.75" customHeight="1" x14ac:dyDescent="0.2">
      <c r="B2212" s="8"/>
    </row>
    <row r="2213" spans="2:2" ht="15.75" customHeight="1" x14ac:dyDescent="0.2">
      <c r="B2213" s="8"/>
    </row>
    <row r="2214" spans="2:2" ht="15.75" customHeight="1" x14ac:dyDescent="0.2">
      <c r="B2214" s="8"/>
    </row>
    <row r="2215" spans="2:2" ht="15.75" customHeight="1" x14ac:dyDescent="0.2">
      <c r="B2215" s="8"/>
    </row>
    <row r="2216" spans="2:2" ht="15.75" customHeight="1" x14ac:dyDescent="0.2">
      <c r="B2216" s="8"/>
    </row>
    <row r="2217" spans="2:2" ht="15.75" customHeight="1" x14ac:dyDescent="0.2">
      <c r="B2217" s="8"/>
    </row>
    <row r="2218" spans="2:2" ht="15.75" customHeight="1" x14ac:dyDescent="0.2">
      <c r="B2218" s="8"/>
    </row>
    <row r="2219" spans="2:2" ht="15.75" customHeight="1" x14ac:dyDescent="0.2">
      <c r="B2219" s="8"/>
    </row>
    <row r="2220" spans="2:2" ht="15.75" customHeight="1" x14ac:dyDescent="0.2">
      <c r="B2220" s="8"/>
    </row>
    <row r="2221" spans="2:2" ht="15.75" customHeight="1" x14ac:dyDescent="0.2">
      <c r="B2221" s="8"/>
    </row>
    <row r="2222" spans="2:2" ht="15.75" customHeight="1" x14ac:dyDescent="0.2">
      <c r="B2222" s="8"/>
    </row>
    <row r="2223" spans="2:2" ht="15.75" customHeight="1" x14ac:dyDescent="0.2">
      <c r="B2223" s="8"/>
    </row>
    <row r="2224" spans="2:2" ht="15.75" customHeight="1" x14ac:dyDescent="0.2">
      <c r="B2224" s="8"/>
    </row>
    <row r="2225" spans="2:2" ht="15.75" customHeight="1" x14ac:dyDescent="0.2">
      <c r="B2225" s="8"/>
    </row>
    <row r="2226" spans="2:2" ht="15.75" customHeight="1" x14ac:dyDescent="0.2">
      <c r="B2226" s="8"/>
    </row>
    <row r="2227" spans="2:2" ht="15.75" customHeight="1" x14ac:dyDescent="0.2">
      <c r="B2227" s="8"/>
    </row>
    <row r="2228" spans="2:2" ht="15.75" customHeight="1" x14ac:dyDescent="0.2">
      <c r="B2228" s="8"/>
    </row>
    <row r="2229" spans="2:2" ht="15.75" customHeight="1" x14ac:dyDescent="0.2">
      <c r="B2229" s="8"/>
    </row>
    <row r="2230" spans="2:2" ht="15.75" customHeight="1" x14ac:dyDescent="0.2">
      <c r="B2230" s="8"/>
    </row>
    <row r="2231" spans="2:2" ht="15.75" customHeight="1" x14ac:dyDescent="0.2">
      <c r="B2231" s="8"/>
    </row>
    <row r="2232" spans="2:2" ht="15.75" customHeight="1" x14ac:dyDescent="0.2">
      <c r="B2232" s="8"/>
    </row>
    <row r="2233" spans="2:2" ht="15.75" customHeight="1" x14ac:dyDescent="0.2">
      <c r="B2233" s="8"/>
    </row>
    <row r="2234" spans="2:2" ht="15.75" customHeight="1" x14ac:dyDescent="0.2">
      <c r="B2234" s="8"/>
    </row>
    <row r="2235" spans="2:2" ht="15.75" customHeight="1" x14ac:dyDescent="0.2">
      <c r="B2235" s="8"/>
    </row>
    <row r="2236" spans="2:2" ht="15.75" customHeight="1" x14ac:dyDescent="0.2">
      <c r="B2236" s="8"/>
    </row>
    <row r="2237" spans="2:2" ht="15.75" customHeight="1" x14ac:dyDescent="0.2">
      <c r="B2237" s="8"/>
    </row>
    <row r="2238" spans="2:2" ht="15.75" customHeight="1" x14ac:dyDescent="0.2">
      <c r="B2238" s="8"/>
    </row>
    <row r="2239" spans="2:2" ht="15.75" customHeight="1" x14ac:dyDescent="0.2">
      <c r="B2239" s="8"/>
    </row>
    <row r="2240" spans="2:2" ht="15.75" customHeight="1" x14ac:dyDescent="0.2">
      <c r="B2240" s="8"/>
    </row>
    <row r="2241" spans="2:2" ht="15.75" customHeight="1" x14ac:dyDescent="0.2">
      <c r="B2241" s="8"/>
    </row>
    <row r="2242" spans="2:2" ht="15.75" customHeight="1" x14ac:dyDescent="0.2">
      <c r="B2242" s="8"/>
    </row>
    <row r="2243" spans="2:2" ht="15.75" customHeight="1" x14ac:dyDescent="0.2">
      <c r="B2243" s="8"/>
    </row>
    <row r="2244" spans="2:2" ht="15.75" customHeight="1" x14ac:dyDescent="0.2">
      <c r="B2244" s="8"/>
    </row>
    <row r="2245" spans="2:2" ht="15.75" customHeight="1" x14ac:dyDescent="0.2">
      <c r="B2245" s="8"/>
    </row>
    <row r="2246" spans="2:2" ht="15.75" customHeight="1" x14ac:dyDescent="0.2">
      <c r="B2246" s="8"/>
    </row>
    <row r="2247" spans="2:2" ht="15.75" customHeight="1" x14ac:dyDescent="0.2">
      <c r="B2247" s="8"/>
    </row>
    <row r="2248" spans="2:2" ht="15.75" customHeight="1" x14ac:dyDescent="0.2">
      <c r="B2248" s="8"/>
    </row>
    <row r="2249" spans="2:2" ht="15.75" customHeight="1" x14ac:dyDescent="0.2">
      <c r="B2249" s="8"/>
    </row>
    <row r="2250" spans="2:2" ht="15.75" customHeight="1" x14ac:dyDescent="0.2">
      <c r="B2250" s="8"/>
    </row>
    <row r="2251" spans="2:2" ht="15.75" customHeight="1" x14ac:dyDescent="0.2">
      <c r="B2251" s="8"/>
    </row>
    <row r="2252" spans="2:2" ht="15.75" customHeight="1" x14ac:dyDescent="0.2">
      <c r="B2252" s="8"/>
    </row>
    <row r="2253" spans="2:2" ht="15.75" customHeight="1" x14ac:dyDescent="0.2">
      <c r="B2253" s="8"/>
    </row>
    <row r="2254" spans="2:2" ht="15.75" customHeight="1" x14ac:dyDescent="0.2">
      <c r="B2254" s="8"/>
    </row>
    <row r="2255" spans="2:2" ht="15.75" customHeight="1" x14ac:dyDescent="0.2">
      <c r="B2255" s="8"/>
    </row>
    <row r="2256" spans="2:2" ht="15.75" customHeight="1" x14ac:dyDescent="0.2">
      <c r="B2256" s="8"/>
    </row>
    <row r="2257" spans="2:2" ht="15.75" customHeight="1" x14ac:dyDescent="0.2">
      <c r="B2257" s="8"/>
    </row>
    <row r="2258" spans="2:2" ht="15.75" customHeight="1" x14ac:dyDescent="0.2">
      <c r="B2258" s="8"/>
    </row>
    <row r="2259" spans="2:2" ht="15.75" customHeight="1" x14ac:dyDescent="0.2">
      <c r="B2259" s="8"/>
    </row>
    <row r="2260" spans="2:2" ht="15.75" customHeight="1" x14ac:dyDescent="0.2">
      <c r="B2260" s="8"/>
    </row>
    <row r="2261" spans="2:2" ht="15.75" customHeight="1" x14ac:dyDescent="0.2">
      <c r="B2261" s="8"/>
    </row>
    <row r="2262" spans="2:2" ht="15.75" customHeight="1" x14ac:dyDescent="0.2">
      <c r="B2262" s="8"/>
    </row>
    <row r="2263" spans="2:2" ht="15.75" customHeight="1" x14ac:dyDescent="0.2">
      <c r="B2263" s="8"/>
    </row>
    <row r="2264" spans="2:2" ht="15.75" customHeight="1" x14ac:dyDescent="0.2">
      <c r="B2264" s="8"/>
    </row>
    <row r="2265" spans="2:2" ht="15.75" customHeight="1" x14ac:dyDescent="0.2">
      <c r="B2265" s="8"/>
    </row>
    <row r="2266" spans="2:2" ht="15.75" customHeight="1" x14ac:dyDescent="0.2">
      <c r="B2266" s="8"/>
    </row>
    <row r="2267" spans="2:2" ht="15.75" customHeight="1" x14ac:dyDescent="0.2">
      <c r="B2267" s="8"/>
    </row>
    <row r="2268" spans="2:2" ht="15.75" customHeight="1" x14ac:dyDescent="0.2">
      <c r="B2268" s="8"/>
    </row>
    <row r="2269" spans="2:2" ht="15.75" customHeight="1" x14ac:dyDescent="0.2">
      <c r="B2269" s="8"/>
    </row>
    <row r="2270" spans="2:2" ht="15.75" customHeight="1" x14ac:dyDescent="0.2">
      <c r="B2270" s="8"/>
    </row>
    <row r="2271" spans="2:2" ht="15.75" customHeight="1" x14ac:dyDescent="0.2">
      <c r="B2271" s="8"/>
    </row>
    <row r="2272" spans="2:2" ht="15.75" customHeight="1" x14ac:dyDescent="0.2">
      <c r="B2272" s="8"/>
    </row>
    <row r="2273" spans="2:2" ht="15.75" customHeight="1" x14ac:dyDescent="0.2">
      <c r="B2273" s="8"/>
    </row>
    <row r="2274" spans="2:2" ht="15.75" customHeight="1" x14ac:dyDescent="0.2">
      <c r="B2274" s="8"/>
    </row>
    <row r="2275" spans="2:2" ht="15.75" customHeight="1" x14ac:dyDescent="0.2">
      <c r="B2275" s="8"/>
    </row>
    <row r="2276" spans="2:2" ht="15.75" customHeight="1" x14ac:dyDescent="0.2">
      <c r="B2276" s="8"/>
    </row>
    <row r="2277" spans="2:2" ht="15.75" customHeight="1" x14ac:dyDescent="0.2">
      <c r="B2277" s="8"/>
    </row>
    <row r="2278" spans="2:2" ht="15.75" customHeight="1" x14ac:dyDescent="0.2">
      <c r="B2278" s="8"/>
    </row>
    <row r="2279" spans="2:2" ht="15.75" customHeight="1" x14ac:dyDescent="0.2">
      <c r="B2279" s="8"/>
    </row>
    <row r="2280" spans="2:2" ht="15.75" customHeight="1" x14ac:dyDescent="0.2">
      <c r="B2280" s="8"/>
    </row>
    <row r="2281" spans="2:2" ht="15.75" customHeight="1" x14ac:dyDescent="0.2">
      <c r="B2281" s="8"/>
    </row>
    <row r="2282" spans="2:2" ht="15.75" customHeight="1" x14ac:dyDescent="0.2">
      <c r="B2282" s="8"/>
    </row>
    <row r="2283" spans="2:2" ht="15.75" customHeight="1" x14ac:dyDescent="0.2">
      <c r="B2283" s="8"/>
    </row>
    <row r="2284" spans="2:2" ht="15.75" customHeight="1" x14ac:dyDescent="0.2">
      <c r="B2284" s="8"/>
    </row>
    <row r="2285" spans="2:2" ht="15.75" customHeight="1" x14ac:dyDescent="0.2">
      <c r="B2285" s="8"/>
    </row>
    <row r="2286" spans="2:2" ht="15.75" customHeight="1" x14ac:dyDescent="0.2">
      <c r="B2286" s="8"/>
    </row>
    <row r="2287" spans="2:2" ht="15.75" customHeight="1" x14ac:dyDescent="0.2">
      <c r="B2287" s="8"/>
    </row>
    <row r="2288" spans="2:2" ht="15.75" customHeight="1" x14ac:dyDescent="0.2">
      <c r="B2288" s="8"/>
    </row>
    <row r="2289" spans="2:2" ht="15.75" customHeight="1" x14ac:dyDescent="0.2">
      <c r="B2289" s="8"/>
    </row>
    <row r="2290" spans="2:2" ht="15.75" customHeight="1" x14ac:dyDescent="0.2">
      <c r="B2290" s="8"/>
    </row>
    <row r="2291" spans="2:2" ht="15.75" customHeight="1" x14ac:dyDescent="0.2">
      <c r="B2291" s="8"/>
    </row>
    <row r="2292" spans="2:2" ht="15.75" customHeight="1" x14ac:dyDescent="0.2">
      <c r="B2292" s="8"/>
    </row>
    <row r="2293" spans="2:2" ht="15.75" customHeight="1" x14ac:dyDescent="0.2">
      <c r="B2293" s="8"/>
    </row>
    <row r="2294" spans="2:2" ht="15.75" customHeight="1" x14ac:dyDescent="0.2">
      <c r="B2294" s="8"/>
    </row>
    <row r="2295" spans="2:2" ht="15.75" customHeight="1" x14ac:dyDescent="0.2">
      <c r="B2295" s="8"/>
    </row>
    <row r="2296" spans="2:2" ht="15.75" customHeight="1" x14ac:dyDescent="0.2">
      <c r="B2296" s="8"/>
    </row>
    <row r="2297" spans="2:2" ht="15.75" customHeight="1" x14ac:dyDescent="0.2">
      <c r="B2297" s="8"/>
    </row>
    <row r="2298" spans="2:2" ht="15.75" customHeight="1" x14ac:dyDescent="0.2">
      <c r="B2298" s="8"/>
    </row>
    <row r="2299" spans="2:2" ht="15.75" customHeight="1" x14ac:dyDescent="0.2">
      <c r="B2299" s="8"/>
    </row>
    <row r="2300" spans="2:2" ht="15.75" customHeight="1" x14ac:dyDescent="0.2">
      <c r="B2300" s="8"/>
    </row>
    <row r="2301" spans="2:2" ht="15.75" customHeight="1" x14ac:dyDescent="0.2">
      <c r="B2301" s="8"/>
    </row>
    <row r="2302" spans="2:2" ht="15.75" customHeight="1" x14ac:dyDescent="0.2">
      <c r="B2302" s="8"/>
    </row>
    <row r="2303" spans="2:2" ht="15.75" customHeight="1" x14ac:dyDescent="0.2">
      <c r="B2303" s="8"/>
    </row>
    <row r="2304" spans="2:2" ht="15.75" customHeight="1" x14ac:dyDescent="0.2">
      <c r="B2304" s="8"/>
    </row>
    <row r="2305" spans="2:2" ht="15.75" customHeight="1" x14ac:dyDescent="0.2">
      <c r="B2305" s="8"/>
    </row>
    <row r="2306" spans="2:2" ht="15.75" customHeight="1" x14ac:dyDescent="0.2">
      <c r="B2306" s="8"/>
    </row>
    <row r="2307" spans="2:2" ht="15.75" customHeight="1" x14ac:dyDescent="0.2">
      <c r="B2307" s="8"/>
    </row>
    <row r="2308" spans="2:2" ht="15.75" customHeight="1" x14ac:dyDescent="0.2">
      <c r="B2308" s="8"/>
    </row>
    <row r="2309" spans="2:2" ht="15.75" customHeight="1" x14ac:dyDescent="0.2">
      <c r="B2309" s="8"/>
    </row>
    <row r="2310" spans="2:2" ht="15.75" customHeight="1" x14ac:dyDescent="0.2">
      <c r="B2310" s="8"/>
    </row>
    <row r="2311" spans="2:2" ht="15.75" customHeight="1" x14ac:dyDescent="0.2">
      <c r="B2311" s="8"/>
    </row>
    <row r="2312" spans="2:2" ht="15.75" customHeight="1" x14ac:dyDescent="0.2">
      <c r="B2312" s="8"/>
    </row>
    <row r="2313" spans="2:2" ht="15.75" customHeight="1" x14ac:dyDescent="0.2">
      <c r="B2313" s="8"/>
    </row>
    <row r="2314" spans="2:2" ht="15.75" customHeight="1" x14ac:dyDescent="0.2">
      <c r="B2314" s="8"/>
    </row>
    <row r="2315" spans="2:2" ht="15.75" customHeight="1" x14ac:dyDescent="0.2">
      <c r="B2315" s="8"/>
    </row>
    <row r="2316" spans="2:2" ht="15.75" customHeight="1" x14ac:dyDescent="0.2">
      <c r="B2316" s="8"/>
    </row>
    <row r="2317" spans="2:2" ht="15.75" customHeight="1" x14ac:dyDescent="0.2">
      <c r="B2317" s="8"/>
    </row>
    <row r="2318" spans="2:2" ht="15.75" customHeight="1" x14ac:dyDescent="0.2">
      <c r="B2318" s="8"/>
    </row>
    <row r="2319" spans="2:2" ht="15.75" customHeight="1" x14ac:dyDescent="0.2">
      <c r="B2319" s="8"/>
    </row>
    <row r="2320" spans="2:2" ht="15.75" customHeight="1" x14ac:dyDescent="0.2">
      <c r="B2320" s="8"/>
    </row>
    <row r="2321" spans="2:2" ht="15.75" customHeight="1" x14ac:dyDescent="0.2">
      <c r="B2321" s="8"/>
    </row>
    <row r="2322" spans="2:2" ht="15.75" customHeight="1" x14ac:dyDescent="0.2">
      <c r="B2322" s="8"/>
    </row>
    <row r="2323" spans="2:2" ht="15.75" customHeight="1" x14ac:dyDescent="0.2">
      <c r="B2323" s="8"/>
    </row>
    <row r="2324" spans="2:2" ht="15.75" customHeight="1" x14ac:dyDescent="0.2">
      <c r="B2324" s="8"/>
    </row>
    <row r="2325" spans="2:2" ht="15.75" customHeight="1" x14ac:dyDescent="0.2">
      <c r="B2325" s="8"/>
    </row>
    <row r="2326" spans="2:2" ht="15.75" customHeight="1" x14ac:dyDescent="0.2">
      <c r="B2326" s="8"/>
    </row>
    <row r="2327" spans="2:2" ht="15.75" customHeight="1" x14ac:dyDescent="0.2">
      <c r="B2327" s="8"/>
    </row>
    <row r="2328" spans="2:2" ht="15.75" customHeight="1" x14ac:dyDescent="0.2">
      <c r="B2328" s="8"/>
    </row>
    <row r="2329" spans="2:2" ht="15.75" customHeight="1" x14ac:dyDescent="0.2">
      <c r="B2329" s="8"/>
    </row>
    <row r="2330" spans="2:2" ht="15.75" customHeight="1" x14ac:dyDescent="0.2">
      <c r="B2330" s="8"/>
    </row>
    <row r="2331" spans="2:2" ht="15.75" customHeight="1" x14ac:dyDescent="0.2">
      <c r="B2331" s="8"/>
    </row>
    <row r="2332" spans="2:2" ht="15.75" customHeight="1" x14ac:dyDescent="0.2">
      <c r="B2332" s="8"/>
    </row>
    <row r="2333" spans="2:2" ht="15.75" customHeight="1" x14ac:dyDescent="0.2">
      <c r="B2333" s="8"/>
    </row>
    <row r="2334" spans="2:2" ht="15.75" customHeight="1" x14ac:dyDescent="0.2">
      <c r="B2334" s="8"/>
    </row>
    <row r="2335" spans="2:2" ht="15.75" customHeight="1" x14ac:dyDescent="0.2">
      <c r="B2335" s="8"/>
    </row>
    <row r="2336" spans="2:2" ht="15.75" customHeight="1" x14ac:dyDescent="0.2">
      <c r="B2336" s="8"/>
    </row>
    <row r="2337" spans="2:2" ht="15.75" customHeight="1" x14ac:dyDescent="0.2">
      <c r="B2337" s="8"/>
    </row>
    <row r="2338" spans="2:2" ht="15.75" customHeight="1" x14ac:dyDescent="0.2">
      <c r="B2338" s="8"/>
    </row>
    <row r="2339" spans="2:2" ht="15.75" customHeight="1" x14ac:dyDescent="0.2">
      <c r="B2339" s="8"/>
    </row>
    <row r="2340" spans="2:2" ht="15.75" customHeight="1" x14ac:dyDescent="0.2">
      <c r="B2340" s="8"/>
    </row>
    <row r="2341" spans="2:2" ht="15.75" customHeight="1" x14ac:dyDescent="0.2">
      <c r="B2341" s="8"/>
    </row>
    <row r="2342" spans="2:2" ht="15.75" customHeight="1" x14ac:dyDescent="0.2">
      <c r="B2342" s="8"/>
    </row>
    <row r="2343" spans="2:2" ht="15.75" customHeight="1" x14ac:dyDescent="0.2">
      <c r="B2343" s="8"/>
    </row>
    <row r="2344" spans="2:2" ht="15.75" customHeight="1" x14ac:dyDescent="0.2">
      <c r="B2344" s="8"/>
    </row>
    <row r="2345" spans="2:2" ht="15.75" customHeight="1" x14ac:dyDescent="0.2">
      <c r="B2345" s="8"/>
    </row>
    <row r="2346" spans="2:2" ht="15.75" customHeight="1" x14ac:dyDescent="0.2">
      <c r="B2346" s="8"/>
    </row>
    <row r="2347" spans="2:2" ht="15.75" customHeight="1" x14ac:dyDescent="0.2">
      <c r="B2347" s="8"/>
    </row>
    <row r="2348" spans="2:2" ht="15.75" customHeight="1" x14ac:dyDescent="0.2">
      <c r="B2348" s="8"/>
    </row>
    <row r="2349" spans="2:2" ht="15.75" customHeight="1" x14ac:dyDescent="0.2">
      <c r="B2349" s="8"/>
    </row>
    <row r="2350" spans="2:2" ht="15.75" customHeight="1" x14ac:dyDescent="0.2">
      <c r="B2350" s="8"/>
    </row>
    <row r="2351" spans="2:2" ht="15.75" customHeight="1" x14ac:dyDescent="0.2">
      <c r="B2351" s="8"/>
    </row>
    <row r="2352" spans="2:2" ht="15.75" customHeight="1" x14ac:dyDescent="0.2">
      <c r="B2352" s="8"/>
    </row>
    <row r="2353" spans="2:2" ht="15.75" customHeight="1" x14ac:dyDescent="0.2">
      <c r="B2353" s="8"/>
    </row>
    <row r="2354" spans="2:2" ht="15.75" customHeight="1" x14ac:dyDescent="0.2">
      <c r="B2354" s="8"/>
    </row>
    <row r="2355" spans="2:2" ht="15.75" customHeight="1" x14ac:dyDescent="0.2">
      <c r="B2355" s="8"/>
    </row>
    <row r="2356" spans="2:2" ht="15.75" customHeight="1" x14ac:dyDescent="0.2">
      <c r="B2356" s="8"/>
    </row>
    <row r="2357" spans="2:2" ht="15.75" customHeight="1" x14ac:dyDescent="0.2">
      <c r="B2357" s="8"/>
    </row>
    <row r="2358" spans="2:2" ht="15.75" customHeight="1" x14ac:dyDescent="0.2">
      <c r="B2358" s="8"/>
    </row>
    <row r="2359" spans="2:2" ht="15.75" customHeight="1" x14ac:dyDescent="0.2">
      <c r="B2359" s="8"/>
    </row>
    <row r="2360" spans="2:2" ht="15.75" customHeight="1" x14ac:dyDescent="0.2">
      <c r="B2360" s="8"/>
    </row>
    <row r="2361" spans="2:2" ht="15.75" customHeight="1" x14ac:dyDescent="0.2">
      <c r="B2361" s="8"/>
    </row>
    <row r="2362" spans="2:2" ht="15.75" customHeight="1" x14ac:dyDescent="0.2">
      <c r="B2362" s="8"/>
    </row>
    <row r="2363" spans="2:2" ht="15.75" customHeight="1" x14ac:dyDescent="0.2">
      <c r="B2363" s="8"/>
    </row>
    <row r="2364" spans="2:2" ht="15.75" customHeight="1" x14ac:dyDescent="0.2">
      <c r="B2364" s="8"/>
    </row>
    <row r="2365" spans="2:2" ht="15.75" customHeight="1" x14ac:dyDescent="0.2">
      <c r="B2365" s="8"/>
    </row>
    <row r="2366" spans="2:2" ht="15.75" customHeight="1" x14ac:dyDescent="0.2">
      <c r="B2366" s="8"/>
    </row>
    <row r="2367" spans="2:2" ht="15.75" customHeight="1" x14ac:dyDescent="0.2">
      <c r="B2367" s="8"/>
    </row>
    <row r="2368" spans="2:2" ht="15.75" customHeight="1" x14ac:dyDescent="0.2">
      <c r="B2368" s="8"/>
    </row>
    <row r="2369" spans="2:2" ht="15.75" customHeight="1" x14ac:dyDescent="0.2">
      <c r="B2369" s="8"/>
    </row>
    <row r="2370" spans="2:2" ht="15.75" customHeight="1" x14ac:dyDescent="0.2">
      <c r="B2370" s="8"/>
    </row>
    <row r="2371" spans="2:2" ht="15.75" customHeight="1" x14ac:dyDescent="0.2">
      <c r="B2371" s="8"/>
    </row>
    <row r="2372" spans="2:2" ht="15.75" customHeight="1" x14ac:dyDescent="0.2">
      <c r="B2372" s="8"/>
    </row>
    <row r="2373" spans="2:2" ht="15.75" customHeight="1" x14ac:dyDescent="0.2">
      <c r="B2373" s="8"/>
    </row>
    <row r="2374" spans="2:2" ht="15.75" customHeight="1" x14ac:dyDescent="0.2">
      <c r="B2374" s="8"/>
    </row>
    <row r="2375" spans="2:2" ht="15.75" customHeight="1" x14ac:dyDescent="0.2">
      <c r="B2375" s="8"/>
    </row>
    <row r="2376" spans="2:2" ht="15.75" customHeight="1" x14ac:dyDescent="0.2">
      <c r="B2376" s="8"/>
    </row>
    <row r="2377" spans="2:2" ht="15.75" customHeight="1" x14ac:dyDescent="0.2">
      <c r="B2377" s="8"/>
    </row>
    <row r="2378" spans="2:2" ht="15.75" customHeight="1" x14ac:dyDescent="0.2">
      <c r="B2378" s="8"/>
    </row>
    <row r="2379" spans="2:2" ht="15.75" customHeight="1" x14ac:dyDescent="0.2">
      <c r="B2379" s="8"/>
    </row>
    <row r="2380" spans="2:2" ht="15.75" customHeight="1" x14ac:dyDescent="0.2">
      <c r="B2380" s="8"/>
    </row>
    <row r="2381" spans="2:2" ht="15.75" customHeight="1" x14ac:dyDescent="0.2">
      <c r="B2381" s="8"/>
    </row>
    <row r="2382" spans="2:2" ht="15.75" customHeight="1" x14ac:dyDescent="0.2">
      <c r="B2382" s="8"/>
    </row>
    <row r="2383" spans="2:2" ht="15.75" customHeight="1" x14ac:dyDescent="0.2">
      <c r="B2383" s="8"/>
    </row>
    <row r="2384" spans="2:2" ht="15.75" customHeight="1" x14ac:dyDescent="0.2">
      <c r="B2384" s="8"/>
    </row>
    <row r="2385" spans="2:2" ht="15.75" customHeight="1" x14ac:dyDescent="0.2">
      <c r="B2385" s="8"/>
    </row>
    <row r="2386" spans="2:2" ht="15.75" customHeight="1" x14ac:dyDescent="0.2">
      <c r="B2386" s="8"/>
    </row>
    <row r="2387" spans="2:2" ht="15.75" customHeight="1" x14ac:dyDescent="0.2">
      <c r="B2387" s="8"/>
    </row>
    <row r="2388" spans="2:2" ht="15.75" customHeight="1" x14ac:dyDescent="0.2">
      <c r="B2388" s="8"/>
    </row>
    <row r="2389" spans="2:2" ht="15.75" customHeight="1" x14ac:dyDescent="0.2">
      <c r="B2389" s="8"/>
    </row>
    <row r="2390" spans="2:2" ht="15.75" customHeight="1" x14ac:dyDescent="0.2">
      <c r="B2390" s="8"/>
    </row>
    <row r="2391" spans="2:2" ht="15.75" customHeight="1" x14ac:dyDescent="0.2">
      <c r="B2391" s="8"/>
    </row>
    <row r="2392" spans="2:2" ht="15.75" customHeight="1" x14ac:dyDescent="0.2">
      <c r="B2392" s="8"/>
    </row>
    <row r="2393" spans="2:2" ht="15.75" customHeight="1" x14ac:dyDescent="0.2">
      <c r="B2393" s="8"/>
    </row>
    <row r="2394" spans="2:2" ht="15.75" customHeight="1" x14ac:dyDescent="0.2">
      <c r="B2394" s="8"/>
    </row>
    <row r="2395" spans="2:2" ht="15.75" customHeight="1" x14ac:dyDescent="0.2">
      <c r="B2395" s="8"/>
    </row>
    <row r="2396" spans="2:2" ht="15.75" customHeight="1" x14ac:dyDescent="0.2">
      <c r="B2396" s="8"/>
    </row>
    <row r="2397" spans="2:2" ht="15.75" customHeight="1" x14ac:dyDescent="0.2">
      <c r="B2397" s="8"/>
    </row>
    <row r="2398" spans="2:2" ht="15.75" customHeight="1" x14ac:dyDescent="0.2">
      <c r="B2398" s="8"/>
    </row>
    <row r="2399" spans="2:2" ht="15.75" customHeight="1" x14ac:dyDescent="0.2">
      <c r="B2399" s="8"/>
    </row>
    <row r="2400" spans="2:2" ht="15.75" customHeight="1" x14ac:dyDescent="0.2">
      <c r="B2400" s="8"/>
    </row>
    <row r="2401" spans="2:2" ht="15.75" customHeight="1" x14ac:dyDescent="0.2">
      <c r="B2401" s="8"/>
    </row>
    <row r="2402" spans="2:2" ht="15.75" customHeight="1" x14ac:dyDescent="0.2">
      <c r="B2402" s="8"/>
    </row>
    <row r="2403" spans="2:2" ht="15.75" customHeight="1" x14ac:dyDescent="0.2">
      <c r="B2403" s="8"/>
    </row>
    <row r="2404" spans="2:2" ht="15.75" customHeight="1" x14ac:dyDescent="0.2">
      <c r="B2404" s="8"/>
    </row>
    <row r="2405" spans="2:2" ht="15.75" customHeight="1" x14ac:dyDescent="0.2">
      <c r="B2405" s="8"/>
    </row>
    <row r="2406" spans="2:2" ht="15.75" customHeight="1" x14ac:dyDescent="0.2">
      <c r="B2406" s="8"/>
    </row>
    <row r="2407" spans="2:2" ht="15.75" customHeight="1" x14ac:dyDescent="0.2">
      <c r="B2407" s="8"/>
    </row>
    <row r="2408" spans="2:2" ht="15.75" customHeight="1" x14ac:dyDescent="0.2">
      <c r="B2408" s="8"/>
    </row>
    <row r="2409" spans="2:2" ht="15.75" customHeight="1" x14ac:dyDescent="0.2">
      <c r="B2409" s="8"/>
    </row>
    <row r="2410" spans="2:2" ht="15.75" customHeight="1" x14ac:dyDescent="0.2">
      <c r="B2410" s="8"/>
    </row>
    <row r="2411" spans="2:2" ht="15.75" customHeight="1" x14ac:dyDescent="0.2">
      <c r="B2411" s="8"/>
    </row>
    <row r="2412" spans="2:2" ht="15.75" customHeight="1" x14ac:dyDescent="0.2">
      <c r="B2412" s="8"/>
    </row>
    <row r="2413" spans="2:2" ht="15.75" customHeight="1" x14ac:dyDescent="0.2">
      <c r="B2413" s="8"/>
    </row>
    <row r="2414" spans="2:2" ht="15.75" customHeight="1" x14ac:dyDescent="0.2">
      <c r="B2414" s="8"/>
    </row>
    <row r="2415" spans="2:2" ht="15.75" customHeight="1" x14ac:dyDescent="0.2">
      <c r="B2415" s="8"/>
    </row>
    <row r="2416" spans="2:2" ht="15.75" customHeight="1" x14ac:dyDescent="0.2">
      <c r="B2416" s="8"/>
    </row>
    <row r="2417" spans="2:2" ht="15.75" customHeight="1" x14ac:dyDescent="0.2">
      <c r="B2417" s="8"/>
    </row>
    <row r="2418" spans="2:2" ht="15.75" customHeight="1" x14ac:dyDescent="0.2">
      <c r="B2418" s="8"/>
    </row>
    <row r="2419" spans="2:2" ht="15.75" customHeight="1" x14ac:dyDescent="0.2">
      <c r="B2419" s="8"/>
    </row>
    <row r="2420" spans="2:2" ht="15.75" customHeight="1" x14ac:dyDescent="0.2">
      <c r="B2420" s="8"/>
    </row>
    <row r="2421" spans="2:2" ht="15.75" customHeight="1" x14ac:dyDescent="0.2">
      <c r="B2421" s="8"/>
    </row>
    <row r="2422" spans="2:2" ht="15.75" customHeight="1" x14ac:dyDescent="0.2">
      <c r="B2422" s="8"/>
    </row>
    <row r="2423" spans="2:2" ht="15.75" customHeight="1" x14ac:dyDescent="0.2">
      <c r="B2423" s="8"/>
    </row>
    <row r="2424" spans="2:2" ht="15.75" customHeight="1" x14ac:dyDescent="0.2">
      <c r="B2424" s="8"/>
    </row>
    <row r="2425" spans="2:2" ht="15.75" customHeight="1" x14ac:dyDescent="0.2">
      <c r="B2425" s="8"/>
    </row>
    <row r="2426" spans="2:2" ht="15.75" customHeight="1" x14ac:dyDescent="0.2">
      <c r="B2426" s="8"/>
    </row>
    <row r="2427" spans="2:2" ht="15.75" customHeight="1" x14ac:dyDescent="0.2">
      <c r="B2427" s="8"/>
    </row>
    <row r="2428" spans="2:2" ht="15.75" customHeight="1" x14ac:dyDescent="0.2">
      <c r="B2428" s="8"/>
    </row>
    <row r="2429" spans="2:2" ht="15.75" customHeight="1" x14ac:dyDescent="0.2">
      <c r="B2429" s="8"/>
    </row>
    <row r="2430" spans="2:2" ht="15.75" customHeight="1" x14ac:dyDescent="0.2">
      <c r="B2430" s="8"/>
    </row>
    <row r="2431" spans="2:2" ht="15.75" customHeight="1" x14ac:dyDescent="0.2">
      <c r="B2431" s="8"/>
    </row>
    <row r="2432" spans="2:2" ht="15.75" customHeight="1" x14ac:dyDescent="0.2">
      <c r="B2432" s="8"/>
    </row>
    <row r="2433" spans="2:2" ht="15.75" customHeight="1" x14ac:dyDescent="0.2">
      <c r="B2433" s="8"/>
    </row>
    <row r="2434" spans="2:2" ht="15.75" customHeight="1" x14ac:dyDescent="0.2">
      <c r="B2434" s="8"/>
    </row>
    <row r="2435" spans="2:2" ht="15.75" customHeight="1" x14ac:dyDescent="0.2">
      <c r="B2435" s="8"/>
    </row>
    <row r="2436" spans="2:2" ht="15.75" customHeight="1" x14ac:dyDescent="0.2">
      <c r="B2436" s="8"/>
    </row>
    <row r="2437" spans="2:2" ht="15.75" customHeight="1" x14ac:dyDescent="0.2">
      <c r="B2437" s="8"/>
    </row>
    <row r="2438" spans="2:2" ht="15.75" customHeight="1" x14ac:dyDescent="0.2">
      <c r="B2438" s="8"/>
    </row>
    <row r="2439" spans="2:2" ht="15.75" customHeight="1" x14ac:dyDescent="0.2">
      <c r="B2439" s="8"/>
    </row>
    <row r="2440" spans="2:2" ht="15.75" customHeight="1" x14ac:dyDescent="0.2">
      <c r="B2440" s="8"/>
    </row>
    <row r="2441" spans="2:2" ht="15.75" customHeight="1" x14ac:dyDescent="0.2">
      <c r="B2441" s="8"/>
    </row>
    <row r="2442" spans="2:2" ht="15.75" customHeight="1" x14ac:dyDescent="0.2">
      <c r="B2442" s="8"/>
    </row>
    <row r="2443" spans="2:2" ht="15.75" customHeight="1" x14ac:dyDescent="0.2">
      <c r="B2443" s="8"/>
    </row>
    <row r="2444" spans="2:2" ht="15.75" customHeight="1" x14ac:dyDescent="0.2">
      <c r="B2444" s="8"/>
    </row>
    <row r="2445" spans="2:2" ht="15.75" customHeight="1" x14ac:dyDescent="0.2">
      <c r="B2445" s="8"/>
    </row>
    <row r="2446" spans="2:2" ht="15.75" customHeight="1" x14ac:dyDescent="0.2">
      <c r="B2446" s="8"/>
    </row>
    <row r="2447" spans="2:2" ht="15.75" customHeight="1" x14ac:dyDescent="0.2">
      <c r="B2447" s="8"/>
    </row>
    <row r="2448" spans="2:2" ht="15.75" customHeight="1" x14ac:dyDescent="0.2">
      <c r="B2448" s="8"/>
    </row>
    <row r="2449" spans="2:2" ht="15.75" customHeight="1" x14ac:dyDescent="0.2">
      <c r="B2449" s="8"/>
    </row>
    <row r="2450" spans="2:2" ht="15.75" customHeight="1" x14ac:dyDescent="0.2">
      <c r="B2450" s="8"/>
    </row>
    <row r="2451" spans="2:2" ht="15.75" customHeight="1" x14ac:dyDescent="0.2">
      <c r="B2451" s="8"/>
    </row>
    <row r="2452" spans="2:2" ht="15.75" customHeight="1" x14ac:dyDescent="0.2">
      <c r="B2452" s="8"/>
    </row>
    <row r="2453" spans="2:2" ht="15.75" customHeight="1" x14ac:dyDescent="0.2">
      <c r="B2453" s="8"/>
    </row>
    <row r="2454" spans="2:2" ht="15.75" customHeight="1" x14ac:dyDescent="0.2">
      <c r="B2454" s="8"/>
    </row>
    <row r="2455" spans="2:2" ht="15.75" customHeight="1" x14ac:dyDescent="0.2">
      <c r="B2455" s="8"/>
    </row>
    <row r="2456" spans="2:2" ht="15.75" customHeight="1" x14ac:dyDescent="0.2">
      <c r="B2456" s="8"/>
    </row>
    <row r="2457" spans="2:2" ht="15.75" customHeight="1" x14ac:dyDescent="0.2">
      <c r="B2457" s="8"/>
    </row>
    <row r="2458" spans="2:2" ht="15.75" customHeight="1" x14ac:dyDescent="0.2">
      <c r="B2458" s="8"/>
    </row>
    <row r="2459" spans="2:2" ht="15.75" customHeight="1" x14ac:dyDescent="0.2">
      <c r="B2459" s="8"/>
    </row>
    <row r="2460" spans="2:2" ht="15.75" customHeight="1" x14ac:dyDescent="0.2">
      <c r="B2460" s="8"/>
    </row>
    <row r="2461" spans="2:2" ht="15.75" customHeight="1" x14ac:dyDescent="0.2">
      <c r="B2461" s="8"/>
    </row>
    <row r="2462" spans="2:2" ht="15.75" customHeight="1" x14ac:dyDescent="0.2">
      <c r="B2462" s="8"/>
    </row>
    <row r="2463" spans="2:2" ht="15.75" customHeight="1" x14ac:dyDescent="0.2">
      <c r="B2463" s="8"/>
    </row>
    <row r="2464" spans="2:2" ht="15.75" customHeight="1" x14ac:dyDescent="0.2">
      <c r="B2464" s="8"/>
    </row>
    <row r="2465" spans="2:2" ht="15.75" customHeight="1" x14ac:dyDescent="0.2">
      <c r="B2465" s="8"/>
    </row>
    <row r="2466" spans="2:2" ht="15.75" customHeight="1" x14ac:dyDescent="0.2">
      <c r="B2466" s="8"/>
    </row>
    <row r="2467" spans="2:2" ht="15.75" customHeight="1" x14ac:dyDescent="0.2">
      <c r="B2467" s="8"/>
    </row>
    <row r="2468" spans="2:2" ht="15.75" customHeight="1" x14ac:dyDescent="0.2">
      <c r="B2468" s="8"/>
    </row>
    <row r="2469" spans="2:2" ht="15.75" customHeight="1" x14ac:dyDescent="0.2">
      <c r="B2469" s="8"/>
    </row>
    <row r="2470" spans="2:2" ht="15.75" customHeight="1" x14ac:dyDescent="0.2">
      <c r="B2470" s="8"/>
    </row>
    <row r="2471" spans="2:2" ht="15.75" customHeight="1" x14ac:dyDescent="0.2">
      <c r="B2471" s="8"/>
    </row>
    <row r="2472" spans="2:2" ht="15.75" customHeight="1" x14ac:dyDescent="0.2">
      <c r="B2472" s="8"/>
    </row>
    <row r="2473" spans="2:2" ht="15.75" customHeight="1" x14ac:dyDescent="0.2">
      <c r="B2473" s="8"/>
    </row>
    <row r="2474" spans="2:2" ht="15.75" customHeight="1" x14ac:dyDescent="0.2">
      <c r="B2474" s="8"/>
    </row>
    <row r="2475" spans="2:2" ht="15.75" customHeight="1" x14ac:dyDescent="0.2">
      <c r="B2475" s="8"/>
    </row>
    <row r="2476" spans="2:2" ht="15.75" customHeight="1" x14ac:dyDescent="0.2">
      <c r="B2476" s="8"/>
    </row>
    <row r="2477" spans="2:2" ht="15.75" customHeight="1" x14ac:dyDescent="0.2">
      <c r="B2477" s="8"/>
    </row>
    <row r="2478" spans="2:2" ht="15.75" customHeight="1" x14ac:dyDescent="0.2">
      <c r="B2478" s="8"/>
    </row>
    <row r="2479" spans="2:2" ht="15.75" customHeight="1" x14ac:dyDescent="0.2">
      <c r="B2479" s="8"/>
    </row>
    <row r="2480" spans="2:2" ht="15.75" customHeight="1" x14ac:dyDescent="0.2">
      <c r="B2480" s="8"/>
    </row>
    <row r="2481" spans="2:2" ht="15.75" customHeight="1" x14ac:dyDescent="0.2">
      <c r="B2481" s="8"/>
    </row>
    <row r="2482" spans="2:2" ht="15.75" customHeight="1" x14ac:dyDescent="0.2">
      <c r="B2482" s="8"/>
    </row>
    <row r="2483" spans="2:2" ht="15.75" customHeight="1" x14ac:dyDescent="0.2">
      <c r="B2483" s="8"/>
    </row>
    <row r="2484" spans="2:2" ht="15.75" customHeight="1" x14ac:dyDescent="0.2">
      <c r="B2484" s="8"/>
    </row>
    <row r="2485" spans="2:2" ht="15.75" customHeight="1" x14ac:dyDescent="0.2">
      <c r="B2485" s="8"/>
    </row>
    <row r="2486" spans="2:2" ht="15.75" customHeight="1" x14ac:dyDescent="0.2">
      <c r="B2486" s="8"/>
    </row>
    <row r="2487" spans="2:2" ht="15.75" customHeight="1" x14ac:dyDescent="0.2">
      <c r="B2487" s="8"/>
    </row>
    <row r="2488" spans="2:2" ht="15.75" customHeight="1" x14ac:dyDescent="0.2">
      <c r="B2488" s="8"/>
    </row>
    <row r="2489" spans="2:2" ht="15.75" customHeight="1" x14ac:dyDescent="0.2">
      <c r="B2489" s="8"/>
    </row>
    <row r="2490" spans="2:2" ht="15.75" customHeight="1" x14ac:dyDescent="0.2">
      <c r="B2490" s="8"/>
    </row>
    <row r="2491" spans="2:2" ht="15.75" customHeight="1" x14ac:dyDescent="0.2">
      <c r="B2491" s="8"/>
    </row>
    <row r="2492" spans="2:2" ht="15.75" customHeight="1" x14ac:dyDescent="0.2">
      <c r="B2492" s="8"/>
    </row>
    <row r="2493" spans="2:2" ht="15.75" customHeight="1" x14ac:dyDescent="0.2">
      <c r="B2493" s="8"/>
    </row>
    <row r="2494" spans="2:2" ht="15.75" customHeight="1" x14ac:dyDescent="0.2">
      <c r="B2494" s="8"/>
    </row>
    <row r="2495" spans="2:2" ht="15.75" customHeight="1" x14ac:dyDescent="0.2">
      <c r="B2495" s="8"/>
    </row>
    <row r="2496" spans="2:2" ht="15.75" customHeight="1" x14ac:dyDescent="0.2">
      <c r="B2496" s="8"/>
    </row>
    <row r="2497" spans="2:2" ht="15.75" customHeight="1" x14ac:dyDescent="0.2">
      <c r="B2497" s="8"/>
    </row>
    <row r="2498" spans="2:2" ht="15.75" customHeight="1" x14ac:dyDescent="0.2">
      <c r="B2498" s="8"/>
    </row>
    <row r="2499" spans="2:2" ht="15.75" customHeight="1" x14ac:dyDescent="0.2">
      <c r="B2499" s="8"/>
    </row>
    <row r="2500" spans="2:2" ht="15.75" customHeight="1" x14ac:dyDescent="0.2">
      <c r="B2500" s="8"/>
    </row>
    <row r="2501" spans="2:2" ht="15.75" customHeight="1" x14ac:dyDescent="0.2">
      <c r="B2501" s="8"/>
    </row>
    <row r="2502" spans="2:2" ht="15.75" customHeight="1" x14ac:dyDescent="0.2">
      <c r="B2502" s="8"/>
    </row>
    <row r="2503" spans="2:2" ht="15.75" customHeight="1" x14ac:dyDescent="0.2">
      <c r="B2503" s="8"/>
    </row>
    <row r="2504" spans="2:2" ht="15.75" customHeight="1" x14ac:dyDescent="0.2">
      <c r="B2504" s="8"/>
    </row>
    <row r="2505" spans="2:2" ht="15.75" customHeight="1" x14ac:dyDescent="0.2">
      <c r="B2505" s="8"/>
    </row>
    <row r="2506" spans="2:2" ht="15.75" customHeight="1" x14ac:dyDescent="0.2">
      <c r="B2506" s="8"/>
    </row>
    <row r="2507" spans="2:2" ht="15.75" customHeight="1" x14ac:dyDescent="0.2">
      <c r="B2507" s="8"/>
    </row>
    <row r="2508" spans="2:2" ht="15.75" customHeight="1" x14ac:dyDescent="0.2">
      <c r="B2508" s="8"/>
    </row>
    <row r="2509" spans="2:2" ht="15.75" customHeight="1" x14ac:dyDescent="0.2">
      <c r="B2509" s="8"/>
    </row>
    <row r="2510" spans="2:2" ht="15.75" customHeight="1" x14ac:dyDescent="0.2">
      <c r="B2510" s="8"/>
    </row>
    <row r="2511" spans="2:2" ht="15.75" customHeight="1" x14ac:dyDescent="0.2">
      <c r="B2511" s="8"/>
    </row>
    <row r="2512" spans="2:2" ht="15.75" customHeight="1" x14ac:dyDescent="0.2">
      <c r="B2512" s="8"/>
    </row>
    <row r="2513" spans="2:2" ht="15.75" customHeight="1" x14ac:dyDescent="0.2">
      <c r="B2513" s="8"/>
    </row>
    <row r="2514" spans="2:2" ht="15.75" customHeight="1" x14ac:dyDescent="0.2">
      <c r="B2514" s="8"/>
    </row>
    <row r="2515" spans="2:2" ht="15.75" customHeight="1" x14ac:dyDescent="0.2">
      <c r="B2515" s="8"/>
    </row>
    <row r="2516" spans="2:2" ht="15.75" customHeight="1" x14ac:dyDescent="0.2">
      <c r="B2516" s="8"/>
    </row>
    <row r="2517" spans="2:2" ht="15.75" customHeight="1" x14ac:dyDescent="0.2">
      <c r="B2517" s="8"/>
    </row>
    <row r="2518" spans="2:2" ht="15.75" customHeight="1" x14ac:dyDescent="0.2">
      <c r="B2518" s="8"/>
    </row>
    <row r="2519" spans="2:2" ht="15.75" customHeight="1" x14ac:dyDescent="0.2">
      <c r="B2519" s="8"/>
    </row>
    <row r="2520" spans="2:2" ht="15.75" customHeight="1" x14ac:dyDescent="0.2">
      <c r="B2520" s="8"/>
    </row>
    <row r="2521" spans="2:2" ht="15.75" customHeight="1" x14ac:dyDescent="0.2">
      <c r="B2521" s="8"/>
    </row>
    <row r="2522" spans="2:2" ht="15.75" customHeight="1" x14ac:dyDescent="0.2">
      <c r="B2522" s="8"/>
    </row>
    <row r="2523" spans="2:2" ht="15.75" customHeight="1" x14ac:dyDescent="0.2">
      <c r="B2523" s="8"/>
    </row>
    <row r="2524" spans="2:2" ht="15.75" customHeight="1" x14ac:dyDescent="0.2">
      <c r="B2524" s="8"/>
    </row>
    <row r="2525" spans="2:2" ht="15.75" customHeight="1" x14ac:dyDescent="0.2">
      <c r="B2525" s="8"/>
    </row>
    <row r="2526" spans="2:2" ht="15.75" customHeight="1" x14ac:dyDescent="0.2">
      <c r="B2526" s="8"/>
    </row>
    <row r="2527" spans="2:2" ht="15.75" customHeight="1" x14ac:dyDescent="0.2">
      <c r="B2527" s="8"/>
    </row>
    <row r="2528" spans="2:2" ht="15.75" customHeight="1" x14ac:dyDescent="0.2">
      <c r="B2528" s="8"/>
    </row>
    <row r="2529" spans="2:2" ht="15.75" customHeight="1" x14ac:dyDescent="0.2">
      <c r="B2529" s="8"/>
    </row>
    <row r="2530" spans="2:2" ht="15.75" customHeight="1" x14ac:dyDescent="0.2">
      <c r="B2530" s="8"/>
    </row>
    <row r="2531" spans="2:2" ht="15.75" customHeight="1" x14ac:dyDescent="0.2">
      <c r="B2531" s="8"/>
    </row>
    <row r="2532" spans="2:2" ht="15.75" customHeight="1" x14ac:dyDescent="0.2">
      <c r="B2532" s="8"/>
    </row>
    <row r="2533" spans="2:2" ht="15.75" customHeight="1" x14ac:dyDescent="0.2">
      <c r="B2533" s="8"/>
    </row>
    <row r="2534" spans="2:2" ht="15.75" customHeight="1" x14ac:dyDescent="0.2">
      <c r="B2534" s="8"/>
    </row>
    <row r="2535" spans="2:2" ht="15.75" customHeight="1" x14ac:dyDescent="0.2">
      <c r="B2535" s="8"/>
    </row>
    <row r="2536" spans="2:2" ht="15.75" customHeight="1" x14ac:dyDescent="0.2">
      <c r="B2536" s="8"/>
    </row>
    <row r="2537" spans="2:2" ht="15.75" customHeight="1" x14ac:dyDescent="0.2">
      <c r="B2537" s="8"/>
    </row>
    <row r="2538" spans="2:2" ht="15.75" customHeight="1" x14ac:dyDescent="0.2">
      <c r="B2538" s="8"/>
    </row>
    <row r="2539" spans="2:2" ht="15.75" customHeight="1" x14ac:dyDescent="0.2">
      <c r="B2539" s="8"/>
    </row>
    <row r="2540" spans="2:2" ht="15.75" customHeight="1" x14ac:dyDescent="0.2">
      <c r="B2540" s="8"/>
    </row>
    <row r="2541" spans="2:2" ht="15.75" customHeight="1" x14ac:dyDescent="0.2">
      <c r="B2541" s="8"/>
    </row>
    <row r="2542" spans="2:2" ht="15.75" customHeight="1" x14ac:dyDescent="0.2">
      <c r="B2542" s="8"/>
    </row>
    <row r="2543" spans="2:2" ht="15.75" customHeight="1" x14ac:dyDescent="0.2">
      <c r="B2543" s="8"/>
    </row>
    <row r="2544" spans="2:2" ht="15.75" customHeight="1" x14ac:dyDescent="0.2">
      <c r="B2544" s="8"/>
    </row>
    <row r="2545" spans="2:2" ht="15.75" customHeight="1" x14ac:dyDescent="0.2">
      <c r="B2545" s="8"/>
    </row>
    <row r="2546" spans="2:2" ht="15.75" customHeight="1" x14ac:dyDescent="0.2">
      <c r="B2546" s="8"/>
    </row>
    <row r="2547" spans="2:2" ht="15.75" customHeight="1" x14ac:dyDescent="0.2">
      <c r="B2547" s="8"/>
    </row>
    <row r="2548" spans="2:2" ht="15.75" customHeight="1" x14ac:dyDescent="0.2">
      <c r="B2548" s="8"/>
    </row>
    <row r="2549" spans="2:2" ht="15.75" customHeight="1" x14ac:dyDescent="0.2">
      <c r="B2549" s="8"/>
    </row>
    <row r="2550" spans="2:2" ht="15.75" customHeight="1" x14ac:dyDescent="0.2">
      <c r="B2550" s="8"/>
    </row>
    <row r="2551" spans="2:2" ht="15.75" customHeight="1" x14ac:dyDescent="0.2">
      <c r="B2551" s="8"/>
    </row>
    <row r="2552" spans="2:2" ht="15.75" customHeight="1" x14ac:dyDescent="0.2">
      <c r="B2552" s="8"/>
    </row>
    <row r="2553" spans="2:2" ht="15.75" customHeight="1" x14ac:dyDescent="0.2">
      <c r="B2553" s="8"/>
    </row>
    <row r="2554" spans="2:2" ht="15.75" customHeight="1" x14ac:dyDescent="0.2">
      <c r="B2554" s="8"/>
    </row>
    <row r="2555" spans="2:2" ht="15.75" customHeight="1" x14ac:dyDescent="0.2">
      <c r="B2555" s="8"/>
    </row>
    <row r="2556" spans="2:2" ht="15.75" customHeight="1" x14ac:dyDescent="0.2">
      <c r="B2556" s="8"/>
    </row>
    <row r="2557" spans="2:2" ht="15.75" customHeight="1" x14ac:dyDescent="0.2">
      <c r="B2557" s="8"/>
    </row>
    <row r="2558" spans="2:2" ht="15.75" customHeight="1" x14ac:dyDescent="0.2">
      <c r="B2558" s="8"/>
    </row>
    <row r="2559" spans="2:2" ht="15.75" customHeight="1" x14ac:dyDescent="0.2">
      <c r="B2559" s="8"/>
    </row>
    <row r="2560" spans="2:2" ht="15.75" customHeight="1" x14ac:dyDescent="0.2">
      <c r="B2560" s="8"/>
    </row>
    <row r="2561" spans="2:2" ht="15.75" customHeight="1" x14ac:dyDescent="0.2">
      <c r="B2561" s="8"/>
    </row>
    <row r="2562" spans="2:2" ht="15.75" customHeight="1" x14ac:dyDescent="0.2">
      <c r="B2562" s="8"/>
    </row>
    <row r="2563" spans="2:2" ht="15.75" customHeight="1" x14ac:dyDescent="0.2">
      <c r="B2563" s="8"/>
    </row>
    <row r="2564" spans="2:2" ht="15.75" customHeight="1" x14ac:dyDescent="0.2">
      <c r="B2564" s="8"/>
    </row>
    <row r="2565" spans="2:2" ht="15.75" customHeight="1" x14ac:dyDescent="0.2">
      <c r="B2565" s="8"/>
    </row>
    <row r="2566" spans="2:2" ht="15.75" customHeight="1" x14ac:dyDescent="0.2">
      <c r="B2566" s="8"/>
    </row>
    <row r="2567" spans="2:2" ht="15.75" customHeight="1" x14ac:dyDescent="0.2">
      <c r="B2567" s="8"/>
    </row>
    <row r="2568" spans="2:2" ht="15.75" customHeight="1" x14ac:dyDescent="0.2">
      <c r="B2568" s="8"/>
    </row>
    <row r="2569" spans="2:2" ht="15.75" customHeight="1" x14ac:dyDescent="0.2">
      <c r="B2569" s="8"/>
    </row>
    <row r="2570" spans="2:2" ht="15.75" customHeight="1" x14ac:dyDescent="0.2">
      <c r="B2570" s="8"/>
    </row>
    <row r="2571" spans="2:2" ht="15.75" customHeight="1" x14ac:dyDescent="0.2">
      <c r="B2571" s="8"/>
    </row>
    <row r="2572" spans="2:2" ht="15.75" customHeight="1" x14ac:dyDescent="0.2">
      <c r="B2572" s="8"/>
    </row>
    <row r="2573" spans="2:2" ht="15.75" customHeight="1" x14ac:dyDescent="0.2">
      <c r="B2573" s="8"/>
    </row>
    <row r="2574" spans="2:2" ht="15.75" customHeight="1" x14ac:dyDescent="0.2">
      <c r="B2574" s="8"/>
    </row>
    <row r="2575" spans="2:2" ht="15.75" customHeight="1" x14ac:dyDescent="0.2">
      <c r="B2575" s="8"/>
    </row>
    <row r="2576" spans="2:2" ht="15.75" customHeight="1" x14ac:dyDescent="0.2">
      <c r="B2576" s="8"/>
    </row>
    <row r="2577" spans="2:2" ht="15.75" customHeight="1" x14ac:dyDescent="0.2">
      <c r="B2577" s="8"/>
    </row>
    <row r="2578" spans="2:2" ht="15.75" customHeight="1" x14ac:dyDescent="0.2">
      <c r="B2578" s="8"/>
    </row>
    <row r="2579" spans="2:2" ht="15.75" customHeight="1" x14ac:dyDescent="0.2">
      <c r="B2579" s="8"/>
    </row>
    <row r="2580" spans="2:2" ht="15.75" customHeight="1" x14ac:dyDescent="0.2">
      <c r="B2580" s="8"/>
    </row>
    <row r="2581" spans="2:2" ht="15.75" customHeight="1" x14ac:dyDescent="0.2">
      <c r="B2581" s="8"/>
    </row>
    <row r="2582" spans="2:2" ht="15.75" customHeight="1" x14ac:dyDescent="0.2">
      <c r="B2582" s="8"/>
    </row>
    <row r="2583" spans="2:2" ht="15.75" customHeight="1" x14ac:dyDescent="0.2">
      <c r="B2583" s="8"/>
    </row>
    <row r="2584" spans="2:2" ht="15.75" customHeight="1" x14ac:dyDescent="0.2">
      <c r="B2584" s="8"/>
    </row>
    <row r="2585" spans="2:2" ht="15.75" customHeight="1" x14ac:dyDescent="0.2">
      <c r="B2585" s="8"/>
    </row>
    <row r="2586" spans="2:2" ht="15.75" customHeight="1" x14ac:dyDescent="0.2">
      <c r="B2586" s="8"/>
    </row>
    <row r="2587" spans="2:2" ht="15.75" customHeight="1" x14ac:dyDescent="0.2">
      <c r="B2587" s="8"/>
    </row>
    <row r="2588" spans="2:2" ht="15.75" customHeight="1" x14ac:dyDescent="0.2">
      <c r="B2588" s="8"/>
    </row>
    <row r="2589" spans="2:2" ht="15.75" customHeight="1" x14ac:dyDescent="0.2">
      <c r="B2589" s="8"/>
    </row>
    <row r="2590" spans="2:2" ht="15.75" customHeight="1" x14ac:dyDescent="0.2">
      <c r="B2590" s="8"/>
    </row>
    <row r="2591" spans="2:2" ht="15.75" customHeight="1" x14ac:dyDescent="0.2">
      <c r="B2591" s="8"/>
    </row>
    <row r="2592" spans="2:2" ht="15.75" customHeight="1" x14ac:dyDescent="0.2">
      <c r="B2592" s="8"/>
    </row>
    <row r="2593" spans="2:2" ht="15.75" customHeight="1" x14ac:dyDescent="0.2">
      <c r="B2593" s="8"/>
    </row>
    <row r="2594" spans="2:2" ht="15.75" customHeight="1" x14ac:dyDescent="0.2">
      <c r="B2594" s="8"/>
    </row>
    <row r="2595" spans="2:2" ht="15.75" customHeight="1" x14ac:dyDescent="0.2">
      <c r="B2595" s="8"/>
    </row>
    <row r="2596" spans="2:2" ht="15.75" customHeight="1" x14ac:dyDescent="0.2">
      <c r="B2596" s="8"/>
    </row>
    <row r="2597" spans="2:2" ht="15.75" customHeight="1" x14ac:dyDescent="0.2">
      <c r="B2597" s="8"/>
    </row>
    <row r="2598" spans="2:2" ht="15.75" customHeight="1" x14ac:dyDescent="0.2">
      <c r="B2598" s="8"/>
    </row>
    <row r="2599" spans="2:2" ht="15.75" customHeight="1" x14ac:dyDescent="0.2">
      <c r="B2599" s="8"/>
    </row>
    <row r="2600" spans="2:2" ht="15.75" customHeight="1" x14ac:dyDescent="0.2">
      <c r="B2600" s="8"/>
    </row>
    <row r="2601" spans="2:2" ht="15.75" customHeight="1" x14ac:dyDescent="0.2">
      <c r="B2601" s="8"/>
    </row>
    <row r="2602" spans="2:2" ht="15.75" customHeight="1" x14ac:dyDescent="0.2">
      <c r="B2602" s="8"/>
    </row>
    <row r="2603" spans="2:2" ht="15.75" customHeight="1" x14ac:dyDescent="0.2">
      <c r="B2603" s="8"/>
    </row>
    <row r="2604" spans="2:2" ht="15.75" customHeight="1" x14ac:dyDescent="0.2">
      <c r="B2604" s="8"/>
    </row>
    <row r="2605" spans="2:2" ht="15.75" customHeight="1" x14ac:dyDescent="0.2">
      <c r="B2605" s="8"/>
    </row>
    <row r="2606" spans="2:2" ht="15.75" customHeight="1" x14ac:dyDescent="0.2">
      <c r="B2606" s="8"/>
    </row>
    <row r="2607" spans="2:2" ht="15.75" customHeight="1" x14ac:dyDescent="0.2">
      <c r="B2607" s="8"/>
    </row>
    <row r="2608" spans="2:2" ht="15.75" customHeight="1" x14ac:dyDescent="0.2">
      <c r="B2608" s="8"/>
    </row>
    <row r="2609" spans="2:2" ht="15.75" customHeight="1" x14ac:dyDescent="0.2">
      <c r="B2609" s="8"/>
    </row>
    <row r="2610" spans="2:2" ht="15.75" customHeight="1" x14ac:dyDescent="0.2">
      <c r="B2610" s="8"/>
    </row>
    <row r="2611" spans="2:2" ht="15.75" customHeight="1" x14ac:dyDescent="0.2">
      <c r="B2611" s="8"/>
    </row>
    <row r="2612" spans="2:2" ht="15.75" customHeight="1" x14ac:dyDescent="0.2">
      <c r="B2612" s="8"/>
    </row>
    <row r="2613" spans="2:2" ht="15.75" customHeight="1" x14ac:dyDescent="0.2">
      <c r="B2613" s="8"/>
    </row>
    <row r="2614" spans="2:2" ht="15.75" customHeight="1" x14ac:dyDescent="0.2">
      <c r="B2614" s="8"/>
    </row>
    <row r="2615" spans="2:2" ht="15.75" customHeight="1" x14ac:dyDescent="0.2">
      <c r="B2615" s="8"/>
    </row>
    <row r="2616" spans="2:2" ht="15.75" customHeight="1" x14ac:dyDescent="0.2">
      <c r="B2616" s="8"/>
    </row>
    <row r="2617" spans="2:2" ht="15.75" customHeight="1" x14ac:dyDescent="0.2">
      <c r="B2617" s="8"/>
    </row>
    <row r="2618" spans="2:2" ht="15.75" customHeight="1" x14ac:dyDescent="0.2">
      <c r="B2618" s="8"/>
    </row>
    <row r="2619" spans="2:2" ht="15.75" customHeight="1" x14ac:dyDescent="0.2">
      <c r="B2619" s="8"/>
    </row>
    <row r="2620" spans="2:2" ht="15.75" customHeight="1" x14ac:dyDescent="0.2">
      <c r="B2620" s="8"/>
    </row>
    <row r="2621" spans="2:2" ht="15.75" customHeight="1" x14ac:dyDescent="0.2">
      <c r="B2621" s="8"/>
    </row>
    <row r="2622" spans="2:2" ht="15.75" customHeight="1" x14ac:dyDescent="0.2">
      <c r="B2622" s="8"/>
    </row>
    <row r="2623" spans="2:2" ht="15.75" customHeight="1" x14ac:dyDescent="0.2">
      <c r="B2623" s="8"/>
    </row>
    <row r="2624" spans="2:2" ht="15.75" customHeight="1" x14ac:dyDescent="0.2">
      <c r="B2624" s="8"/>
    </row>
    <row r="2625" spans="2:2" ht="15.75" customHeight="1" x14ac:dyDescent="0.2">
      <c r="B2625" s="8"/>
    </row>
    <row r="2626" spans="2:2" ht="15.75" customHeight="1" x14ac:dyDescent="0.2">
      <c r="B2626" s="8"/>
    </row>
    <row r="2627" spans="2:2" ht="15.75" customHeight="1" x14ac:dyDescent="0.2">
      <c r="B2627" s="8"/>
    </row>
    <row r="2628" spans="2:2" ht="15.75" customHeight="1" x14ac:dyDescent="0.2">
      <c r="B2628" s="8"/>
    </row>
    <row r="2629" spans="2:2" ht="15.75" customHeight="1" x14ac:dyDescent="0.2">
      <c r="B2629" s="8"/>
    </row>
    <row r="2630" spans="2:2" ht="15.75" customHeight="1" x14ac:dyDescent="0.2">
      <c r="B2630" s="8"/>
    </row>
    <row r="2631" spans="2:2" ht="15.75" customHeight="1" x14ac:dyDescent="0.2">
      <c r="B2631" s="8"/>
    </row>
    <row r="2632" spans="2:2" ht="15.75" customHeight="1" x14ac:dyDescent="0.2">
      <c r="B2632" s="8"/>
    </row>
    <row r="2633" spans="2:2" ht="15.75" customHeight="1" x14ac:dyDescent="0.2">
      <c r="B2633" s="8"/>
    </row>
    <row r="2634" spans="2:2" ht="15.75" customHeight="1" x14ac:dyDescent="0.2">
      <c r="B2634" s="8"/>
    </row>
    <row r="2635" spans="2:2" ht="15.75" customHeight="1" x14ac:dyDescent="0.2">
      <c r="B2635" s="8"/>
    </row>
    <row r="2636" spans="2:2" ht="15.75" customHeight="1" x14ac:dyDescent="0.2">
      <c r="B2636" s="8"/>
    </row>
    <row r="2637" spans="2:2" ht="15.75" customHeight="1" x14ac:dyDescent="0.2">
      <c r="B2637" s="8"/>
    </row>
    <row r="2638" spans="2:2" ht="15.75" customHeight="1" x14ac:dyDescent="0.2">
      <c r="B2638" s="8"/>
    </row>
    <row r="2639" spans="2:2" ht="15.75" customHeight="1" x14ac:dyDescent="0.2">
      <c r="B2639" s="8"/>
    </row>
    <row r="2640" spans="2:2" ht="15.75" customHeight="1" x14ac:dyDescent="0.2">
      <c r="B2640" s="8"/>
    </row>
    <row r="2641" spans="2:2" ht="15.75" customHeight="1" x14ac:dyDescent="0.2">
      <c r="B2641" s="8"/>
    </row>
    <row r="2642" spans="2:2" ht="15.75" customHeight="1" x14ac:dyDescent="0.2">
      <c r="B2642" s="8"/>
    </row>
    <row r="2643" spans="2:2" ht="15.75" customHeight="1" x14ac:dyDescent="0.2">
      <c r="B2643" s="8"/>
    </row>
    <row r="2644" spans="2:2" ht="15.75" customHeight="1" x14ac:dyDescent="0.2">
      <c r="B2644" s="8"/>
    </row>
    <row r="2645" spans="2:2" ht="15.75" customHeight="1" x14ac:dyDescent="0.2">
      <c r="B2645" s="8"/>
    </row>
    <row r="2646" spans="2:2" ht="15.75" customHeight="1" x14ac:dyDescent="0.2">
      <c r="B2646" s="8"/>
    </row>
    <row r="2647" spans="2:2" ht="15.75" customHeight="1" x14ac:dyDescent="0.2">
      <c r="B2647" s="8"/>
    </row>
    <row r="2648" spans="2:2" ht="15.75" customHeight="1" x14ac:dyDescent="0.2">
      <c r="B2648" s="8"/>
    </row>
    <row r="2649" spans="2:2" ht="15.75" customHeight="1" x14ac:dyDescent="0.2">
      <c r="B2649" s="8"/>
    </row>
    <row r="2650" spans="2:2" ht="15.75" customHeight="1" x14ac:dyDescent="0.2">
      <c r="B2650" s="8"/>
    </row>
    <row r="2651" spans="2:2" ht="15.75" customHeight="1" x14ac:dyDescent="0.2">
      <c r="B2651" s="8"/>
    </row>
    <row r="2652" spans="2:2" ht="15.75" customHeight="1" x14ac:dyDescent="0.2">
      <c r="B2652" s="8"/>
    </row>
    <row r="2653" spans="2:2" ht="15.75" customHeight="1" x14ac:dyDescent="0.2">
      <c r="B2653" s="8"/>
    </row>
    <row r="2654" spans="2:2" ht="15.75" customHeight="1" x14ac:dyDescent="0.2">
      <c r="B2654" s="8"/>
    </row>
    <row r="2655" spans="2:2" ht="15.75" customHeight="1" x14ac:dyDescent="0.2">
      <c r="B2655" s="8"/>
    </row>
    <row r="2656" spans="2:2" ht="15.75" customHeight="1" x14ac:dyDescent="0.2">
      <c r="B2656" s="8"/>
    </row>
    <row r="2657" spans="2:2" ht="15.75" customHeight="1" x14ac:dyDescent="0.2">
      <c r="B2657" s="8"/>
    </row>
    <row r="2658" spans="2:2" ht="15.75" customHeight="1" x14ac:dyDescent="0.2">
      <c r="B2658" s="8"/>
    </row>
    <row r="2659" spans="2:2" ht="15.75" customHeight="1" x14ac:dyDescent="0.2">
      <c r="B2659" s="8"/>
    </row>
    <row r="2660" spans="2:2" ht="15.75" customHeight="1" x14ac:dyDescent="0.2">
      <c r="B2660" s="8"/>
    </row>
    <row r="2661" spans="2:2" ht="15.75" customHeight="1" x14ac:dyDescent="0.2">
      <c r="B2661" s="8"/>
    </row>
    <row r="2662" spans="2:2" ht="15.75" customHeight="1" x14ac:dyDescent="0.2">
      <c r="B2662" s="8"/>
    </row>
    <row r="2663" spans="2:2" ht="15.75" customHeight="1" x14ac:dyDescent="0.2">
      <c r="B2663" s="8"/>
    </row>
    <row r="2664" spans="2:2" ht="15.75" customHeight="1" x14ac:dyDescent="0.2">
      <c r="B2664" s="8"/>
    </row>
    <row r="2665" spans="2:2" ht="15.75" customHeight="1" x14ac:dyDescent="0.2">
      <c r="B2665" s="8"/>
    </row>
    <row r="2666" spans="2:2" ht="15.75" customHeight="1" x14ac:dyDescent="0.2">
      <c r="B2666" s="8"/>
    </row>
    <row r="2667" spans="2:2" ht="15.75" customHeight="1" x14ac:dyDescent="0.2">
      <c r="B2667" s="8"/>
    </row>
    <row r="2668" spans="2:2" ht="15.75" customHeight="1" x14ac:dyDescent="0.2">
      <c r="B2668" s="8"/>
    </row>
    <row r="2669" spans="2:2" ht="15.75" customHeight="1" x14ac:dyDescent="0.2">
      <c r="B2669" s="8"/>
    </row>
    <row r="2670" spans="2:2" ht="15.75" customHeight="1" x14ac:dyDescent="0.2">
      <c r="B2670" s="8"/>
    </row>
    <row r="2671" spans="2:2" ht="15.75" customHeight="1" x14ac:dyDescent="0.2">
      <c r="B2671" s="8"/>
    </row>
    <row r="2672" spans="2:2" ht="15.75" customHeight="1" x14ac:dyDescent="0.2">
      <c r="B2672" s="8"/>
    </row>
    <row r="2673" spans="2:2" ht="15.75" customHeight="1" x14ac:dyDescent="0.2">
      <c r="B2673" s="8"/>
    </row>
    <row r="2674" spans="2:2" ht="15.75" customHeight="1" x14ac:dyDescent="0.2">
      <c r="B2674" s="8"/>
    </row>
    <row r="2675" spans="2:2" ht="15.75" customHeight="1" x14ac:dyDescent="0.2">
      <c r="B2675" s="8"/>
    </row>
    <row r="2676" spans="2:2" ht="15.75" customHeight="1" x14ac:dyDescent="0.2">
      <c r="B2676" s="8"/>
    </row>
    <row r="2677" spans="2:2" ht="15.75" customHeight="1" x14ac:dyDescent="0.2">
      <c r="B2677" s="8"/>
    </row>
    <row r="2678" spans="2:2" ht="15.75" customHeight="1" x14ac:dyDescent="0.2">
      <c r="B2678" s="8"/>
    </row>
    <row r="2679" spans="2:2" ht="15.75" customHeight="1" x14ac:dyDescent="0.2">
      <c r="B2679" s="8"/>
    </row>
    <row r="2680" spans="2:2" ht="15.75" customHeight="1" x14ac:dyDescent="0.2">
      <c r="B2680" s="8"/>
    </row>
    <row r="2681" spans="2:2" ht="15.75" customHeight="1" x14ac:dyDescent="0.2">
      <c r="B2681" s="8"/>
    </row>
    <row r="2682" spans="2:2" ht="15.75" customHeight="1" x14ac:dyDescent="0.2">
      <c r="B2682" s="8"/>
    </row>
    <row r="2683" spans="2:2" ht="15.75" customHeight="1" x14ac:dyDescent="0.2">
      <c r="B2683" s="8"/>
    </row>
    <row r="2684" spans="2:2" ht="15.75" customHeight="1" x14ac:dyDescent="0.2">
      <c r="B2684" s="8"/>
    </row>
    <row r="2685" spans="2:2" ht="15.75" customHeight="1" x14ac:dyDescent="0.2">
      <c r="B2685" s="8"/>
    </row>
    <row r="2686" spans="2:2" ht="15.75" customHeight="1" x14ac:dyDescent="0.2">
      <c r="B2686" s="8"/>
    </row>
    <row r="2687" spans="2:2" ht="15.75" customHeight="1" x14ac:dyDescent="0.2">
      <c r="B2687" s="8"/>
    </row>
    <row r="2688" spans="2:2" ht="15.75" customHeight="1" x14ac:dyDescent="0.2">
      <c r="B2688" s="8"/>
    </row>
    <row r="2689" spans="2:2" ht="15.75" customHeight="1" x14ac:dyDescent="0.2">
      <c r="B2689" s="8"/>
    </row>
    <row r="2690" spans="2:2" ht="15.75" customHeight="1" x14ac:dyDescent="0.2">
      <c r="B2690" s="8"/>
    </row>
    <row r="2691" spans="2:2" ht="15.75" customHeight="1" x14ac:dyDescent="0.2">
      <c r="B2691" s="8"/>
    </row>
    <row r="2692" spans="2:2" ht="15.75" customHeight="1" x14ac:dyDescent="0.2">
      <c r="B2692" s="8"/>
    </row>
    <row r="2693" spans="2:2" ht="15.75" customHeight="1" x14ac:dyDescent="0.2">
      <c r="B2693" s="8"/>
    </row>
    <row r="2694" spans="2:2" ht="15.75" customHeight="1" x14ac:dyDescent="0.2">
      <c r="B2694" s="8"/>
    </row>
    <row r="2695" spans="2:2" ht="15.75" customHeight="1" x14ac:dyDescent="0.2">
      <c r="B2695" s="8"/>
    </row>
    <row r="2696" spans="2:2" ht="15.75" customHeight="1" x14ac:dyDescent="0.2">
      <c r="B2696" s="8"/>
    </row>
    <row r="2697" spans="2:2" ht="15.75" customHeight="1" x14ac:dyDescent="0.2">
      <c r="B2697" s="8"/>
    </row>
    <row r="2698" spans="2:2" ht="15.75" customHeight="1" x14ac:dyDescent="0.2">
      <c r="B2698" s="8"/>
    </row>
    <row r="2699" spans="2:2" ht="15.75" customHeight="1" x14ac:dyDescent="0.2">
      <c r="B2699" s="8"/>
    </row>
    <row r="2700" spans="2:2" ht="15.75" customHeight="1" x14ac:dyDescent="0.2">
      <c r="B2700" s="8"/>
    </row>
    <row r="2701" spans="2:2" ht="15.75" customHeight="1" x14ac:dyDescent="0.2">
      <c r="B2701" s="8"/>
    </row>
    <row r="2702" spans="2:2" ht="15.75" customHeight="1" x14ac:dyDescent="0.2">
      <c r="B2702" s="8"/>
    </row>
    <row r="2703" spans="2:2" ht="15.75" customHeight="1" x14ac:dyDescent="0.2">
      <c r="B2703" s="8"/>
    </row>
    <row r="2704" spans="2:2" ht="15.75" customHeight="1" x14ac:dyDescent="0.2">
      <c r="B2704" s="8"/>
    </row>
    <row r="2705" spans="2:2" ht="15.75" customHeight="1" x14ac:dyDescent="0.2">
      <c r="B2705" s="8"/>
    </row>
    <row r="2706" spans="2:2" ht="15.75" customHeight="1" x14ac:dyDescent="0.2">
      <c r="B2706" s="8"/>
    </row>
    <row r="2707" spans="2:2" ht="15.75" customHeight="1" x14ac:dyDescent="0.2">
      <c r="B2707" s="8"/>
    </row>
    <row r="2708" spans="2:2" ht="15.75" customHeight="1" x14ac:dyDescent="0.2">
      <c r="B2708" s="8"/>
    </row>
    <row r="2709" spans="2:2" ht="15.75" customHeight="1" x14ac:dyDescent="0.2">
      <c r="B2709" s="8"/>
    </row>
    <row r="2710" spans="2:2" ht="15.75" customHeight="1" x14ac:dyDescent="0.2">
      <c r="B2710" s="8"/>
    </row>
    <row r="2711" spans="2:2" ht="15.75" customHeight="1" x14ac:dyDescent="0.2">
      <c r="B2711" s="8"/>
    </row>
    <row r="2712" spans="2:2" ht="15.75" customHeight="1" x14ac:dyDescent="0.2">
      <c r="B2712" s="8"/>
    </row>
    <row r="2713" spans="2:2" ht="15.75" customHeight="1" x14ac:dyDescent="0.2">
      <c r="B2713" s="8"/>
    </row>
    <row r="2714" spans="2:2" ht="15.75" customHeight="1" x14ac:dyDescent="0.2">
      <c r="B2714" s="8"/>
    </row>
    <row r="2715" spans="2:2" ht="15.75" customHeight="1" x14ac:dyDescent="0.2">
      <c r="B2715" s="8"/>
    </row>
    <row r="2716" spans="2:2" ht="15.75" customHeight="1" x14ac:dyDescent="0.2">
      <c r="B2716" s="8"/>
    </row>
    <row r="2717" spans="2:2" ht="15.75" customHeight="1" x14ac:dyDescent="0.2">
      <c r="B2717" s="8"/>
    </row>
    <row r="2718" spans="2:2" ht="15.75" customHeight="1" x14ac:dyDescent="0.2">
      <c r="B2718" s="8"/>
    </row>
    <row r="2719" spans="2:2" ht="15.75" customHeight="1" x14ac:dyDescent="0.2">
      <c r="B2719" s="8"/>
    </row>
    <row r="2720" spans="2:2" ht="15.75" customHeight="1" x14ac:dyDescent="0.2">
      <c r="B2720" s="8"/>
    </row>
    <row r="2721" spans="2:2" ht="15.75" customHeight="1" x14ac:dyDescent="0.2">
      <c r="B2721" s="8"/>
    </row>
    <row r="2722" spans="2:2" ht="15.75" customHeight="1" x14ac:dyDescent="0.2">
      <c r="B2722" s="8"/>
    </row>
    <row r="2723" spans="2:2" ht="15.75" customHeight="1" x14ac:dyDescent="0.2">
      <c r="B2723" s="8"/>
    </row>
    <row r="2724" spans="2:2" ht="15.75" customHeight="1" x14ac:dyDescent="0.2">
      <c r="B2724" s="8"/>
    </row>
    <row r="2725" spans="2:2" ht="15.75" customHeight="1" x14ac:dyDescent="0.2">
      <c r="B2725" s="8"/>
    </row>
    <row r="2726" spans="2:2" ht="15.75" customHeight="1" x14ac:dyDescent="0.2">
      <c r="B2726" s="8"/>
    </row>
    <row r="2727" spans="2:2" ht="15.75" customHeight="1" x14ac:dyDescent="0.2">
      <c r="B2727" s="8"/>
    </row>
    <row r="2728" spans="2:2" ht="15.75" customHeight="1" x14ac:dyDescent="0.2">
      <c r="B2728" s="8"/>
    </row>
    <row r="2729" spans="2:2" ht="15.75" customHeight="1" x14ac:dyDescent="0.2">
      <c r="B2729" s="8"/>
    </row>
    <row r="2730" spans="2:2" ht="15.75" customHeight="1" x14ac:dyDescent="0.2">
      <c r="B2730" s="8"/>
    </row>
    <row r="2731" spans="2:2" ht="15.75" customHeight="1" x14ac:dyDescent="0.2">
      <c r="B2731" s="8"/>
    </row>
    <row r="2732" spans="2:2" ht="15.75" customHeight="1" x14ac:dyDescent="0.2">
      <c r="B2732" s="8"/>
    </row>
    <row r="2733" spans="2:2" ht="15.75" customHeight="1" x14ac:dyDescent="0.2">
      <c r="B2733" s="8"/>
    </row>
    <row r="2734" spans="2:2" ht="15.75" customHeight="1" x14ac:dyDescent="0.2">
      <c r="B2734" s="8"/>
    </row>
    <row r="2735" spans="2:2" ht="15.75" customHeight="1" x14ac:dyDescent="0.2">
      <c r="B2735" s="8"/>
    </row>
    <row r="2736" spans="2:2" ht="15.75" customHeight="1" x14ac:dyDescent="0.2">
      <c r="B2736" s="8"/>
    </row>
    <row r="2737" spans="2:2" ht="15.75" customHeight="1" x14ac:dyDescent="0.2">
      <c r="B2737" s="8"/>
    </row>
    <row r="2738" spans="2:2" ht="15.75" customHeight="1" x14ac:dyDescent="0.2">
      <c r="B2738" s="8"/>
    </row>
    <row r="2739" spans="2:2" ht="15.75" customHeight="1" x14ac:dyDescent="0.2">
      <c r="B2739" s="8"/>
    </row>
    <row r="2740" spans="2:2" ht="15.75" customHeight="1" x14ac:dyDescent="0.2">
      <c r="B2740" s="8"/>
    </row>
    <row r="2741" spans="2:2" ht="15.75" customHeight="1" x14ac:dyDescent="0.2">
      <c r="B2741" s="8"/>
    </row>
    <row r="2742" spans="2:2" ht="15.75" customHeight="1" x14ac:dyDescent="0.2">
      <c r="B2742" s="8"/>
    </row>
    <row r="2743" spans="2:2" ht="15.75" customHeight="1" x14ac:dyDescent="0.2">
      <c r="B2743" s="8"/>
    </row>
    <row r="2744" spans="2:2" ht="15.75" customHeight="1" x14ac:dyDescent="0.2">
      <c r="B2744" s="8"/>
    </row>
    <row r="2745" spans="2:2" ht="15.75" customHeight="1" x14ac:dyDescent="0.2">
      <c r="B2745" s="8"/>
    </row>
    <row r="2746" spans="2:2" ht="15.75" customHeight="1" x14ac:dyDescent="0.2">
      <c r="B2746" s="8"/>
    </row>
    <row r="2747" spans="2:2" ht="15.75" customHeight="1" x14ac:dyDescent="0.2">
      <c r="B2747" s="8"/>
    </row>
    <row r="2748" spans="2:2" ht="15.75" customHeight="1" x14ac:dyDescent="0.2">
      <c r="B2748" s="8"/>
    </row>
    <row r="2749" spans="2:2" ht="15.75" customHeight="1" x14ac:dyDescent="0.2">
      <c r="B2749" s="8"/>
    </row>
    <row r="2750" spans="2:2" ht="15.75" customHeight="1" x14ac:dyDescent="0.2">
      <c r="B2750" s="8"/>
    </row>
    <row r="2751" spans="2:2" ht="15.75" customHeight="1" x14ac:dyDescent="0.2">
      <c r="B2751" s="8"/>
    </row>
    <row r="2752" spans="2:2" ht="15.75" customHeight="1" x14ac:dyDescent="0.2">
      <c r="B2752" s="8"/>
    </row>
    <row r="2753" spans="2:2" ht="15.75" customHeight="1" x14ac:dyDescent="0.2">
      <c r="B2753" s="8"/>
    </row>
    <row r="2754" spans="2:2" ht="15.75" customHeight="1" x14ac:dyDescent="0.2">
      <c r="B2754" s="8"/>
    </row>
    <row r="2755" spans="2:2" ht="15.75" customHeight="1" x14ac:dyDescent="0.2">
      <c r="B2755" s="8"/>
    </row>
    <row r="2756" spans="2:2" ht="15.75" customHeight="1" x14ac:dyDescent="0.2">
      <c r="B2756" s="8"/>
    </row>
    <row r="2757" spans="2:2" ht="15.75" customHeight="1" x14ac:dyDescent="0.2">
      <c r="B2757" s="8"/>
    </row>
    <row r="2758" spans="2:2" ht="15.75" customHeight="1" x14ac:dyDescent="0.2">
      <c r="B2758" s="8"/>
    </row>
    <row r="2759" spans="2:2" ht="15.75" customHeight="1" x14ac:dyDescent="0.2">
      <c r="B2759" s="8"/>
    </row>
    <row r="2760" spans="2:2" ht="15.75" customHeight="1" x14ac:dyDescent="0.2">
      <c r="B2760" s="8"/>
    </row>
    <row r="2761" spans="2:2" ht="15.75" customHeight="1" x14ac:dyDescent="0.2">
      <c r="B2761" s="8"/>
    </row>
    <row r="2762" spans="2:2" ht="15.75" customHeight="1" x14ac:dyDescent="0.2">
      <c r="B2762" s="8"/>
    </row>
    <row r="2763" spans="2:2" ht="15.75" customHeight="1" x14ac:dyDescent="0.2">
      <c r="B2763" s="8"/>
    </row>
    <row r="2764" spans="2:2" ht="15.75" customHeight="1" x14ac:dyDescent="0.2">
      <c r="B2764" s="8"/>
    </row>
    <row r="2765" spans="2:2" ht="15.75" customHeight="1" x14ac:dyDescent="0.2">
      <c r="B2765" s="8"/>
    </row>
    <row r="2766" spans="2:2" ht="15.75" customHeight="1" x14ac:dyDescent="0.2">
      <c r="B2766" s="8"/>
    </row>
    <row r="2767" spans="2:2" ht="15.75" customHeight="1" x14ac:dyDescent="0.2">
      <c r="B2767" s="8"/>
    </row>
    <row r="2768" spans="2:2" ht="15.75" customHeight="1" x14ac:dyDescent="0.2">
      <c r="B2768" s="8"/>
    </row>
    <row r="2769" spans="2:2" ht="15.75" customHeight="1" x14ac:dyDescent="0.2">
      <c r="B2769" s="8"/>
    </row>
    <row r="2770" spans="2:2" ht="15.75" customHeight="1" x14ac:dyDescent="0.2">
      <c r="B2770" s="8"/>
    </row>
    <row r="2771" spans="2:2" ht="15.75" customHeight="1" x14ac:dyDescent="0.2">
      <c r="B2771" s="8"/>
    </row>
    <row r="2772" spans="2:2" ht="15.75" customHeight="1" x14ac:dyDescent="0.2">
      <c r="B2772" s="8"/>
    </row>
    <row r="2773" spans="2:2" ht="15.75" customHeight="1" x14ac:dyDescent="0.2">
      <c r="B2773" s="8"/>
    </row>
    <row r="2774" spans="2:2" ht="15.75" customHeight="1" x14ac:dyDescent="0.2">
      <c r="B2774" s="8"/>
    </row>
    <row r="2775" spans="2:2" ht="15.75" customHeight="1" x14ac:dyDescent="0.2">
      <c r="B2775" s="8"/>
    </row>
    <row r="2776" spans="2:2" ht="15.75" customHeight="1" x14ac:dyDescent="0.2">
      <c r="B2776" s="8"/>
    </row>
    <row r="2777" spans="2:2" ht="15.75" customHeight="1" x14ac:dyDescent="0.2">
      <c r="B2777" s="8"/>
    </row>
    <row r="2778" spans="2:2" ht="15.75" customHeight="1" x14ac:dyDescent="0.2">
      <c r="B2778" s="8"/>
    </row>
    <row r="2779" spans="2:2" ht="15.75" customHeight="1" x14ac:dyDescent="0.2">
      <c r="B2779" s="8"/>
    </row>
    <row r="2780" spans="2:2" ht="15.75" customHeight="1" x14ac:dyDescent="0.2">
      <c r="B2780" s="8"/>
    </row>
    <row r="2781" spans="2:2" ht="15.75" customHeight="1" x14ac:dyDescent="0.2">
      <c r="B2781" s="8"/>
    </row>
    <row r="2782" spans="2:2" ht="15.75" customHeight="1" x14ac:dyDescent="0.2">
      <c r="B2782" s="8"/>
    </row>
    <row r="2783" spans="2:2" ht="15.75" customHeight="1" x14ac:dyDescent="0.2">
      <c r="B2783" s="8"/>
    </row>
    <row r="2784" spans="2:2" ht="15.75" customHeight="1" x14ac:dyDescent="0.2">
      <c r="B2784" s="8"/>
    </row>
    <row r="2785" spans="2:2" ht="15.75" customHeight="1" x14ac:dyDescent="0.2">
      <c r="B2785" s="8"/>
    </row>
    <row r="2786" spans="2:2" ht="15.75" customHeight="1" x14ac:dyDescent="0.2">
      <c r="B2786" s="8"/>
    </row>
    <row r="2787" spans="2:2" ht="15.75" customHeight="1" x14ac:dyDescent="0.2">
      <c r="B2787" s="8"/>
    </row>
    <row r="2788" spans="2:2" ht="15.75" customHeight="1" x14ac:dyDescent="0.2">
      <c r="B2788" s="8"/>
    </row>
    <row r="2789" spans="2:2" ht="15.75" customHeight="1" x14ac:dyDescent="0.2">
      <c r="B2789" s="8"/>
    </row>
    <row r="2790" spans="2:2" ht="15.75" customHeight="1" x14ac:dyDescent="0.2">
      <c r="B2790" s="8"/>
    </row>
    <row r="2791" spans="2:2" ht="15.75" customHeight="1" x14ac:dyDescent="0.2">
      <c r="B2791" s="8"/>
    </row>
    <row r="2792" spans="2:2" ht="15.75" customHeight="1" x14ac:dyDescent="0.2">
      <c r="B2792" s="8"/>
    </row>
    <row r="2793" spans="2:2" ht="15.75" customHeight="1" x14ac:dyDescent="0.2">
      <c r="B2793" s="8"/>
    </row>
    <row r="2794" spans="2:2" ht="15.75" customHeight="1" x14ac:dyDescent="0.2">
      <c r="B2794" s="8"/>
    </row>
    <row r="2795" spans="2:2" ht="15.75" customHeight="1" x14ac:dyDescent="0.2">
      <c r="B2795" s="8"/>
    </row>
    <row r="2796" spans="2:2" ht="15.75" customHeight="1" x14ac:dyDescent="0.2">
      <c r="B2796" s="8"/>
    </row>
    <row r="2797" spans="2:2" ht="15.75" customHeight="1" x14ac:dyDescent="0.2">
      <c r="B2797" s="8"/>
    </row>
    <row r="2798" spans="2:2" ht="15.75" customHeight="1" x14ac:dyDescent="0.2">
      <c r="B2798" s="8"/>
    </row>
    <row r="2799" spans="2:2" ht="15.75" customHeight="1" x14ac:dyDescent="0.2">
      <c r="B2799" s="8"/>
    </row>
    <row r="2800" spans="2:2" ht="15.75" customHeight="1" x14ac:dyDescent="0.2">
      <c r="B2800" s="8"/>
    </row>
    <row r="2801" spans="2:2" ht="15.75" customHeight="1" x14ac:dyDescent="0.2">
      <c r="B2801" s="8"/>
    </row>
    <row r="2802" spans="2:2" ht="15.75" customHeight="1" x14ac:dyDescent="0.2">
      <c r="B2802" s="8"/>
    </row>
    <row r="2803" spans="2:2" ht="15.75" customHeight="1" x14ac:dyDescent="0.2">
      <c r="B2803" s="8"/>
    </row>
    <row r="2804" spans="2:2" ht="15.75" customHeight="1" x14ac:dyDescent="0.2">
      <c r="B2804" s="8"/>
    </row>
    <row r="2805" spans="2:2" ht="15.75" customHeight="1" x14ac:dyDescent="0.2">
      <c r="B2805" s="8"/>
    </row>
    <row r="2806" spans="2:2" ht="15.75" customHeight="1" x14ac:dyDescent="0.2">
      <c r="B2806" s="8"/>
    </row>
    <row r="2807" spans="2:2" ht="15.75" customHeight="1" x14ac:dyDescent="0.2">
      <c r="B2807" s="8"/>
    </row>
    <row r="2808" spans="2:2" ht="15.75" customHeight="1" x14ac:dyDescent="0.2">
      <c r="B2808" s="8"/>
    </row>
    <row r="2809" spans="2:2" ht="15.75" customHeight="1" x14ac:dyDescent="0.2">
      <c r="B2809" s="8"/>
    </row>
    <row r="2810" spans="2:2" ht="15.75" customHeight="1" x14ac:dyDescent="0.2">
      <c r="B2810" s="8"/>
    </row>
    <row r="2811" spans="2:2" ht="15.75" customHeight="1" x14ac:dyDescent="0.2">
      <c r="B2811" s="8"/>
    </row>
    <row r="2812" spans="2:2" ht="15.75" customHeight="1" x14ac:dyDescent="0.2">
      <c r="B2812" s="8"/>
    </row>
    <row r="2813" spans="2:2" ht="15.75" customHeight="1" x14ac:dyDescent="0.2">
      <c r="B2813" s="8"/>
    </row>
    <row r="2814" spans="2:2" ht="15.75" customHeight="1" x14ac:dyDescent="0.2">
      <c r="B2814" s="8"/>
    </row>
    <row r="2815" spans="2:2" ht="15.75" customHeight="1" x14ac:dyDescent="0.2">
      <c r="B2815" s="8"/>
    </row>
    <row r="2816" spans="2:2" ht="15.75" customHeight="1" x14ac:dyDescent="0.2">
      <c r="B2816" s="8"/>
    </row>
    <row r="2817" spans="2:2" ht="15.75" customHeight="1" x14ac:dyDescent="0.2">
      <c r="B2817" s="8"/>
    </row>
    <row r="2818" spans="2:2" ht="15.75" customHeight="1" x14ac:dyDescent="0.2">
      <c r="B2818" s="8"/>
    </row>
    <row r="2819" spans="2:2" ht="15.75" customHeight="1" x14ac:dyDescent="0.2">
      <c r="B2819" s="8"/>
    </row>
    <row r="2820" spans="2:2" ht="15.75" customHeight="1" x14ac:dyDescent="0.2">
      <c r="B2820" s="8"/>
    </row>
    <row r="2821" spans="2:2" ht="15.75" customHeight="1" x14ac:dyDescent="0.2">
      <c r="B2821" s="8"/>
    </row>
    <row r="2822" spans="2:2" ht="15.75" customHeight="1" x14ac:dyDescent="0.2">
      <c r="B2822" s="8"/>
    </row>
    <row r="2823" spans="2:2" ht="15.75" customHeight="1" x14ac:dyDescent="0.2">
      <c r="B2823" s="8"/>
    </row>
    <row r="2824" spans="2:2" ht="15.75" customHeight="1" x14ac:dyDescent="0.2">
      <c r="B2824" s="8"/>
    </row>
    <row r="2825" spans="2:2" ht="15.75" customHeight="1" x14ac:dyDescent="0.2">
      <c r="B2825" s="8"/>
    </row>
    <row r="2826" spans="2:2" ht="15.75" customHeight="1" x14ac:dyDescent="0.2">
      <c r="B2826" s="8"/>
    </row>
    <row r="2827" spans="2:2" ht="15.75" customHeight="1" x14ac:dyDescent="0.2">
      <c r="B2827" s="8"/>
    </row>
    <row r="2828" spans="2:2" ht="15.75" customHeight="1" x14ac:dyDescent="0.2">
      <c r="B2828" s="8"/>
    </row>
    <row r="2829" spans="2:2" ht="15.75" customHeight="1" x14ac:dyDescent="0.2">
      <c r="B2829" s="8"/>
    </row>
    <row r="2830" spans="2:2" ht="15.75" customHeight="1" x14ac:dyDescent="0.2">
      <c r="B2830" s="8"/>
    </row>
    <row r="2831" spans="2:2" ht="15.75" customHeight="1" x14ac:dyDescent="0.2">
      <c r="B2831" s="8"/>
    </row>
    <row r="2832" spans="2:2" ht="15.75" customHeight="1" x14ac:dyDescent="0.2">
      <c r="B2832" s="8"/>
    </row>
    <row r="2833" spans="2:2" ht="15.75" customHeight="1" x14ac:dyDescent="0.2">
      <c r="B2833" s="8"/>
    </row>
    <row r="2834" spans="2:2" ht="15.75" customHeight="1" x14ac:dyDescent="0.2">
      <c r="B2834" s="8"/>
    </row>
    <row r="2835" spans="2:2" ht="15.75" customHeight="1" x14ac:dyDescent="0.2">
      <c r="B2835" s="8"/>
    </row>
    <row r="2836" spans="2:2" ht="15.75" customHeight="1" x14ac:dyDescent="0.2">
      <c r="B2836" s="8"/>
    </row>
    <row r="2837" spans="2:2" ht="15.75" customHeight="1" x14ac:dyDescent="0.2">
      <c r="B2837" s="8"/>
    </row>
    <row r="2838" spans="2:2" ht="15.75" customHeight="1" x14ac:dyDescent="0.2">
      <c r="B2838" s="8"/>
    </row>
    <row r="2839" spans="2:2" ht="15.75" customHeight="1" x14ac:dyDescent="0.2">
      <c r="B2839" s="8"/>
    </row>
    <row r="2840" spans="2:2" ht="15.75" customHeight="1" x14ac:dyDescent="0.2">
      <c r="B2840" s="8"/>
    </row>
    <row r="2841" spans="2:2" ht="15.75" customHeight="1" x14ac:dyDescent="0.2">
      <c r="B2841" s="8"/>
    </row>
    <row r="2842" spans="2:2" ht="15.75" customHeight="1" x14ac:dyDescent="0.2">
      <c r="B2842" s="8"/>
    </row>
    <row r="2843" spans="2:2" ht="15.75" customHeight="1" x14ac:dyDescent="0.2">
      <c r="B2843" s="8"/>
    </row>
    <row r="2844" spans="2:2" ht="15.75" customHeight="1" x14ac:dyDescent="0.2">
      <c r="B2844" s="8"/>
    </row>
    <row r="2845" spans="2:2" ht="15.75" customHeight="1" x14ac:dyDescent="0.2">
      <c r="B2845" s="8"/>
    </row>
    <row r="2846" spans="2:2" ht="15.75" customHeight="1" x14ac:dyDescent="0.2">
      <c r="B2846" s="8"/>
    </row>
    <row r="2847" spans="2:2" ht="15.75" customHeight="1" x14ac:dyDescent="0.2">
      <c r="B2847" s="8"/>
    </row>
    <row r="2848" spans="2:2" ht="15.75" customHeight="1" x14ac:dyDescent="0.2">
      <c r="B2848" s="8"/>
    </row>
    <row r="2849" spans="2:2" ht="15.75" customHeight="1" x14ac:dyDescent="0.2">
      <c r="B2849" s="8"/>
    </row>
    <row r="2850" spans="2:2" ht="15.75" customHeight="1" x14ac:dyDescent="0.2">
      <c r="B2850" s="8"/>
    </row>
    <row r="2851" spans="2:2" ht="15.75" customHeight="1" x14ac:dyDescent="0.2">
      <c r="B2851" s="8"/>
    </row>
    <row r="2852" spans="2:2" ht="15.75" customHeight="1" x14ac:dyDescent="0.2">
      <c r="B2852" s="8"/>
    </row>
    <row r="2853" spans="2:2" ht="15.75" customHeight="1" x14ac:dyDescent="0.2">
      <c r="B2853" s="8"/>
    </row>
    <row r="2854" spans="2:2" ht="15.75" customHeight="1" x14ac:dyDescent="0.2">
      <c r="B2854" s="8"/>
    </row>
    <row r="2855" spans="2:2" ht="15.75" customHeight="1" x14ac:dyDescent="0.2">
      <c r="B2855" s="8"/>
    </row>
    <row r="2856" spans="2:2" ht="15.75" customHeight="1" x14ac:dyDescent="0.2">
      <c r="B2856" s="8"/>
    </row>
    <row r="2857" spans="2:2" ht="15.75" customHeight="1" x14ac:dyDescent="0.2">
      <c r="B2857" s="8"/>
    </row>
    <row r="2858" spans="2:2" ht="15.75" customHeight="1" x14ac:dyDescent="0.2">
      <c r="B2858" s="8"/>
    </row>
    <row r="2859" spans="2:2" ht="15.75" customHeight="1" x14ac:dyDescent="0.2">
      <c r="B2859" s="8"/>
    </row>
    <row r="2860" spans="2:2" ht="15.75" customHeight="1" x14ac:dyDescent="0.2">
      <c r="B2860" s="8"/>
    </row>
    <row r="2861" spans="2:2" ht="15.75" customHeight="1" x14ac:dyDescent="0.2">
      <c r="B2861" s="8"/>
    </row>
    <row r="2862" spans="2:2" ht="15.75" customHeight="1" x14ac:dyDescent="0.2">
      <c r="B2862" s="8"/>
    </row>
    <row r="2863" spans="2:2" ht="15.75" customHeight="1" x14ac:dyDescent="0.2">
      <c r="B2863" s="8"/>
    </row>
    <row r="2864" spans="2:2" ht="15.75" customHeight="1" x14ac:dyDescent="0.2">
      <c r="B2864" s="8"/>
    </row>
    <row r="2865" spans="2:2" ht="15.75" customHeight="1" x14ac:dyDescent="0.2">
      <c r="B2865" s="8"/>
    </row>
    <row r="2866" spans="2:2" ht="15.75" customHeight="1" x14ac:dyDescent="0.2">
      <c r="B2866" s="8"/>
    </row>
    <row r="2867" spans="2:2" ht="15.75" customHeight="1" x14ac:dyDescent="0.2">
      <c r="B2867" s="8"/>
    </row>
    <row r="2868" spans="2:2" ht="15.75" customHeight="1" x14ac:dyDescent="0.2">
      <c r="B2868" s="8"/>
    </row>
    <row r="2869" spans="2:2" ht="15.75" customHeight="1" x14ac:dyDescent="0.2">
      <c r="B2869" s="8"/>
    </row>
    <row r="2870" spans="2:2" ht="15.75" customHeight="1" x14ac:dyDescent="0.2">
      <c r="B2870" s="8"/>
    </row>
    <row r="2871" spans="2:2" ht="15.75" customHeight="1" x14ac:dyDescent="0.2">
      <c r="B2871" s="8"/>
    </row>
    <row r="2872" spans="2:2" ht="15.75" customHeight="1" x14ac:dyDescent="0.2">
      <c r="B2872" s="8"/>
    </row>
    <row r="2873" spans="2:2" ht="15.75" customHeight="1" x14ac:dyDescent="0.2">
      <c r="B2873" s="8"/>
    </row>
    <row r="2874" spans="2:2" ht="15.75" customHeight="1" x14ac:dyDescent="0.2">
      <c r="B2874" s="8"/>
    </row>
    <row r="2875" spans="2:2" ht="15.75" customHeight="1" x14ac:dyDescent="0.2">
      <c r="B2875" s="8"/>
    </row>
    <row r="2876" spans="2:2" ht="15.75" customHeight="1" x14ac:dyDescent="0.2">
      <c r="B2876" s="8"/>
    </row>
    <row r="2877" spans="2:2" ht="15.75" customHeight="1" x14ac:dyDescent="0.2">
      <c r="B2877" s="8"/>
    </row>
    <row r="2878" spans="2:2" ht="15.75" customHeight="1" x14ac:dyDescent="0.2">
      <c r="B2878" s="8"/>
    </row>
    <row r="2879" spans="2:2" ht="15.75" customHeight="1" x14ac:dyDescent="0.2">
      <c r="B2879" s="8"/>
    </row>
    <row r="2880" spans="2:2" ht="15.75" customHeight="1" x14ac:dyDescent="0.2">
      <c r="B2880" s="8"/>
    </row>
    <row r="2881" spans="2:2" ht="15.75" customHeight="1" x14ac:dyDescent="0.2">
      <c r="B2881" s="8"/>
    </row>
    <row r="2882" spans="2:2" ht="15.75" customHeight="1" x14ac:dyDescent="0.2">
      <c r="B2882" s="8"/>
    </row>
    <row r="2883" spans="2:2" ht="15.75" customHeight="1" x14ac:dyDescent="0.2">
      <c r="B2883" s="8"/>
    </row>
    <row r="2884" spans="2:2" ht="15.75" customHeight="1" x14ac:dyDescent="0.2">
      <c r="B2884" s="8"/>
    </row>
    <row r="2885" spans="2:2" ht="15.75" customHeight="1" x14ac:dyDescent="0.2">
      <c r="B2885" s="8"/>
    </row>
    <row r="2886" spans="2:2" ht="15.75" customHeight="1" x14ac:dyDescent="0.2">
      <c r="B2886" s="8"/>
    </row>
    <row r="2887" spans="2:2" ht="15.75" customHeight="1" x14ac:dyDescent="0.2">
      <c r="B2887" s="8"/>
    </row>
    <row r="2888" spans="2:2" ht="15.75" customHeight="1" x14ac:dyDescent="0.2">
      <c r="B2888" s="8"/>
    </row>
    <row r="2889" spans="2:2" ht="15.75" customHeight="1" x14ac:dyDescent="0.2">
      <c r="B2889" s="8"/>
    </row>
    <row r="2890" spans="2:2" ht="15.75" customHeight="1" x14ac:dyDescent="0.2">
      <c r="B2890" s="8"/>
    </row>
    <row r="2891" spans="2:2" ht="15.75" customHeight="1" x14ac:dyDescent="0.2">
      <c r="B2891" s="8"/>
    </row>
    <row r="2892" spans="2:2" ht="15.75" customHeight="1" x14ac:dyDescent="0.2">
      <c r="B2892" s="8"/>
    </row>
    <row r="2893" spans="2:2" ht="15.75" customHeight="1" x14ac:dyDescent="0.2">
      <c r="B2893" s="8"/>
    </row>
    <row r="2894" spans="2:2" ht="15.75" customHeight="1" x14ac:dyDescent="0.2">
      <c r="B2894" s="8"/>
    </row>
    <row r="2895" spans="2:2" ht="15.75" customHeight="1" x14ac:dyDescent="0.2">
      <c r="B2895" s="8"/>
    </row>
    <row r="2896" spans="2:2" ht="15.75" customHeight="1" x14ac:dyDescent="0.2">
      <c r="B2896" s="8"/>
    </row>
    <row r="2897" spans="2:2" ht="15.75" customHeight="1" x14ac:dyDescent="0.2">
      <c r="B2897" s="8"/>
    </row>
    <row r="2898" spans="2:2" ht="15.75" customHeight="1" x14ac:dyDescent="0.2">
      <c r="B2898" s="8"/>
    </row>
    <row r="2899" spans="2:2" ht="15.75" customHeight="1" x14ac:dyDescent="0.2">
      <c r="B2899" s="8"/>
    </row>
    <row r="2900" spans="2:2" ht="15.75" customHeight="1" x14ac:dyDescent="0.2">
      <c r="B2900" s="8"/>
    </row>
    <row r="2901" spans="2:2" ht="15.75" customHeight="1" x14ac:dyDescent="0.2">
      <c r="B2901" s="8"/>
    </row>
    <row r="2902" spans="2:2" ht="15.75" customHeight="1" x14ac:dyDescent="0.2">
      <c r="B2902" s="8"/>
    </row>
    <row r="2903" spans="2:2" ht="15.75" customHeight="1" x14ac:dyDescent="0.2">
      <c r="B2903" s="8"/>
    </row>
    <row r="2904" spans="2:2" ht="15.75" customHeight="1" x14ac:dyDescent="0.2">
      <c r="B2904" s="8"/>
    </row>
    <row r="2905" spans="2:2" ht="15.75" customHeight="1" x14ac:dyDescent="0.2">
      <c r="B2905" s="8"/>
    </row>
    <row r="2906" spans="2:2" ht="15.75" customHeight="1" x14ac:dyDescent="0.2">
      <c r="B2906" s="8"/>
    </row>
    <row r="2907" spans="2:2" ht="15.75" customHeight="1" x14ac:dyDescent="0.2">
      <c r="B2907" s="8"/>
    </row>
    <row r="2908" spans="2:2" ht="15.75" customHeight="1" x14ac:dyDescent="0.2">
      <c r="B2908" s="8"/>
    </row>
    <row r="2909" spans="2:2" ht="15.75" customHeight="1" x14ac:dyDescent="0.2">
      <c r="B2909" s="8"/>
    </row>
    <row r="2910" spans="2:2" ht="15.75" customHeight="1" x14ac:dyDescent="0.2">
      <c r="B2910" s="8"/>
    </row>
    <row r="2911" spans="2:2" ht="15.75" customHeight="1" x14ac:dyDescent="0.2">
      <c r="B2911" s="8"/>
    </row>
    <row r="2912" spans="2:2" ht="15.75" customHeight="1" x14ac:dyDescent="0.2">
      <c r="B2912" s="8"/>
    </row>
    <row r="2913" spans="2:2" ht="15.75" customHeight="1" x14ac:dyDescent="0.2">
      <c r="B2913" s="8"/>
    </row>
    <row r="2914" spans="2:2" ht="15.75" customHeight="1" x14ac:dyDescent="0.2">
      <c r="B2914" s="8"/>
    </row>
    <row r="2915" spans="2:2" ht="15.75" customHeight="1" x14ac:dyDescent="0.2">
      <c r="B2915" s="8"/>
    </row>
    <row r="2916" spans="2:2" ht="15.75" customHeight="1" x14ac:dyDescent="0.2">
      <c r="B2916" s="8"/>
    </row>
    <row r="2917" spans="2:2" ht="15.75" customHeight="1" x14ac:dyDescent="0.2">
      <c r="B2917" s="8"/>
    </row>
    <row r="2918" spans="2:2" ht="15.75" customHeight="1" x14ac:dyDescent="0.2">
      <c r="B2918" s="8"/>
    </row>
    <row r="2919" spans="2:2" ht="15.75" customHeight="1" x14ac:dyDescent="0.2">
      <c r="B2919" s="8"/>
    </row>
    <row r="2920" spans="2:2" ht="15.75" customHeight="1" x14ac:dyDescent="0.2">
      <c r="B2920" s="8"/>
    </row>
    <row r="2921" spans="2:2" ht="15.75" customHeight="1" x14ac:dyDescent="0.2">
      <c r="B2921" s="8"/>
    </row>
    <row r="2922" spans="2:2" ht="15.75" customHeight="1" x14ac:dyDescent="0.2">
      <c r="B2922" s="8"/>
    </row>
    <row r="2923" spans="2:2" ht="15.75" customHeight="1" x14ac:dyDescent="0.2">
      <c r="B2923" s="8"/>
    </row>
    <row r="2924" spans="2:2" ht="15.75" customHeight="1" x14ac:dyDescent="0.2">
      <c r="B2924" s="8"/>
    </row>
    <row r="2925" spans="2:2" ht="15.75" customHeight="1" x14ac:dyDescent="0.2">
      <c r="B2925" s="8"/>
    </row>
    <row r="2926" spans="2:2" ht="15.75" customHeight="1" x14ac:dyDescent="0.2">
      <c r="B2926" s="8"/>
    </row>
    <row r="2927" spans="2:2" ht="15.75" customHeight="1" x14ac:dyDescent="0.2">
      <c r="B2927" s="8"/>
    </row>
    <row r="2928" spans="2:2" ht="15.75" customHeight="1" x14ac:dyDescent="0.2">
      <c r="B2928" s="8"/>
    </row>
    <row r="2929" spans="2:2" ht="15.75" customHeight="1" x14ac:dyDescent="0.2">
      <c r="B2929" s="8"/>
    </row>
    <row r="2930" spans="2:2" ht="15.75" customHeight="1" x14ac:dyDescent="0.2">
      <c r="B2930" s="8"/>
    </row>
    <row r="2931" spans="2:2" ht="15.75" customHeight="1" x14ac:dyDescent="0.2">
      <c r="B2931" s="8"/>
    </row>
    <row r="2932" spans="2:2" ht="15.75" customHeight="1" x14ac:dyDescent="0.2">
      <c r="B2932" s="8"/>
    </row>
    <row r="2933" spans="2:2" ht="15.75" customHeight="1" x14ac:dyDescent="0.2">
      <c r="B2933" s="8"/>
    </row>
    <row r="2934" spans="2:2" ht="15.75" customHeight="1" x14ac:dyDescent="0.2">
      <c r="B2934" s="8"/>
    </row>
    <row r="2935" spans="2:2" ht="15.75" customHeight="1" x14ac:dyDescent="0.2">
      <c r="B2935" s="8"/>
    </row>
    <row r="2936" spans="2:2" ht="15.75" customHeight="1" x14ac:dyDescent="0.2">
      <c r="B2936" s="8"/>
    </row>
    <row r="2937" spans="2:2" ht="15.75" customHeight="1" x14ac:dyDescent="0.2">
      <c r="B2937" s="8"/>
    </row>
    <row r="2938" spans="2:2" ht="15.75" customHeight="1" x14ac:dyDescent="0.2">
      <c r="B2938" s="8"/>
    </row>
    <row r="2939" spans="2:2" ht="15.75" customHeight="1" x14ac:dyDescent="0.2">
      <c r="B2939" s="8"/>
    </row>
    <row r="2940" spans="2:2" ht="15.75" customHeight="1" x14ac:dyDescent="0.2">
      <c r="B2940" s="8"/>
    </row>
    <row r="2941" spans="2:2" ht="15.75" customHeight="1" x14ac:dyDescent="0.2">
      <c r="B2941" s="8"/>
    </row>
    <row r="2942" spans="2:2" ht="15.75" customHeight="1" x14ac:dyDescent="0.2">
      <c r="B2942" s="8"/>
    </row>
    <row r="2943" spans="2:2" ht="15.75" customHeight="1" x14ac:dyDescent="0.2">
      <c r="B2943" s="8"/>
    </row>
    <row r="2944" spans="2:2" ht="15.75" customHeight="1" x14ac:dyDescent="0.2">
      <c r="B2944" s="8"/>
    </row>
    <row r="2945" spans="2:2" ht="15.75" customHeight="1" x14ac:dyDescent="0.2">
      <c r="B2945" s="8"/>
    </row>
    <row r="2946" spans="2:2" ht="15.75" customHeight="1" x14ac:dyDescent="0.2">
      <c r="B2946" s="8"/>
    </row>
    <row r="2947" spans="2:2" ht="15.75" customHeight="1" x14ac:dyDescent="0.2">
      <c r="B2947" s="8"/>
    </row>
    <row r="2948" spans="2:2" ht="15.75" customHeight="1" x14ac:dyDescent="0.2">
      <c r="B2948" s="8"/>
    </row>
    <row r="2949" spans="2:2" ht="15.75" customHeight="1" x14ac:dyDescent="0.2">
      <c r="B2949" s="8"/>
    </row>
    <row r="2950" spans="2:2" ht="15.75" customHeight="1" x14ac:dyDescent="0.2">
      <c r="B2950" s="8"/>
    </row>
    <row r="2951" spans="2:2" ht="15.75" customHeight="1" x14ac:dyDescent="0.2">
      <c r="B2951" s="8"/>
    </row>
    <row r="2952" spans="2:2" ht="15.75" customHeight="1" x14ac:dyDescent="0.2">
      <c r="B2952" s="8"/>
    </row>
    <row r="2953" spans="2:2" ht="15.75" customHeight="1" x14ac:dyDescent="0.2">
      <c r="B2953" s="8"/>
    </row>
    <row r="2954" spans="2:2" ht="15.75" customHeight="1" x14ac:dyDescent="0.2">
      <c r="B2954" s="8"/>
    </row>
    <row r="2955" spans="2:2" ht="15.75" customHeight="1" x14ac:dyDescent="0.2">
      <c r="B2955" s="8"/>
    </row>
    <row r="2956" spans="2:2" ht="15.75" customHeight="1" x14ac:dyDescent="0.2">
      <c r="B2956" s="8"/>
    </row>
    <row r="2957" spans="2:2" ht="15.75" customHeight="1" x14ac:dyDescent="0.2">
      <c r="B2957" s="8"/>
    </row>
    <row r="2958" spans="2:2" ht="15.75" customHeight="1" x14ac:dyDescent="0.2">
      <c r="B2958" s="8"/>
    </row>
    <row r="2959" spans="2:2" ht="15.75" customHeight="1" x14ac:dyDescent="0.2">
      <c r="B2959" s="8"/>
    </row>
    <row r="2960" spans="2:2" ht="15.75" customHeight="1" x14ac:dyDescent="0.2">
      <c r="B2960" s="8"/>
    </row>
    <row r="2961" spans="2:2" ht="15.75" customHeight="1" x14ac:dyDescent="0.2">
      <c r="B2961" s="8"/>
    </row>
    <row r="2962" spans="2:2" ht="15.75" customHeight="1" x14ac:dyDescent="0.2">
      <c r="B2962" s="8"/>
    </row>
    <row r="2963" spans="2:2" ht="15.75" customHeight="1" x14ac:dyDescent="0.2">
      <c r="B2963" s="8"/>
    </row>
    <row r="2964" spans="2:2" ht="15.75" customHeight="1" x14ac:dyDescent="0.2">
      <c r="B2964" s="8"/>
    </row>
    <row r="2965" spans="2:2" ht="15.75" customHeight="1" x14ac:dyDescent="0.2">
      <c r="B2965" s="8"/>
    </row>
    <row r="2966" spans="2:2" ht="15.75" customHeight="1" x14ac:dyDescent="0.2">
      <c r="B2966" s="8"/>
    </row>
    <row r="2967" spans="2:2" ht="15.75" customHeight="1" x14ac:dyDescent="0.2">
      <c r="B2967" s="8"/>
    </row>
    <row r="2968" spans="2:2" ht="15.75" customHeight="1" x14ac:dyDescent="0.2">
      <c r="B2968" s="8"/>
    </row>
    <row r="2969" spans="2:2" ht="15.75" customHeight="1" x14ac:dyDescent="0.2">
      <c r="B2969" s="8"/>
    </row>
    <row r="2970" spans="2:2" ht="15.75" customHeight="1" x14ac:dyDescent="0.2">
      <c r="B2970" s="8"/>
    </row>
    <row r="2971" spans="2:2" ht="15.75" customHeight="1" x14ac:dyDescent="0.2">
      <c r="B2971" s="8"/>
    </row>
    <row r="2972" spans="2:2" ht="15.75" customHeight="1" x14ac:dyDescent="0.2">
      <c r="B2972" s="8"/>
    </row>
    <row r="2973" spans="2:2" ht="15.75" customHeight="1" x14ac:dyDescent="0.2">
      <c r="B2973" s="8"/>
    </row>
    <row r="2974" spans="2:2" ht="15.75" customHeight="1" x14ac:dyDescent="0.2">
      <c r="B2974" s="8"/>
    </row>
    <row r="2975" spans="2:2" ht="15.75" customHeight="1" x14ac:dyDescent="0.2">
      <c r="B2975" s="8"/>
    </row>
    <row r="2976" spans="2:2" ht="15.75" customHeight="1" x14ac:dyDescent="0.2">
      <c r="B2976" s="8"/>
    </row>
    <row r="2977" spans="2:2" ht="15.75" customHeight="1" x14ac:dyDescent="0.2">
      <c r="B2977" s="8"/>
    </row>
    <row r="2978" spans="2:2" ht="15.75" customHeight="1" x14ac:dyDescent="0.2">
      <c r="B2978" s="8"/>
    </row>
    <row r="2979" spans="2:2" ht="15.75" customHeight="1" x14ac:dyDescent="0.2">
      <c r="B2979" s="8"/>
    </row>
    <row r="2980" spans="2:2" ht="15.75" customHeight="1" x14ac:dyDescent="0.2">
      <c r="B2980" s="8"/>
    </row>
    <row r="2981" spans="2:2" ht="15.75" customHeight="1" x14ac:dyDescent="0.2">
      <c r="B2981" s="8"/>
    </row>
    <row r="2982" spans="2:2" ht="15.75" customHeight="1" x14ac:dyDescent="0.2">
      <c r="B2982" s="8"/>
    </row>
    <row r="2983" spans="2:2" ht="15.75" customHeight="1" x14ac:dyDescent="0.2">
      <c r="B2983" s="8"/>
    </row>
    <row r="2984" spans="2:2" ht="15.75" customHeight="1" x14ac:dyDescent="0.2">
      <c r="B2984" s="8"/>
    </row>
    <row r="2985" spans="2:2" ht="15.75" customHeight="1" x14ac:dyDescent="0.2">
      <c r="B2985" s="8"/>
    </row>
    <row r="2986" spans="2:2" ht="15.75" customHeight="1" x14ac:dyDescent="0.2">
      <c r="B2986" s="8"/>
    </row>
    <row r="2987" spans="2:2" ht="15.75" customHeight="1" x14ac:dyDescent="0.2">
      <c r="B2987" s="8"/>
    </row>
    <row r="2988" spans="2:2" ht="15.75" customHeight="1" x14ac:dyDescent="0.2">
      <c r="B2988" s="8"/>
    </row>
    <row r="2989" spans="2:2" ht="15.75" customHeight="1" x14ac:dyDescent="0.2">
      <c r="B2989" s="8"/>
    </row>
    <row r="2990" spans="2:2" ht="15.75" customHeight="1" x14ac:dyDescent="0.2">
      <c r="B2990" s="8"/>
    </row>
    <row r="2991" spans="2:2" ht="15.75" customHeight="1" x14ac:dyDescent="0.2">
      <c r="B2991" s="8"/>
    </row>
    <row r="2992" spans="2:2" ht="15.75" customHeight="1" x14ac:dyDescent="0.2">
      <c r="B2992" s="8"/>
    </row>
    <row r="2993" spans="2:2" ht="15.75" customHeight="1" x14ac:dyDescent="0.2">
      <c r="B2993" s="8"/>
    </row>
    <row r="2994" spans="2:2" ht="15.75" customHeight="1" x14ac:dyDescent="0.2">
      <c r="B2994" s="8"/>
    </row>
    <row r="2995" spans="2:2" ht="15.75" customHeight="1" x14ac:dyDescent="0.2">
      <c r="B2995" s="8"/>
    </row>
    <row r="2996" spans="2:2" ht="15.75" customHeight="1" x14ac:dyDescent="0.2">
      <c r="B2996" s="8"/>
    </row>
    <row r="2997" spans="2:2" ht="15.75" customHeight="1" x14ac:dyDescent="0.2">
      <c r="B2997" s="8"/>
    </row>
    <row r="2998" spans="2:2" ht="15.75" customHeight="1" x14ac:dyDescent="0.2">
      <c r="B2998" s="8"/>
    </row>
    <row r="2999" spans="2:2" ht="15.75" customHeight="1" x14ac:dyDescent="0.2">
      <c r="B2999" s="8"/>
    </row>
    <row r="3000" spans="2:2" ht="15.75" customHeight="1" x14ac:dyDescent="0.2">
      <c r="B3000" s="8"/>
    </row>
    <row r="3001" spans="2:2" ht="15.75" customHeight="1" x14ac:dyDescent="0.2">
      <c r="B3001" s="8"/>
    </row>
    <row r="3002" spans="2:2" ht="15.75" customHeight="1" x14ac:dyDescent="0.2">
      <c r="B3002" s="8"/>
    </row>
    <row r="3003" spans="2:2" ht="15.75" customHeight="1" x14ac:dyDescent="0.2">
      <c r="B3003" s="8"/>
    </row>
    <row r="3004" spans="2:2" ht="15.75" customHeight="1" x14ac:dyDescent="0.2">
      <c r="B3004" s="8"/>
    </row>
    <row r="3005" spans="2:2" ht="15.75" customHeight="1" x14ac:dyDescent="0.2">
      <c r="B3005" s="8"/>
    </row>
    <row r="3006" spans="2:2" ht="15.75" customHeight="1" x14ac:dyDescent="0.2">
      <c r="B3006" s="8"/>
    </row>
    <row r="3007" spans="2:2" ht="15.75" customHeight="1" x14ac:dyDescent="0.2">
      <c r="B3007" s="8"/>
    </row>
    <row r="3008" spans="2:2" ht="15.75" customHeight="1" x14ac:dyDescent="0.2">
      <c r="B3008" s="8"/>
    </row>
    <row r="3009" spans="2:2" ht="15.75" customHeight="1" x14ac:dyDescent="0.2">
      <c r="B3009" s="8"/>
    </row>
    <row r="3010" spans="2:2" ht="15.75" customHeight="1" x14ac:dyDescent="0.2">
      <c r="B3010" s="8"/>
    </row>
    <row r="3011" spans="2:2" ht="15.75" customHeight="1" x14ac:dyDescent="0.2">
      <c r="B3011" s="8"/>
    </row>
    <row r="3012" spans="2:2" ht="15.75" customHeight="1" x14ac:dyDescent="0.2">
      <c r="B3012" s="8"/>
    </row>
    <row r="3013" spans="2:2" ht="15.75" customHeight="1" x14ac:dyDescent="0.2">
      <c r="B3013" s="8"/>
    </row>
    <row r="3014" spans="2:2" ht="15.75" customHeight="1" x14ac:dyDescent="0.2">
      <c r="B3014" s="8"/>
    </row>
    <row r="3015" spans="2:2" ht="15.75" customHeight="1" x14ac:dyDescent="0.2">
      <c r="B3015" s="8"/>
    </row>
    <row r="3016" spans="2:2" ht="15.75" customHeight="1" x14ac:dyDescent="0.2">
      <c r="B3016" s="8"/>
    </row>
    <row r="3017" spans="2:2" ht="15.75" customHeight="1" x14ac:dyDescent="0.2">
      <c r="B3017" s="8"/>
    </row>
    <row r="3018" spans="2:2" ht="15.75" customHeight="1" x14ac:dyDescent="0.2">
      <c r="B3018" s="8"/>
    </row>
    <row r="3019" spans="2:2" ht="15.75" customHeight="1" x14ac:dyDescent="0.2">
      <c r="B3019" s="8"/>
    </row>
    <row r="3020" spans="2:2" ht="15.75" customHeight="1" x14ac:dyDescent="0.2">
      <c r="B3020" s="8"/>
    </row>
    <row r="3021" spans="2:2" ht="15.75" customHeight="1" x14ac:dyDescent="0.2">
      <c r="B3021" s="8"/>
    </row>
    <row r="3022" spans="2:2" ht="15.75" customHeight="1" x14ac:dyDescent="0.2">
      <c r="B3022" s="8"/>
    </row>
    <row r="3023" spans="2:2" ht="15.75" customHeight="1" x14ac:dyDescent="0.2">
      <c r="B3023" s="8"/>
    </row>
    <row r="3024" spans="2:2" ht="15.75" customHeight="1" x14ac:dyDescent="0.2">
      <c r="B3024" s="8"/>
    </row>
    <row r="3025" spans="2:2" ht="15.75" customHeight="1" x14ac:dyDescent="0.2">
      <c r="B3025" s="8"/>
    </row>
    <row r="3026" spans="2:2" ht="15.75" customHeight="1" x14ac:dyDescent="0.2">
      <c r="B3026" s="8"/>
    </row>
    <row r="3027" spans="2:2" ht="15.75" customHeight="1" x14ac:dyDescent="0.2">
      <c r="B3027" s="8"/>
    </row>
    <row r="3028" spans="2:2" ht="15.75" customHeight="1" x14ac:dyDescent="0.2">
      <c r="B3028" s="8"/>
    </row>
    <row r="3029" spans="2:2" ht="15.75" customHeight="1" x14ac:dyDescent="0.2">
      <c r="B3029" s="8"/>
    </row>
    <row r="3030" spans="2:2" ht="15.75" customHeight="1" x14ac:dyDescent="0.2">
      <c r="B3030" s="8"/>
    </row>
    <row r="3031" spans="2:2" ht="15.75" customHeight="1" x14ac:dyDescent="0.2">
      <c r="B3031" s="8"/>
    </row>
    <row r="3032" spans="2:2" ht="15.75" customHeight="1" x14ac:dyDescent="0.2">
      <c r="B3032" s="8"/>
    </row>
    <row r="3033" spans="2:2" ht="15.75" customHeight="1" x14ac:dyDescent="0.2">
      <c r="B3033" s="8"/>
    </row>
    <row r="3034" spans="2:2" ht="15.75" customHeight="1" x14ac:dyDescent="0.2">
      <c r="B3034" s="8"/>
    </row>
    <row r="3035" spans="2:2" ht="15.75" customHeight="1" x14ac:dyDescent="0.2">
      <c r="B3035" s="8"/>
    </row>
    <row r="3036" spans="2:2" ht="15.75" customHeight="1" x14ac:dyDescent="0.2">
      <c r="B3036" s="8"/>
    </row>
    <row r="3037" spans="2:2" ht="15.75" customHeight="1" x14ac:dyDescent="0.2">
      <c r="B3037" s="8"/>
    </row>
    <row r="3038" spans="2:2" ht="15.75" customHeight="1" x14ac:dyDescent="0.2">
      <c r="B3038" s="8"/>
    </row>
    <row r="3039" spans="2:2" ht="15.75" customHeight="1" x14ac:dyDescent="0.2">
      <c r="B3039" s="8"/>
    </row>
    <row r="3040" spans="2:2" ht="15.75" customHeight="1" x14ac:dyDescent="0.2">
      <c r="B3040" s="8"/>
    </row>
    <row r="3041" spans="2:2" ht="15.75" customHeight="1" x14ac:dyDescent="0.2">
      <c r="B3041" s="8"/>
    </row>
    <row r="3042" spans="2:2" ht="15.75" customHeight="1" x14ac:dyDescent="0.2">
      <c r="B3042" s="8"/>
    </row>
    <row r="3043" spans="2:2" ht="15.75" customHeight="1" x14ac:dyDescent="0.2">
      <c r="B3043" s="8"/>
    </row>
    <row r="3044" spans="2:2" ht="15.75" customHeight="1" x14ac:dyDescent="0.2">
      <c r="B3044" s="8"/>
    </row>
    <row r="3045" spans="2:2" ht="15.75" customHeight="1" x14ac:dyDescent="0.2">
      <c r="B3045" s="8"/>
    </row>
    <row r="3046" spans="2:2" ht="15.75" customHeight="1" x14ac:dyDescent="0.2">
      <c r="B3046" s="8"/>
    </row>
    <row r="3047" spans="2:2" ht="15.75" customHeight="1" x14ac:dyDescent="0.2">
      <c r="B3047" s="8"/>
    </row>
    <row r="3048" spans="2:2" ht="15.75" customHeight="1" x14ac:dyDescent="0.2">
      <c r="B3048" s="8"/>
    </row>
    <row r="3049" spans="2:2" ht="15.75" customHeight="1" x14ac:dyDescent="0.2">
      <c r="B3049" s="8"/>
    </row>
    <row r="3050" spans="2:2" ht="15.75" customHeight="1" x14ac:dyDescent="0.2">
      <c r="B3050" s="8"/>
    </row>
    <row r="3051" spans="2:2" ht="15.75" customHeight="1" x14ac:dyDescent="0.2">
      <c r="B3051" s="8"/>
    </row>
    <row r="3052" spans="2:2" ht="15.75" customHeight="1" x14ac:dyDescent="0.2">
      <c r="B3052" s="8"/>
    </row>
    <row r="3053" spans="2:2" ht="15.75" customHeight="1" x14ac:dyDescent="0.2">
      <c r="B3053" s="8"/>
    </row>
    <row r="3054" spans="2:2" ht="15.75" customHeight="1" x14ac:dyDescent="0.2">
      <c r="B3054" s="8"/>
    </row>
    <row r="3055" spans="2:2" ht="15.75" customHeight="1" x14ac:dyDescent="0.2">
      <c r="B3055" s="8"/>
    </row>
    <row r="3056" spans="2:2" ht="15.75" customHeight="1" x14ac:dyDescent="0.2">
      <c r="B3056" s="8"/>
    </row>
    <row r="3057" spans="2:2" ht="15.75" customHeight="1" x14ac:dyDescent="0.2">
      <c r="B3057" s="8"/>
    </row>
    <row r="3058" spans="2:2" ht="15.75" customHeight="1" x14ac:dyDescent="0.2">
      <c r="B3058" s="8"/>
    </row>
    <row r="3059" spans="2:2" ht="15.75" customHeight="1" x14ac:dyDescent="0.2">
      <c r="B3059" s="8"/>
    </row>
    <row r="3060" spans="2:2" ht="15.75" customHeight="1" x14ac:dyDescent="0.2">
      <c r="B3060" s="8"/>
    </row>
    <row r="3061" spans="2:2" ht="15.75" customHeight="1" x14ac:dyDescent="0.2">
      <c r="B3061" s="8"/>
    </row>
    <row r="3062" spans="2:2" ht="15.75" customHeight="1" x14ac:dyDescent="0.2">
      <c r="B3062" s="8"/>
    </row>
    <row r="3063" spans="2:2" ht="15.75" customHeight="1" x14ac:dyDescent="0.2">
      <c r="B3063" s="8"/>
    </row>
    <row r="3064" spans="2:2" ht="15.75" customHeight="1" x14ac:dyDescent="0.2">
      <c r="B3064" s="8"/>
    </row>
    <row r="3065" spans="2:2" ht="15.75" customHeight="1" x14ac:dyDescent="0.2">
      <c r="B3065" s="8"/>
    </row>
    <row r="3066" spans="2:2" ht="15.75" customHeight="1" x14ac:dyDescent="0.2">
      <c r="B3066" s="8"/>
    </row>
  </sheetData>
  <sheetProtection algorithmName="SHA-512" hashValue="LmubVDYTse5aluzyqwHD/O75MKvi3F6Mbz/Hj2vVl+s4t1Agu8RA18MEnzkX8O1cfMBmjucUc3Cc5sPnPIxXjg==" saltValue="2/sthhh4y0MDALcpffFHjQ==" spinCount="100000" sheet="1" objects="1" scenarios="1"/>
  <mergeCells count="10">
    <mergeCell ref="C10:G10"/>
    <mergeCell ref="B11:H11"/>
    <mergeCell ref="B17:K17"/>
    <mergeCell ref="B19:J19"/>
    <mergeCell ref="E2:H2"/>
    <mergeCell ref="B4:H4"/>
    <mergeCell ref="B5:H5"/>
    <mergeCell ref="B6:H6"/>
    <mergeCell ref="B7:H7"/>
    <mergeCell ref="B8:H8"/>
  </mergeCells>
  <hyperlinks>
    <hyperlink ref="B17" r:id="rId1" xr:uid="{BD90A4C3-3FC6-4202-BC27-ADE424C0AF65}"/>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4AC46-812D-4542-9E92-5F95D36A814B}">
  <sheetPr>
    <outlinePr summaryBelow="0" summaryRight="0"/>
  </sheetPr>
  <dimension ref="A1:M3064"/>
  <sheetViews>
    <sheetView showGridLines="0" zoomScale="80" zoomScaleNormal="80" workbookViewId="0">
      <selection activeCell="A2" sqref="A2"/>
    </sheetView>
  </sheetViews>
  <sheetFormatPr baseColWidth="10" defaultColWidth="14.42578125" defaultRowHeight="15.75" customHeight="1" x14ac:dyDescent="0.2"/>
  <cols>
    <col min="1" max="1" width="14.28515625" style="11" customWidth="1"/>
    <col min="2" max="2" width="5.140625" style="12" customWidth="1"/>
    <col min="3" max="6" width="14.42578125" style="12"/>
    <col min="7" max="7" width="14" style="12" customWidth="1"/>
    <col min="8" max="9" width="14.42578125" style="12"/>
    <col min="10" max="10" width="5.28515625" style="12" customWidth="1"/>
    <col min="11" max="11" width="16" style="12" customWidth="1"/>
    <col min="12" max="12" width="14.42578125" style="11"/>
    <col min="13" max="16384" width="14.42578125" style="12"/>
  </cols>
  <sheetData>
    <row r="1" spans="1:12" ht="23.1" customHeight="1" x14ac:dyDescent="0.2">
      <c r="B1" s="11"/>
      <c r="C1" s="11"/>
      <c r="D1" s="11"/>
      <c r="E1" s="11"/>
      <c r="F1" s="11"/>
      <c r="G1" s="11"/>
      <c r="H1" s="11"/>
      <c r="I1" s="11"/>
      <c r="J1" s="11"/>
    </row>
    <row r="2" spans="1:12" ht="56.1" customHeight="1" x14ac:dyDescent="0.2">
      <c r="B2" s="13"/>
      <c r="C2" s="13"/>
      <c r="D2" s="13"/>
      <c r="E2" s="13"/>
      <c r="F2" s="13"/>
      <c r="G2" s="13"/>
      <c r="H2" s="13"/>
      <c r="I2" s="13"/>
      <c r="J2" s="13"/>
    </row>
    <row r="3" spans="1:12" ht="21.95" customHeight="1" x14ac:dyDescent="0.4">
      <c r="B3" s="14"/>
      <c r="C3" s="15"/>
      <c r="D3" s="15"/>
      <c r="E3" s="15"/>
      <c r="F3" s="15"/>
      <c r="G3" s="15"/>
      <c r="H3" s="15"/>
      <c r="I3" s="15"/>
      <c r="J3" s="15"/>
    </row>
    <row r="4" spans="1:12" ht="111.95" customHeight="1" x14ac:dyDescent="0.2">
      <c r="B4" s="16"/>
      <c r="C4" s="16"/>
      <c r="D4" s="16"/>
      <c r="E4" s="16"/>
      <c r="F4" s="16"/>
      <c r="G4" s="16"/>
      <c r="H4" s="16"/>
      <c r="I4" s="16"/>
      <c r="J4" s="16"/>
    </row>
    <row r="5" spans="1:12" ht="75" customHeight="1" x14ac:dyDescent="0.2">
      <c r="B5" s="17"/>
      <c r="C5" s="17"/>
      <c r="D5" s="17"/>
      <c r="E5" s="17"/>
      <c r="F5" s="17"/>
      <c r="G5" s="17"/>
      <c r="H5" s="17"/>
      <c r="I5" s="17"/>
      <c r="J5" s="17"/>
    </row>
    <row r="6" spans="1:12" ht="37.5" customHeight="1" x14ac:dyDescent="0.2">
      <c r="B6" s="17"/>
      <c r="C6" s="17"/>
      <c r="D6" s="17"/>
      <c r="E6" s="17"/>
      <c r="F6" s="17"/>
      <c r="G6" s="17"/>
      <c r="H6" s="17"/>
      <c r="I6" s="17"/>
      <c r="J6" s="17"/>
    </row>
    <row r="7" spans="1:12" s="22" customFormat="1" ht="23.25" customHeight="1" x14ac:dyDescent="0.25">
      <c r="A7" s="18"/>
      <c r="B7" s="19"/>
      <c r="C7" s="20"/>
      <c r="D7" s="21"/>
      <c r="E7" s="21"/>
      <c r="F7" s="21"/>
      <c r="G7" s="21"/>
      <c r="H7" s="21"/>
      <c r="I7" s="21"/>
      <c r="J7" s="21"/>
      <c r="L7" s="18"/>
    </row>
    <row r="8" spans="1:12" s="22" customFormat="1" ht="23.25" customHeight="1" x14ac:dyDescent="0.25">
      <c r="A8" s="18"/>
      <c r="B8" s="19"/>
      <c r="C8" s="23"/>
      <c r="D8" s="24"/>
      <c r="E8" s="24" t="s">
        <v>262</v>
      </c>
      <c r="F8" s="24"/>
      <c r="G8" s="24"/>
      <c r="H8" s="24"/>
      <c r="I8" s="24"/>
      <c r="J8" s="21"/>
      <c r="L8" s="18"/>
    </row>
    <row r="9" spans="1:12" ht="38.1" customHeight="1" x14ac:dyDescent="0.3">
      <c r="B9" s="183"/>
      <c r="C9" s="183"/>
      <c r="D9" s="183"/>
      <c r="E9" s="183"/>
      <c r="F9" s="183"/>
      <c r="G9" s="183"/>
      <c r="H9" s="183"/>
      <c r="I9" s="183"/>
      <c r="J9" s="183"/>
    </row>
    <row r="10" spans="1:12" ht="15.95" customHeight="1" x14ac:dyDescent="0.3">
      <c r="B10" s="25"/>
      <c r="C10" s="26"/>
      <c r="D10" s="26"/>
      <c r="E10" s="26"/>
      <c r="F10" s="26"/>
      <c r="G10" s="26"/>
    </row>
    <row r="11" spans="1:12" ht="62.1" customHeight="1" x14ac:dyDescent="0.2">
      <c r="B11" s="184"/>
      <c r="C11" s="185"/>
      <c r="D11" s="185"/>
      <c r="E11" s="185"/>
      <c r="F11" s="185"/>
      <c r="G11" s="185"/>
      <c r="H11" s="185"/>
      <c r="I11" s="185"/>
      <c r="J11" s="185"/>
    </row>
    <row r="12" spans="1:12" ht="12" customHeight="1" x14ac:dyDescent="0.2">
      <c r="B12" s="182"/>
      <c r="C12" s="186"/>
      <c r="D12" s="186"/>
      <c r="E12" s="186"/>
      <c r="F12" s="186"/>
      <c r="G12" s="186"/>
      <c r="H12" s="186"/>
      <c r="I12" s="186"/>
      <c r="J12" s="186"/>
    </row>
    <row r="13" spans="1:12" ht="12" customHeight="1" x14ac:dyDescent="0.2">
      <c r="B13" s="182"/>
      <c r="C13" s="186"/>
      <c r="D13" s="186"/>
      <c r="E13" s="186"/>
      <c r="F13" s="186"/>
      <c r="G13" s="186"/>
      <c r="H13" s="186"/>
      <c r="I13" s="186"/>
      <c r="J13" s="186"/>
    </row>
    <row r="14" spans="1:12" ht="30.95" customHeight="1" x14ac:dyDescent="0.2">
      <c r="B14" s="182"/>
      <c r="C14" s="186"/>
      <c r="D14" s="186"/>
      <c r="E14" s="186"/>
      <c r="F14" s="186"/>
      <c r="G14" s="186"/>
      <c r="H14" s="186"/>
      <c r="I14" s="186"/>
      <c r="J14" s="186"/>
    </row>
    <row r="15" spans="1:12" ht="30.95" customHeight="1" x14ac:dyDescent="0.2">
      <c r="B15" s="182"/>
      <c r="C15" s="182"/>
      <c r="D15" s="182"/>
      <c r="E15" s="182"/>
      <c r="F15" s="182"/>
      <c r="G15" s="182"/>
      <c r="H15" s="182"/>
      <c r="I15" s="182"/>
      <c r="J15" s="182"/>
    </row>
    <row r="16" spans="1:12" ht="20.100000000000001" customHeight="1" x14ac:dyDescent="0.2">
      <c r="B16" s="187"/>
      <c r="C16" s="187"/>
      <c r="D16" s="187"/>
      <c r="E16" s="187"/>
      <c r="F16" s="187"/>
      <c r="G16" s="187"/>
      <c r="H16" s="187"/>
      <c r="I16" s="187"/>
      <c r="J16" s="187"/>
    </row>
    <row r="17" spans="1:13" ht="12" customHeight="1" x14ac:dyDescent="0.2">
      <c r="B17" s="16"/>
      <c r="C17" s="27"/>
      <c r="D17" s="27"/>
      <c r="E17" s="27"/>
      <c r="F17" s="27"/>
      <c r="G17" s="27"/>
      <c r="H17" s="27"/>
      <c r="I17" s="27"/>
      <c r="J17" s="27"/>
    </row>
    <row r="18" spans="1:13" ht="9" customHeight="1" x14ac:dyDescent="0.2">
      <c r="B18" s="16"/>
      <c r="C18" s="16"/>
      <c r="D18" s="16"/>
      <c r="E18" s="16"/>
      <c r="F18" s="16"/>
      <c r="G18" s="16"/>
      <c r="H18" s="16"/>
      <c r="I18" s="16"/>
      <c r="J18" s="16"/>
    </row>
    <row r="19" spans="1:13" ht="24.95" customHeight="1" x14ac:dyDescent="0.2">
      <c r="B19" s="16"/>
      <c r="C19" s="16"/>
      <c r="D19" s="16"/>
      <c r="E19" s="16"/>
      <c r="F19" s="16"/>
      <c r="G19" s="16"/>
      <c r="H19" s="16"/>
      <c r="I19" s="16"/>
      <c r="J19" s="16"/>
    </row>
    <row r="20" spans="1:13" ht="24.95" customHeight="1" x14ac:dyDescent="0.2">
      <c r="B20" s="28"/>
      <c r="C20" s="16"/>
      <c r="D20" s="16"/>
      <c r="E20" s="16"/>
      <c r="F20" s="16"/>
      <c r="G20" s="16"/>
      <c r="H20" s="16"/>
      <c r="I20" s="16"/>
      <c r="J20" s="29"/>
    </row>
    <row r="21" spans="1:13" ht="24.95" customHeight="1" x14ac:dyDescent="0.2">
      <c r="B21" s="30"/>
      <c r="C21" s="31"/>
      <c r="D21" s="31"/>
      <c r="E21" s="31"/>
      <c r="F21" s="31"/>
      <c r="G21" s="32"/>
      <c r="H21" s="31"/>
      <c r="I21" s="32"/>
      <c r="J21" s="33"/>
    </row>
    <row r="22" spans="1:13" ht="33" customHeight="1" x14ac:dyDescent="0.25">
      <c r="B22" s="188"/>
      <c r="C22" s="189"/>
      <c r="D22" s="189"/>
      <c r="E22" s="189"/>
      <c r="F22" s="189"/>
      <c r="H22" s="189"/>
      <c r="I22" s="189"/>
      <c r="J22" s="189"/>
    </row>
    <row r="23" spans="1:13" ht="17.100000000000001" customHeight="1" x14ac:dyDescent="0.25">
      <c r="B23" s="34"/>
      <c r="C23" s="35"/>
      <c r="D23" s="35"/>
      <c r="E23" s="35"/>
      <c r="F23" s="26"/>
      <c r="H23" s="36"/>
      <c r="I23" s="26"/>
    </row>
    <row r="24" spans="1:13" ht="71.099999999999994" customHeight="1" x14ac:dyDescent="0.2">
      <c r="B24" s="190"/>
      <c r="C24" s="191"/>
      <c r="D24" s="191"/>
      <c r="E24" s="191"/>
      <c r="F24" s="191"/>
      <c r="G24" s="27"/>
      <c r="H24" s="192"/>
      <c r="I24" s="192"/>
      <c r="J24" s="192"/>
    </row>
    <row r="25" spans="1:13" ht="99" customHeight="1" x14ac:dyDescent="0.2">
      <c r="B25" s="190"/>
      <c r="C25" s="191"/>
      <c r="D25" s="191"/>
      <c r="E25" s="191"/>
      <c r="F25" s="191"/>
      <c r="G25" s="27"/>
      <c r="H25" s="192"/>
      <c r="I25" s="192"/>
      <c r="J25" s="192"/>
    </row>
    <row r="26" spans="1:13" ht="39" customHeight="1" x14ac:dyDescent="0.2">
      <c r="B26" s="190"/>
      <c r="C26" s="191"/>
      <c r="D26" s="191"/>
      <c r="E26" s="191"/>
      <c r="F26" s="191"/>
      <c r="G26" s="27"/>
      <c r="H26" s="194"/>
      <c r="I26" s="194"/>
      <c r="J26" s="194"/>
    </row>
    <row r="27" spans="1:13" ht="75.95" customHeight="1" x14ac:dyDescent="0.2">
      <c r="B27" s="193"/>
      <c r="C27" s="191"/>
      <c r="D27" s="191"/>
      <c r="E27" s="191"/>
      <c r="F27" s="191"/>
      <c r="G27" s="37"/>
      <c r="H27" s="194"/>
      <c r="I27" s="194"/>
      <c r="J27" s="194"/>
    </row>
    <row r="28" spans="1:13" ht="48" customHeight="1" x14ac:dyDescent="0.2">
      <c r="B28" s="195"/>
      <c r="C28" s="191"/>
      <c r="D28" s="191"/>
      <c r="E28" s="191"/>
      <c r="F28" s="191"/>
      <c r="G28" s="37"/>
      <c r="H28" s="194"/>
      <c r="I28" s="194"/>
      <c r="J28" s="194"/>
    </row>
    <row r="29" spans="1:13" ht="102.95" customHeight="1" x14ac:dyDescent="0.2">
      <c r="B29" s="193"/>
      <c r="C29" s="191"/>
      <c r="D29" s="191"/>
      <c r="E29" s="191"/>
      <c r="F29" s="191"/>
      <c r="G29" s="37"/>
      <c r="H29" s="196"/>
      <c r="I29" s="197"/>
      <c r="J29" s="197"/>
    </row>
    <row r="30" spans="1:13" ht="37.5" customHeight="1" x14ac:dyDescent="0.25">
      <c r="A30"/>
      <c r="B30" s="195"/>
      <c r="C30" s="191"/>
      <c r="D30" s="191"/>
      <c r="E30" s="191"/>
      <c r="F30" s="191"/>
      <c r="G30" s="37"/>
      <c r="H30" s="198"/>
      <c r="I30" s="199"/>
      <c r="J30" s="199"/>
      <c r="M30"/>
    </row>
    <row r="31" spans="1:13" ht="60" customHeight="1" x14ac:dyDescent="0.2">
      <c r="B31" s="193"/>
      <c r="C31" s="191"/>
      <c r="D31" s="191"/>
      <c r="E31" s="191"/>
      <c r="F31" s="191"/>
      <c r="G31" s="37"/>
      <c r="H31" s="200"/>
      <c r="I31" s="201"/>
      <c r="J31" s="201"/>
    </row>
    <row r="32" spans="1:13" ht="53.1" customHeight="1" x14ac:dyDescent="0.2">
      <c r="B32" s="38"/>
      <c r="C32" s="38"/>
      <c r="D32" s="38"/>
      <c r="E32" s="38"/>
      <c r="F32" s="38"/>
      <c r="G32" s="38"/>
      <c r="H32" s="38"/>
      <c r="I32" s="38"/>
      <c r="J32" s="38"/>
    </row>
    <row r="33" spans="2:2" ht="15.75" customHeight="1" x14ac:dyDescent="0.2">
      <c r="B33" s="11"/>
    </row>
    <row r="34" spans="2:2" ht="15.75" customHeight="1" x14ac:dyDescent="0.2">
      <c r="B34" s="11"/>
    </row>
    <row r="35" spans="2:2" ht="15.75" customHeight="1" x14ac:dyDescent="0.2">
      <c r="B35" s="11"/>
    </row>
    <row r="36" spans="2:2" ht="15.75" customHeight="1" x14ac:dyDescent="0.2">
      <c r="B36" s="11"/>
    </row>
    <row r="37" spans="2:2" ht="15.75" customHeight="1" x14ac:dyDescent="0.2">
      <c r="B37" s="11"/>
    </row>
    <row r="38" spans="2:2" ht="15.75" customHeight="1" x14ac:dyDescent="0.2">
      <c r="B38" s="11"/>
    </row>
    <row r="39" spans="2:2" ht="15.75" customHeight="1" x14ac:dyDescent="0.2">
      <c r="B39" s="11"/>
    </row>
    <row r="40" spans="2:2" ht="15.75" customHeight="1" x14ac:dyDescent="0.2">
      <c r="B40" s="11"/>
    </row>
    <row r="41" spans="2:2" ht="15.75" customHeight="1" x14ac:dyDescent="0.2">
      <c r="B41" s="11"/>
    </row>
    <row r="42" spans="2:2" ht="15.75" customHeight="1" x14ac:dyDescent="0.2">
      <c r="B42" s="11"/>
    </row>
    <row r="43" spans="2:2" ht="15.75" customHeight="1" x14ac:dyDescent="0.2">
      <c r="B43" s="11"/>
    </row>
    <row r="44" spans="2:2" ht="15.75" customHeight="1" x14ac:dyDescent="0.2">
      <c r="B44" s="11"/>
    </row>
    <row r="45" spans="2:2" ht="15.75" customHeight="1" x14ac:dyDescent="0.2">
      <c r="B45" s="11"/>
    </row>
    <row r="46" spans="2:2" ht="15.75" customHeight="1" x14ac:dyDescent="0.2">
      <c r="B46" s="11"/>
    </row>
    <row r="47" spans="2:2" ht="15.75" customHeight="1" x14ac:dyDescent="0.2">
      <c r="B47" s="11"/>
    </row>
    <row r="48" spans="2:2" ht="15.75" customHeight="1" x14ac:dyDescent="0.2">
      <c r="B48" s="11"/>
    </row>
    <row r="49" spans="2:2" ht="15.75" customHeight="1" x14ac:dyDescent="0.2">
      <c r="B49" s="11"/>
    </row>
    <row r="50" spans="2:2" ht="15.75" customHeight="1" x14ac:dyDescent="0.2">
      <c r="B50" s="11"/>
    </row>
    <row r="51" spans="2:2" ht="15.75" customHeight="1" x14ac:dyDescent="0.2">
      <c r="B51" s="11"/>
    </row>
    <row r="52" spans="2:2" ht="15.75" customHeight="1" x14ac:dyDescent="0.2">
      <c r="B52" s="11"/>
    </row>
    <row r="53" spans="2:2" ht="15.75" customHeight="1" x14ac:dyDescent="0.2">
      <c r="B53" s="11"/>
    </row>
    <row r="54" spans="2:2" ht="15.75" customHeight="1" x14ac:dyDescent="0.2">
      <c r="B54" s="11"/>
    </row>
    <row r="55" spans="2:2" ht="15.75" customHeight="1" x14ac:dyDescent="0.2">
      <c r="B55" s="11"/>
    </row>
    <row r="56" spans="2:2" ht="15.75" customHeight="1" x14ac:dyDescent="0.2">
      <c r="B56" s="11"/>
    </row>
    <row r="57" spans="2:2" ht="15.75" customHeight="1" x14ac:dyDescent="0.2">
      <c r="B57" s="11"/>
    </row>
    <row r="58" spans="2:2" ht="15.75" customHeight="1" x14ac:dyDescent="0.2">
      <c r="B58" s="11"/>
    </row>
    <row r="59" spans="2:2" ht="15.75" customHeight="1" x14ac:dyDescent="0.2">
      <c r="B59" s="11"/>
    </row>
    <row r="60" spans="2:2" ht="15.75" customHeight="1" x14ac:dyDescent="0.2">
      <c r="B60" s="11"/>
    </row>
    <row r="61" spans="2:2" ht="15.75" customHeight="1" x14ac:dyDescent="0.2">
      <c r="B61" s="11"/>
    </row>
    <row r="62" spans="2:2" ht="15.75" customHeight="1" x14ac:dyDescent="0.2">
      <c r="B62" s="11"/>
    </row>
    <row r="63" spans="2:2" ht="15.75" customHeight="1" x14ac:dyDescent="0.2">
      <c r="B63" s="11"/>
    </row>
    <row r="64" spans="2:2" ht="15.75" customHeight="1" x14ac:dyDescent="0.2">
      <c r="B64" s="11"/>
    </row>
    <row r="65" spans="2:2" ht="15.75" customHeight="1" x14ac:dyDescent="0.2">
      <c r="B65" s="11"/>
    </row>
    <row r="66" spans="2:2" ht="15.75" customHeight="1" x14ac:dyDescent="0.2">
      <c r="B66" s="11"/>
    </row>
    <row r="67" spans="2:2" ht="15.75" customHeight="1" x14ac:dyDescent="0.2">
      <c r="B67" s="11"/>
    </row>
    <row r="68" spans="2:2" ht="15.75" customHeight="1" x14ac:dyDescent="0.2">
      <c r="B68" s="11"/>
    </row>
    <row r="69" spans="2:2" ht="15.75" customHeight="1" x14ac:dyDescent="0.2">
      <c r="B69" s="11"/>
    </row>
    <row r="70" spans="2:2" ht="15.75" customHeight="1" x14ac:dyDescent="0.2">
      <c r="B70" s="11"/>
    </row>
    <row r="71" spans="2:2" ht="15.75" customHeight="1" x14ac:dyDescent="0.2">
      <c r="B71" s="11"/>
    </row>
    <row r="72" spans="2:2" ht="15.75" customHeight="1" x14ac:dyDescent="0.2">
      <c r="B72" s="11"/>
    </row>
    <row r="73" spans="2:2" ht="15.75" customHeight="1" x14ac:dyDescent="0.2">
      <c r="B73" s="11"/>
    </row>
    <row r="74" spans="2:2" ht="15.75" customHeight="1" x14ac:dyDescent="0.2">
      <c r="B74" s="11"/>
    </row>
    <row r="75" spans="2:2" ht="15.75" customHeight="1" x14ac:dyDescent="0.2">
      <c r="B75" s="11"/>
    </row>
    <row r="76" spans="2:2" ht="15.75" customHeight="1" x14ac:dyDescent="0.2">
      <c r="B76" s="11"/>
    </row>
    <row r="77" spans="2:2" ht="15.75" customHeight="1" x14ac:dyDescent="0.2">
      <c r="B77" s="11"/>
    </row>
    <row r="78" spans="2:2" ht="15.75" customHeight="1" x14ac:dyDescent="0.2">
      <c r="B78" s="11"/>
    </row>
    <row r="79" spans="2:2" ht="15.75" customHeight="1" x14ac:dyDescent="0.2">
      <c r="B79" s="11"/>
    </row>
    <row r="80" spans="2:2" ht="15.75" customHeight="1" x14ac:dyDescent="0.2">
      <c r="B80" s="11"/>
    </row>
    <row r="81" spans="2:2" ht="15.75" customHeight="1" x14ac:dyDescent="0.2">
      <c r="B81" s="11"/>
    </row>
    <row r="82" spans="2:2" ht="15.75" customHeight="1" x14ac:dyDescent="0.2">
      <c r="B82" s="11"/>
    </row>
    <row r="83" spans="2:2" ht="15.75" customHeight="1" x14ac:dyDescent="0.2">
      <c r="B83" s="11"/>
    </row>
    <row r="84" spans="2:2" ht="15.75" customHeight="1" x14ac:dyDescent="0.2">
      <c r="B84" s="11"/>
    </row>
    <row r="85" spans="2:2" ht="15.75" customHeight="1" x14ac:dyDescent="0.2">
      <c r="B85" s="11"/>
    </row>
    <row r="86" spans="2:2" ht="15.75" customHeight="1" x14ac:dyDescent="0.2">
      <c r="B86" s="11"/>
    </row>
    <row r="87" spans="2:2" ht="15.75" customHeight="1" x14ac:dyDescent="0.2">
      <c r="B87" s="11"/>
    </row>
    <row r="88" spans="2:2" ht="15.75" customHeight="1" x14ac:dyDescent="0.2">
      <c r="B88" s="11"/>
    </row>
    <row r="89" spans="2:2" ht="15.75" customHeight="1" x14ac:dyDescent="0.2">
      <c r="B89" s="11"/>
    </row>
    <row r="90" spans="2:2" ht="15.75" customHeight="1" x14ac:dyDescent="0.2">
      <c r="B90" s="11"/>
    </row>
    <row r="91" spans="2:2" ht="15.75" customHeight="1" x14ac:dyDescent="0.2">
      <c r="B91" s="11"/>
    </row>
    <row r="92" spans="2:2" ht="15.75" customHeight="1" x14ac:dyDescent="0.2">
      <c r="B92" s="11"/>
    </row>
    <row r="93" spans="2:2" ht="15.75" customHeight="1" x14ac:dyDescent="0.2">
      <c r="B93" s="11"/>
    </row>
    <row r="94" spans="2:2" ht="15.75" customHeight="1" x14ac:dyDescent="0.2">
      <c r="B94" s="11"/>
    </row>
    <row r="95" spans="2:2" ht="15.75" customHeight="1" x14ac:dyDescent="0.2">
      <c r="B95" s="11"/>
    </row>
    <row r="96" spans="2:2" ht="15.75" customHeight="1" x14ac:dyDescent="0.2">
      <c r="B96" s="11"/>
    </row>
    <row r="97" spans="2:2" ht="15.75" customHeight="1" x14ac:dyDescent="0.2">
      <c r="B97" s="11"/>
    </row>
    <row r="98" spans="2:2" ht="15.75" customHeight="1" x14ac:dyDescent="0.2">
      <c r="B98" s="11"/>
    </row>
    <row r="99" spans="2:2" ht="15.75" customHeight="1" x14ac:dyDescent="0.2">
      <c r="B99" s="11"/>
    </row>
    <row r="100" spans="2:2" ht="15.75" customHeight="1" x14ac:dyDescent="0.2">
      <c r="B100" s="11"/>
    </row>
    <row r="101" spans="2:2" ht="15.75" customHeight="1" x14ac:dyDescent="0.2">
      <c r="B101" s="11"/>
    </row>
    <row r="102" spans="2:2" ht="15.75" customHeight="1" x14ac:dyDescent="0.2">
      <c r="B102" s="11"/>
    </row>
    <row r="103" spans="2:2" ht="15.75" customHeight="1" x14ac:dyDescent="0.2">
      <c r="B103" s="11"/>
    </row>
    <row r="104" spans="2:2" ht="15.75" customHeight="1" x14ac:dyDescent="0.2">
      <c r="B104" s="11"/>
    </row>
    <row r="105" spans="2:2" ht="15.75" customHeight="1" x14ac:dyDescent="0.2">
      <c r="B105" s="11"/>
    </row>
    <row r="106" spans="2:2" ht="15.75" customHeight="1" x14ac:dyDescent="0.2">
      <c r="B106" s="11"/>
    </row>
    <row r="107" spans="2:2" ht="15.75" customHeight="1" x14ac:dyDescent="0.2">
      <c r="B107" s="11"/>
    </row>
    <row r="108" spans="2:2" ht="15.75" customHeight="1" x14ac:dyDescent="0.2">
      <c r="B108" s="11"/>
    </row>
    <row r="109" spans="2:2" ht="15.75" customHeight="1" x14ac:dyDescent="0.2">
      <c r="B109" s="11"/>
    </row>
    <row r="110" spans="2:2" ht="15.75" customHeight="1" x14ac:dyDescent="0.2">
      <c r="B110" s="11"/>
    </row>
    <row r="111" spans="2:2" ht="15.75" customHeight="1" x14ac:dyDescent="0.2">
      <c r="B111" s="11"/>
    </row>
    <row r="112" spans="2:2" ht="15.75" customHeight="1" x14ac:dyDescent="0.2">
      <c r="B112" s="11"/>
    </row>
    <row r="113" spans="2:2" ht="15.75" customHeight="1" x14ac:dyDescent="0.2">
      <c r="B113" s="11"/>
    </row>
    <row r="114" spans="2:2" ht="15.75" customHeight="1" x14ac:dyDescent="0.2">
      <c r="B114" s="11"/>
    </row>
    <row r="115" spans="2:2" ht="15.75" customHeight="1" x14ac:dyDescent="0.2">
      <c r="B115" s="11"/>
    </row>
    <row r="116" spans="2:2" ht="15.75" customHeight="1" x14ac:dyDescent="0.2">
      <c r="B116" s="11"/>
    </row>
    <row r="117" spans="2:2" ht="15.75" customHeight="1" x14ac:dyDescent="0.2">
      <c r="B117" s="11"/>
    </row>
    <row r="118" spans="2:2" ht="15.75" customHeight="1" x14ac:dyDescent="0.2">
      <c r="B118" s="11"/>
    </row>
    <row r="119" spans="2:2" ht="15.75" customHeight="1" x14ac:dyDescent="0.2">
      <c r="B119" s="11"/>
    </row>
    <row r="120" spans="2:2" ht="15.75" customHeight="1" x14ac:dyDescent="0.2">
      <c r="B120" s="11"/>
    </row>
    <row r="121" spans="2:2" ht="15.75" customHeight="1" x14ac:dyDescent="0.2">
      <c r="B121" s="11"/>
    </row>
    <row r="122" spans="2:2" ht="15.75" customHeight="1" x14ac:dyDescent="0.2">
      <c r="B122" s="11"/>
    </row>
    <row r="123" spans="2:2" ht="15.75" customHeight="1" x14ac:dyDescent="0.2">
      <c r="B123" s="11"/>
    </row>
    <row r="124" spans="2:2" ht="15.75" customHeight="1" x14ac:dyDescent="0.2">
      <c r="B124" s="11"/>
    </row>
    <row r="125" spans="2:2" ht="15.75" customHeight="1" x14ac:dyDescent="0.2">
      <c r="B125" s="11"/>
    </row>
    <row r="126" spans="2:2" ht="15.75" customHeight="1" x14ac:dyDescent="0.2">
      <c r="B126" s="11"/>
    </row>
    <row r="127" spans="2:2" ht="15.75" customHeight="1" x14ac:dyDescent="0.2">
      <c r="B127" s="11"/>
    </row>
    <row r="128" spans="2:2" ht="15.75" customHeight="1" x14ac:dyDescent="0.2">
      <c r="B128" s="11"/>
    </row>
    <row r="129" spans="2:2" ht="15.75" customHeight="1" x14ac:dyDescent="0.2">
      <c r="B129" s="11"/>
    </row>
    <row r="130" spans="2:2" ht="15.75" customHeight="1" x14ac:dyDescent="0.2">
      <c r="B130" s="11"/>
    </row>
    <row r="131" spans="2:2" ht="15.75" customHeight="1" x14ac:dyDescent="0.2">
      <c r="B131" s="11"/>
    </row>
    <row r="132" spans="2:2" ht="15.75" customHeight="1" x14ac:dyDescent="0.2">
      <c r="B132" s="11"/>
    </row>
    <row r="133" spans="2:2" ht="15.75" customHeight="1" x14ac:dyDescent="0.2">
      <c r="B133" s="11"/>
    </row>
    <row r="134" spans="2:2" ht="15.75" customHeight="1" x14ac:dyDescent="0.2">
      <c r="B134" s="11"/>
    </row>
    <row r="135" spans="2:2" ht="15.75" customHeight="1" x14ac:dyDescent="0.2">
      <c r="B135" s="11"/>
    </row>
    <row r="136" spans="2:2" ht="15.75" customHeight="1" x14ac:dyDescent="0.2">
      <c r="B136" s="11"/>
    </row>
    <row r="137" spans="2:2" ht="15.75" customHeight="1" x14ac:dyDescent="0.2">
      <c r="B137" s="11"/>
    </row>
    <row r="138" spans="2:2" ht="15.75" customHeight="1" x14ac:dyDescent="0.2">
      <c r="B138" s="11"/>
    </row>
    <row r="139" spans="2:2" ht="15.75" customHeight="1" x14ac:dyDescent="0.2">
      <c r="B139" s="11"/>
    </row>
    <row r="140" spans="2:2" ht="15.75" customHeight="1" x14ac:dyDescent="0.2">
      <c r="B140" s="11"/>
    </row>
    <row r="141" spans="2:2" ht="15.75" customHeight="1" x14ac:dyDescent="0.2">
      <c r="B141" s="11"/>
    </row>
    <row r="142" spans="2:2" ht="15.75" customHeight="1" x14ac:dyDescent="0.2">
      <c r="B142" s="11"/>
    </row>
    <row r="143" spans="2:2" ht="15.75" customHeight="1" x14ac:dyDescent="0.2">
      <c r="B143" s="11"/>
    </row>
    <row r="144" spans="2:2" ht="15.75" customHeight="1" x14ac:dyDescent="0.2">
      <c r="B144" s="11"/>
    </row>
    <row r="145" spans="2:2" ht="15.75" customHeight="1" x14ac:dyDescent="0.2">
      <c r="B145" s="11"/>
    </row>
    <row r="146" spans="2:2" ht="15.75" customHeight="1" x14ac:dyDescent="0.2">
      <c r="B146" s="11"/>
    </row>
    <row r="147" spans="2:2" ht="15.75" customHeight="1" x14ac:dyDescent="0.2">
      <c r="B147" s="11"/>
    </row>
    <row r="148" spans="2:2" ht="15.75" customHeight="1" x14ac:dyDescent="0.2">
      <c r="B148" s="11"/>
    </row>
    <row r="149" spans="2:2" ht="15.75" customHeight="1" x14ac:dyDescent="0.2">
      <c r="B149" s="11"/>
    </row>
    <row r="150" spans="2:2" ht="15.75" customHeight="1" x14ac:dyDescent="0.2">
      <c r="B150" s="11"/>
    </row>
    <row r="151" spans="2:2" ht="15.75" customHeight="1" x14ac:dyDescent="0.2">
      <c r="B151" s="11"/>
    </row>
    <row r="152" spans="2:2" ht="15.75" customHeight="1" x14ac:dyDescent="0.2">
      <c r="B152" s="11"/>
    </row>
    <row r="153" spans="2:2" ht="15.75" customHeight="1" x14ac:dyDescent="0.2">
      <c r="B153" s="11"/>
    </row>
    <row r="154" spans="2:2" ht="15.75" customHeight="1" x14ac:dyDescent="0.2">
      <c r="B154" s="11"/>
    </row>
    <row r="155" spans="2:2" ht="15.75" customHeight="1" x14ac:dyDescent="0.2">
      <c r="B155" s="11"/>
    </row>
    <row r="156" spans="2:2" ht="15.75" customHeight="1" x14ac:dyDescent="0.2">
      <c r="B156" s="11"/>
    </row>
    <row r="157" spans="2:2" ht="15.75" customHeight="1" x14ac:dyDescent="0.2">
      <c r="B157" s="11"/>
    </row>
    <row r="158" spans="2:2" ht="15.75" customHeight="1" x14ac:dyDescent="0.2">
      <c r="B158" s="11"/>
    </row>
    <row r="159" spans="2:2" ht="15.75" customHeight="1" x14ac:dyDescent="0.2">
      <c r="B159" s="11"/>
    </row>
    <row r="160" spans="2:2" ht="15.75" customHeight="1" x14ac:dyDescent="0.2">
      <c r="B160" s="11"/>
    </row>
    <row r="161" spans="2:2" ht="15.75" customHeight="1" x14ac:dyDescent="0.2">
      <c r="B161" s="11"/>
    </row>
    <row r="162" spans="2:2" ht="15.75" customHeight="1" x14ac:dyDescent="0.2">
      <c r="B162" s="11"/>
    </row>
    <row r="163" spans="2:2" ht="15.75" customHeight="1" x14ac:dyDescent="0.2">
      <c r="B163" s="11"/>
    </row>
    <row r="164" spans="2:2" ht="15.75" customHeight="1" x14ac:dyDescent="0.2">
      <c r="B164" s="11"/>
    </row>
    <row r="165" spans="2:2" ht="15.75" customHeight="1" x14ac:dyDescent="0.2">
      <c r="B165" s="11"/>
    </row>
    <row r="166" spans="2:2" ht="15.75" customHeight="1" x14ac:dyDescent="0.2">
      <c r="B166" s="11"/>
    </row>
    <row r="167" spans="2:2" ht="15.75" customHeight="1" x14ac:dyDescent="0.2">
      <c r="B167" s="11"/>
    </row>
    <row r="168" spans="2:2" ht="15.75" customHeight="1" x14ac:dyDescent="0.2">
      <c r="B168" s="11"/>
    </row>
    <row r="169" spans="2:2" ht="15.75" customHeight="1" x14ac:dyDescent="0.2">
      <c r="B169" s="11"/>
    </row>
    <row r="170" spans="2:2" ht="15.75" customHeight="1" x14ac:dyDescent="0.2">
      <c r="B170" s="11"/>
    </row>
    <row r="171" spans="2:2" ht="15.75" customHeight="1" x14ac:dyDescent="0.2">
      <c r="B171" s="11"/>
    </row>
    <row r="172" spans="2:2" ht="15.75" customHeight="1" x14ac:dyDescent="0.2">
      <c r="B172" s="11"/>
    </row>
    <row r="173" spans="2:2" ht="15.75" customHeight="1" x14ac:dyDescent="0.2">
      <c r="B173" s="11"/>
    </row>
    <row r="174" spans="2:2" ht="15.75" customHeight="1" x14ac:dyDescent="0.2">
      <c r="B174" s="11"/>
    </row>
    <row r="175" spans="2:2" ht="15.75" customHeight="1" x14ac:dyDescent="0.2">
      <c r="B175" s="11"/>
    </row>
    <row r="176" spans="2:2" ht="15.75" customHeight="1" x14ac:dyDescent="0.2">
      <c r="B176" s="11"/>
    </row>
    <row r="177" spans="2:2" ht="15.75" customHeight="1" x14ac:dyDescent="0.2">
      <c r="B177" s="11"/>
    </row>
    <row r="178" spans="2:2" ht="15.75" customHeight="1" x14ac:dyDescent="0.2">
      <c r="B178" s="11"/>
    </row>
    <row r="179" spans="2:2" ht="15.75" customHeight="1" x14ac:dyDescent="0.2">
      <c r="B179" s="11"/>
    </row>
    <row r="180" spans="2:2" ht="15.75" customHeight="1" x14ac:dyDescent="0.2">
      <c r="B180" s="11"/>
    </row>
    <row r="181" spans="2:2" ht="15.75" customHeight="1" x14ac:dyDescent="0.2">
      <c r="B181" s="11"/>
    </row>
    <row r="182" spans="2:2" ht="15.75" customHeight="1" x14ac:dyDescent="0.2">
      <c r="B182" s="11"/>
    </row>
    <row r="183" spans="2:2" ht="15.75" customHeight="1" x14ac:dyDescent="0.2">
      <c r="B183" s="11"/>
    </row>
    <row r="184" spans="2:2" ht="15.75" customHeight="1" x14ac:dyDescent="0.2">
      <c r="B184" s="11"/>
    </row>
    <row r="185" spans="2:2" ht="15.75" customHeight="1" x14ac:dyDescent="0.2">
      <c r="B185" s="11"/>
    </row>
    <row r="186" spans="2:2" ht="15.75" customHeight="1" x14ac:dyDescent="0.2">
      <c r="B186" s="11"/>
    </row>
    <row r="187" spans="2:2" ht="15.75" customHeight="1" x14ac:dyDescent="0.2">
      <c r="B187" s="11"/>
    </row>
    <row r="188" spans="2:2" ht="15.75" customHeight="1" x14ac:dyDescent="0.2">
      <c r="B188" s="11"/>
    </row>
    <row r="189" spans="2:2" ht="15.75" customHeight="1" x14ac:dyDescent="0.2">
      <c r="B189" s="11"/>
    </row>
    <row r="190" spans="2:2" ht="15.75" customHeight="1" x14ac:dyDescent="0.2">
      <c r="B190" s="11"/>
    </row>
    <row r="191" spans="2:2" ht="15.75" customHeight="1" x14ac:dyDescent="0.2">
      <c r="B191" s="11"/>
    </row>
    <row r="192" spans="2:2" ht="15.75" customHeight="1" x14ac:dyDescent="0.2">
      <c r="B192" s="11"/>
    </row>
    <row r="193" spans="2:2" ht="15.75" customHeight="1" x14ac:dyDescent="0.2">
      <c r="B193" s="11"/>
    </row>
    <row r="194" spans="2:2" ht="15.75" customHeight="1" x14ac:dyDescent="0.2">
      <c r="B194" s="11"/>
    </row>
    <row r="195" spans="2:2" ht="15.75" customHeight="1" x14ac:dyDescent="0.2">
      <c r="B195" s="11"/>
    </row>
    <row r="196" spans="2:2" ht="15.75" customHeight="1" x14ac:dyDescent="0.2">
      <c r="B196" s="11"/>
    </row>
    <row r="197" spans="2:2" ht="15.75" customHeight="1" x14ac:dyDescent="0.2">
      <c r="B197" s="11"/>
    </row>
    <row r="198" spans="2:2" ht="15.75" customHeight="1" x14ac:dyDescent="0.2">
      <c r="B198" s="11"/>
    </row>
    <row r="199" spans="2:2" ht="15.75" customHeight="1" x14ac:dyDescent="0.2">
      <c r="B199" s="11"/>
    </row>
    <row r="200" spans="2:2" ht="15.75" customHeight="1" x14ac:dyDescent="0.2">
      <c r="B200" s="11"/>
    </row>
    <row r="201" spans="2:2" ht="15.75" customHeight="1" x14ac:dyDescent="0.2">
      <c r="B201" s="11"/>
    </row>
    <row r="202" spans="2:2" ht="15.75" customHeight="1" x14ac:dyDescent="0.2">
      <c r="B202" s="11"/>
    </row>
    <row r="203" spans="2:2" ht="15.75" customHeight="1" x14ac:dyDescent="0.2">
      <c r="B203" s="11"/>
    </row>
    <row r="204" spans="2:2" ht="15.75" customHeight="1" x14ac:dyDescent="0.2">
      <c r="B204" s="11"/>
    </row>
    <row r="205" spans="2:2" ht="15.75" customHeight="1" x14ac:dyDescent="0.2">
      <c r="B205" s="11"/>
    </row>
    <row r="206" spans="2:2" ht="15.75" customHeight="1" x14ac:dyDescent="0.2">
      <c r="B206" s="11"/>
    </row>
    <row r="207" spans="2:2" ht="15.75" customHeight="1" x14ac:dyDescent="0.2">
      <c r="B207" s="11"/>
    </row>
    <row r="208" spans="2:2" ht="15.75" customHeight="1" x14ac:dyDescent="0.2">
      <c r="B208" s="11"/>
    </row>
    <row r="209" spans="2:2" ht="15.75" customHeight="1" x14ac:dyDescent="0.2">
      <c r="B209" s="11"/>
    </row>
    <row r="210" spans="2:2" ht="15.75" customHeight="1" x14ac:dyDescent="0.2">
      <c r="B210" s="11"/>
    </row>
    <row r="211" spans="2:2" ht="15.75" customHeight="1" x14ac:dyDescent="0.2">
      <c r="B211" s="11"/>
    </row>
    <row r="212" spans="2:2" ht="15.75" customHeight="1" x14ac:dyDescent="0.2">
      <c r="B212" s="11"/>
    </row>
    <row r="213" spans="2:2" ht="15.75" customHeight="1" x14ac:dyDescent="0.2">
      <c r="B213" s="11"/>
    </row>
    <row r="214" spans="2:2" ht="15.75" customHeight="1" x14ac:dyDescent="0.2">
      <c r="B214" s="11"/>
    </row>
    <row r="215" spans="2:2" ht="15.75" customHeight="1" x14ac:dyDescent="0.2">
      <c r="B215" s="11"/>
    </row>
    <row r="216" spans="2:2" ht="15.75" customHeight="1" x14ac:dyDescent="0.2">
      <c r="B216" s="11"/>
    </row>
    <row r="217" spans="2:2" ht="15.75" customHeight="1" x14ac:dyDescent="0.2">
      <c r="B217" s="11"/>
    </row>
    <row r="218" spans="2:2" ht="15.75" customHeight="1" x14ac:dyDescent="0.2">
      <c r="B218" s="11"/>
    </row>
    <row r="219" spans="2:2" ht="15.75" customHeight="1" x14ac:dyDescent="0.2">
      <c r="B219" s="11"/>
    </row>
    <row r="220" spans="2:2" ht="15.75" customHeight="1" x14ac:dyDescent="0.2">
      <c r="B220" s="11"/>
    </row>
    <row r="221" spans="2:2" ht="15.75" customHeight="1" x14ac:dyDescent="0.2">
      <c r="B221" s="11"/>
    </row>
    <row r="222" spans="2:2" ht="15.75" customHeight="1" x14ac:dyDescent="0.2">
      <c r="B222" s="11"/>
    </row>
    <row r="223" spans="2:2" ht="15.75" customHeight="1" x14ac:dyDescent="0.2">
      <c r="B223" s="11"/>
    </row>
    <row r="224" spans="2:2" ht="15.75" customHeight="1" x14ac:dyDescent="0.2">
      <c r="B224" s="11"/>
    </row>
    <row r="225" spans="2:2" ht="15.75" customHeight="1" x14ac:dyDescent="0.2">
      <c r="B225" s="11"/>
    </row>
    <row r="226" spans="2:2" ht="15.75" customHeight="1" x14ac:dyDescent="0.2">
      <c r="B226" s="11"/>
    </row>
    <row r="227" spans="2:2" ht="15.75" customHeight="1" x14ac:dyDescent="0.2">
      <c r="B227" s="11"/>
    </row>
    <row r="228" spans="2:2" ht="15.75" customHeight="1" x14ac:dyDescent="0.2">
      <c r="B228" s="11"/>
    </row>
    <row r="229" spans="2:2" ht="15.75" customHeight="1" x14ac:dyDescent="0.2">
      <c r="B229" s="11"/>
    </row>
    <row r="230" spans="2:2" ht="15.75" customHeight="1" x14ac:dyDescent="0.2">
      <c r="B230" s="11"/>
    </row>
    <row r="231" spans="2:2" ht="15.75" customHeight="1" x14ac:dyDescent="0.2">
      <c r="B231" s="11"/>
    </row>
    <row r="232" spans="2:2" ht="15.75" customHeight="1" x14ac:dyDescent="0.2">
      <c r="B232" s="11"/>
    </row>
    <row r="233" spans="2:2" ht="15.75" customHeight="1" x14ac:dyDescent="0.2">
      <c r="B233" s="11"/>
    </row>
    <row r="234" spans="2:2" ht="15.75" customHeight="1" x14ac:dyDescent="0.2">
      <c r="B234" s="11"/>
    </row>
    <row r="235" spans="2:2" ht="15.75" customHeight="1" x14ac:dyDescent="0.2">
      <c r="B235" s="11"/>
    </row>
    <row r="236" spans="2:2" ht="15.75" customHeight="1" x14ac:dyDescent="0.2">
      <c r="B236" s="11"/>
    </row>
    <row r="237" spans="2:2" ht="15.75" customHeight="1" x14ac:dyDescent="0.2">
      <c r="B237" s="11"/>
    </row>
    <row r="238" spans="2:2" ht="15.75" customHeight="1" x14ac:dyDescent="0.2">
      <c r="B238" s="11"/>
    </row>
    <row r="239" spans="2:2" ht="15.75" customHeight="1" x14ac:dyDescent="0.2">
      <c r="B239" s="11"/>
    </row>
    <row r="240" spans="2:2" ht="15.75" customHeight="1" x14ac:dyDescent="0.2">
      <c r="B240" s="11"/>
    </row>
    <row r="241" spans="2:2" ht="15.75" customHeight="1" x14ac:dyDescent="0.2">
      <c r="B241" s="11"/>
    </row>
    <row r="242" spans="2:2" ht="15.75" customHeight="1" x14ac:dyDescent="0.2">
      <c r="B242" s="11"/>
    </row>
    <row r="243" spans="2:2" ht="15.75" customHeight="1" x14ac:dyDescent="0.2">
      <c r="B243" s="11"/>
    </row>
    <row r="244" spans="2:2" ht="15.75" customHeight="1" x14ac:dyDescent="0.2">
      <c r="B244" s="11"/>
    </row>
    <row r="245" spans="2:2" ht="15.75" customHeight="1" x14ac:dyDescent="0.2">
      <c r="B245" s="11"/>
    </row>
    <row r="246" spans="2:2" ht="15.75" customHeight="1" x14ac:dyDescent="0.2">
      <c r="B246" s="11"/>
    </row>
    <row r="247" spans="2:2" ht="15.75" customHeight="1" x14ac:dyDescent="0.2">
      <c r="B247" s="11"/>
    </row>
    <row r="248" spans="2:2" ht="15.75" customHeight="1" x14ac:dyDescent="0.2">
      <c r="B248" s="11"/>
    </row>
    <row r="249" spans="2:2" ht="15.75" customHeight="1" x14ac:dyDescent="0.2">
      <c r="B249" s="11"/>
    </row>
    <row r="250" spans="2:2" ht="15.75" customHeight="1" x14ac:dyDescent="0.2">
      <c r="B250" s="11"/>
    </row>
    <row r="251" spans="2:2" ht="15.75" customHeight="1" x14ac:dyDescent="0.2">
      <c r="B251" s="11"/>
    </row>
    <row r="252" spans="2:2" ht="15.75" customHeight="1" x14ac:dyDescent="0.2">
      <c r="B252" s="11"/>
    </row>
    <row r="253" spans="2:2" ht="15.75" customHeight="1" x14ac:dyDescent="0.2">
      <c r="B253" s="11"/>
    </row>
    <row r="254" spans="2:2" ht="15.75" customHeight="1" x14ac:dyDescent="0.2">
      <c r="B254" s="11"/>
    </row>
    <row r="255" spans="2:2" ht="15.75" customHeight="1" x14ac:dyDescent="0.2">
      <c r="B255" s="11"/>
    </row>
    <row r="256" spans="2:2" ht="15.75" customHeight="1" x14ac:dyDescent="0.2">
      <c r="B256" s="11"/>
    </row>
    <row r="257" spans="2:2" ht="15.75" customHeight="1" x14ac:dyDescent="0.2">
      <c r="B257" s="11"/>
    </row>
    <row r="258" spans="2:2" ht="15.75" customHeight="1" x14ac:dyDescent="0.2">
      <c r="B258" s="11"/>
    </row>
    <row r="259" spans="2:2" ht="15.75" customHeight="1" x14ac:dyDescent="0.2">
      <c r="B259" s="11"/>
    </row>
    <row r="260" spans="2:2" ht="15.75" customHeight="1" x14ac:dyDescent="0.2">
      <c r="B260" s="11"/>
    </row>
    <row r="261" spans="2:2" ht="15.75" customHeight="1" x14ac:dyDescent="0.2">
      <c r="B261" s="11"/>
    </row>
    <row r="262" spans="2:2" ht="15.75" customHeight="1" x14ac:dyDescent="0.2">
      <c r="B262" s="11"/>
    </row>
    <row r="263" spans="2:2" ht="15.75" customHeight="1" x14ac:dyDescent="0.2">
      <c r="B263" s="11"/>
    </row>
    <row r="264" spans="2:2" ht="15.75" customHeight="1" x14ac:dyDescent="0.2">
      <c r="B264" s="11"/>
    </row>
    <row r="265" spans="2:2" ht="15.75" customHeight="1" x14ac:dyDescent="0.2">
      <c r="B265" s="11"/>
    </row>
    <row r="266" spans="2:2" ht="15.75" customHeight="1" x14ac:dyDescent="0.2">
      <c r="B266" s="11"/>
    </row>
    <row r="267" spans="2:2" ht="15.75" customHeight="1" x14ac:dyDescent="0.2">
      <c r="B267" s="11"/>
    </row>
    <row r="268" spans="2:2" ht="15.75" customHeight="1" x14ac:dyDescent="0.2">
      <c r="B268" s="11"/>
    </row>
    <row r="269" spans="2:2" ht="15.75" customHeight="1" x14ac:dyDescent="0.2">
      <c r="B269" s="11"/>
    </row>
    <row r="270" spans="2:2" ht="15.75" customHeight="1" x14ac:dyDescent="0.2">
      <c r="B270" s="11"/>
    </row>
    <row r="271" spans="2:2" ht="15.75" customHeight="1" x14ac:dyDescent="0.2">
      <c r="B271" s="11"/>
    </row>
    <row r="272" spans="2:2" ht="15.75" customHeight="1" x14ac:dyDescent="0.2">
      <c r="B272" s="11"/>
    </row>
    <row r="273" spans="2:2" ht="15.75" customHeight="1" x14ac:dyDescent="0.2">
      <c r="B273" s="11"/>
    </row>
    <row r="274" spans="2:2" ht="15.75" customHeight="1" x14ac:dyDescent="0.2">
      <c r="B274" s="11"/>
    </row>
    <row r="275" spans="2:2" ht="15.75" customHeight="1" x14ac:dyDescent="0.2">
      <c r="B275" s="11"/>
    </row>
    <row r="276" spans="2:2" ht="15.75" customHeight="1" x14ac:dyDescent="0.2">
      <c r="B276" s="11"/>
    </row>
    <row r="277" spans="2:2" ht="15.75" customHeight="1" x14ac:dyDescent="0.2">
      <c r="B277" s="11"/>
    </row>
    <row r="278" spans="2:2" ht="15.75" customHeight="1" x14ac:dyDescent="0.2">
      <c r="B278" s="11"/>
    </row>
    <row r="279" spans="2:2" ht="15.75" customHeight="1" x14ac:dyDescent="0.2">
      <c r="B279" s="11"/>
    </row>
    <row r="280" spans="2:2" ht="15.75" customHeight="1" x14ac:dyDescent="0.2">
      <c r="B280" s="11"/>
    </row>
    <row r="281" spans="2:2" ht="15.75" customHeight="1" x14ac:dyDescent="0.2">
      <c r="B281" s="11"/>
    </row>
    <row r="282" spans="2:2" ht="15.75" customHeight="1" x14ac:dyDescent="0.2">
      <c r="B282" s="11"/>
    </row>
    <row r="283" spans="2:2" ht="15.75" customHeight="1" x14ac:dyDescent="0.2">
      <c r="B283" s="11"/>
    </row>
    <row r="284" spans="2:2" ht="15.75" customHeight="1" x14ac:dyDescent="0.2">
      <c r="B284" s="11"/>
    </row>
    <row r="285" spans="2:2" ht="15.75" customHeight="1" x14ac:dyDescent="0.2">
      <c r="B285" s="11"/>
    </row>
    <row r="286" spans="2:2" ht="15.75" customHeight="1" x14ac:dyDescent="0.2">
      <c r="B286" s="11"/>
    </row>
    <row r="287" spans="2:2" ht="15.75" customHeight="1" x14ac:dyDescent="0.2">
      <c r="B287" s="11"/>
    </row>
    <row r="288" spans="2:2" ht="15.75" customHeight="1" x14ac:dyDescent="0.2">
      <c r="B288" s="11"/>
    </row>
    <row r="289" spans="2:2" ht="15.75" customHeight="1" x14ac:dyDescent="0.2">
      <c r="B289" s="11"/>
    </row>
    <row r="290" spans="2:2" ht="15.75" customHeight="1" x14ac:dyDescent="0.2">
      <c r="B290" s="11"/>
    </row>
    <row r="291" spans="2:2" ht="15.75" customHeight="1" x14ac:dyDescent="0.2">
      <c r="B291" s="11"/>
    </row>
    <row r="292" spans="2:2" ht="15.75" customHeight="1" x14ac:dyDescent="0.2">
      <c r="B292" s="11"/>
    </row>
    <row r="293" spans="2:2" ht="15.75" customHeight="1" x14ac:dyDescent="0.2">
      <c r="B293" s="11"/>
    </row>
    <row r="294" spans="2:2" ht="15.75" customHeight="1" x14ac:dyDescent="0.2">
      <c r="B294" s="11"/>
    </row>
    <row r="295" spans="2:2" ht="15.75" customHeight="1" x14ac:dyDescent="0.2">
      <c r="B295" s="11"/>
    </row>
    <row r="296" spans="2:2" ht="15.75" customHeight="1" x14ac:dyDescent="0.2">
      <c r="B296" s="11"/>
    </row>
    <row r="297" spans="2:2" ht="15.75" customHeight="1" x14ac:dyDescent="0.2">
      <c r="B297" s="11"/>
    </row>
    <row r="298" spans="2:2" ht="15.75" customHeight="1" x14ac:dyDescent="0.2">
      <c r="B298" s="11"/>
    </row>
    <row r="299" spans="2:2" ht="15.75" customHeight="1" x14ac:dyDescent="0.2">
      <c r="B299" s="11"/>
    </row>
    <row r="300" spans="2:2" ht="15.75" customHeight="1" x14ac:dyDescent="0.2">
      <c r="B300" s="11"/>
    </row>
    <row r="301" spans="2:2" ht="15.75" customHeight="1" x14ac:dyDescent="0.2">
      <c r="B301" s="11"/>
    </row>
    <row r="302" spans="2:2" ht="15.75" customHeight="1" x14ac:dyDescent="0.2">
      <c r="B302" s="11"/>
    </row>
    <row r="303" spans="2:2" ht="15.75" customHeight="1" x14ac:dyDescent="0.2">
      <c r="B303" s="11"/>
    </row>
    <row r="304" spans="2:2" ht="15.75" customHeight="1" x14ac:dyDescent="0.2">
      <c r="B304" s="11"/>
    </row>
    <row r="305" spans="2:2" ht="15.75" customHeight="1" x14ac:dyDescent="0.2">
      <c r="B305" s="11"/>
    </row>
    <row r="306" spans="2:2" ht="15.75" customHeight="1" x14ac:dyDescent="0.2">
      <c r="B306" s="11"/>
    </row>
    <row r="307" spans="2:2" ht="15.75" customHeight="1" x14ac:dyDescent="0.2">
      <c r="B307" s="11"/>
    </row>
    <row r="308" spans="2:2" ht="15.75" customHeight="1" x14ac:dyDescent="0.2">
      <c r="B308" s="11"/>
    </row>
    <row r="309" spans="2:2" ht="15.75" customHeight="1" x14ac:dyDescent="0.2">
      <c r="B309" s="11"/>
    </row>
    <row r="310" spans="2:2" ht="15.75" customHeight="1" x14ac:dyDescent="0.2">
      <c r="B310" s="11"/>
    </row>
    <row r="311" spans="2:2" ht="15.75" customHeight="1" x14ac:dyDescent="0.2">
      <c r="B311" s="11"/>
    </row>
    <row r="312" spans="2:2" ht="15.75" customHeight="1" x14ac:dyDescent="0.2">
      <c r="B312" s="11"/>
    </row>
    <row r="313" spans="2:2" ht="15.75" customHeight="1" x14ac:dyDescent="0.2">
      <c r="B313" s="11"/>
    </row>
    <row r="314" spans="2:2" ht="15.75" customHeight="1" x14ac:dyDescent="0.2">
      <c r="B314" s="11"/>
    </row>
    <row r="315" spans="2:2" ht="15.75" customHeight="1" x14ac:dyDescent="0.2">
      <c r="B315" s="11"/>
    </row>
    <row r="316" spans="2:2" ht="15.75" customHeight="1" x14ac:dyDescent="0.2">
      <c r="B316" s="11"/>
    </row>
    <row r="317" spans="2:2" ht="15.75" customHeight="1" x14ac:dyDescent="0.2">
      <c r="B317" s="11"/>
    </row>
    <row r="318" spans="2:2" ht="15.75" customHeight="1" x14ac:dyDescent="0.2">
      <c r="B318" s="11"/>
    </row>
    <row r="319" spans="2:2" ht="15.75" customHeight="1" x14ac:dyDescent="0.2">
      <c r="B319" s="11"/>
    </row>
    <row r="320" spans="2:2" ht="15.75" customHeight="1" x14ac:dyDescent="0.2">
      <c r="B320" s="11"/>
    </row>
    <row r="321" spans="2:2" ht="15.75" customHeight="1" x14ac:dyDescent="0.2">
      <c r="B321" s="11"/>
    </row>
    <row r="322" spans="2:2" ht="15.75" customHeight="1" x14ac:dyDescent="0.2">
      <c r="B322" s="11"/>
    </row>
    <row r="323" spans="2:2" ht="15.75" customHeight="1" x14ac:dyDescent="0.2">
      <c r="B323" s="11"/>
    </row>
    <row r="324" spans="2:2" ht="15.75" customHeight="1" x14ac:dyDescent="0.2">
      <c r="B324" s="11"/>
    </row>
    <row r="325" spans="2:2" ht="15.75" customHeight="1" x14ac:dyDescent="0.2">
      <c r="B325" s="11"/>
    </row>
    <row r="326" spans="2:2" ht="15.75" customHeight="1" x14ac:dyDescent="0.2">
      <c r="B326" s="11"/>
    </row>
    <row r="327" spans="2:2" ht="15.75" customHeight="1" x14ac:dyDescent="0.2">
      <c r="B327" s="11"/>
    </row>
    <row r="328" spans="2:2" ht="15.75" customHeight="1" x14ac:dyDescent="0.2">
      <c r="B328" s="11"/>
    </row>
    <row r="329" spans="2:2" ht="15.75" customHeight="1" x14ac:dyDescent="0.2">
      <c r="B329" s="11"/>
    </row>
    <row r="330" spans="2:2" ht="15.75" customHeight="1" x14ac:dyDescent="0.2">
      <c r="B330" s="11"/>
    </row>
    <row r="331" spans="2:2" ht="15.75" customHeight="1" x14ac:dyDescent="0.2">
      <c r="B331" s="11"/>
    </row>
    <row r="332" spans="2:2" ht="15.75" customHeight="1" x14ac:dyDescent="0.2">
      <c r="B332" s="11"/>
    </row>
    <row r="333" spans="2:2" ht="15.75" customHeight="1" x14ac:dyDescent="0.2">
      <c r="B333" s="11"/>
    </row>
    <row r="334" spans="2:2" ht="15.75" customHeight="1" x14ac:dyDescent="0.2">
      <c r="B334" s="11"/>
    </row>
    <row r="335" spans="2:2" ht="15.75" customHeight="1" x14ac:dyDescent="0.2">
      <c r="B335" s="11"/>
    </row>
    <row r="336" spans="2:2" ht="15.75" customHeight="1" x14ac:dyDescent="0.2">
      <c r="B336" s="11"/>
    </row>
    <row r="337" spans="2:2" ht="15.75" customHeight="1" x14ac:dyDescent="0.2">
      <c r="B337" s="11"/>
    </row>
    <row r="338" spans="2:2" ht="15.75" customHeight="1" x14ac:dyDescent="0.2">
      <c r="B338" s="11"/>
    </row>
    <row r="339" spans="2:2" ht="15.75" customHeight="1" x14ac:dyDescent="0.2">
      <c r="B339" s="11"/>
    </row>
    <row r="340" spans="2:2" ht="15.75" customHeight="1" x14ac:dyDescent="0.2">
      <c r="B340" s="11"/>
    </row>
    <row r="341" spans="2:2" ht="15.75" customHeight="1" x14ac:dyDescent="0.2">
      <c r="B341" s="11"/>
    </row>
    <row r="342" spans="2:2" ht="15.75" customHeight="1" x14ac:dyDescent="0.2">
      <c r="B342" s="11"/>
    </row>
    <row r="343" spans="2:2" ht="15.75" customHeight="1" x14ac:dyDescent="0.2">
      <c r="B343" s="11"/>
    </row>
    <row r="344" spans="2:2" ht="15.75" customHeight="1" x14ac:dyDescent="0.2">
      <c r="B344" s="11"/>
    </row>
    <row r="345" spans="2:2" ht="15.75" customHeight="1" x14ac:dyDescent="0.2">
      <c r="B345" s="11"/>
    </row>
    <row r="346" spans="2:2" ht="15.75" customHeight="1" x14ac:dyDescent="0.2">
      <c r="B346" s="11"/>
    </row>
    <row r="347" spans="2:2" ht="15.75" customHeight="1" x14ac:dyDescent="0.2">
      <c r="B347" s="11"/>
    </row>
    <row r="348" spans="2:2" ht="15.75" customHeight="1" x14ac:dyDescent="0.2">
      <c r="B348" s="11"/>
    </row>
    <row r="349" spans="2:2" ht="15.75" customHeight="1" x14ac:dyDescent="0.2">
      <c r="B349" s="11"/>
    </row>
    <row r="350" spans="2:2" ht="15.75" customHeight="1" x14ac:dyDescent="0.2">
      <c r="B350" s="11"/>
    </row>
    <row r="351" spans="2:2" ht="15.75" customHeight="1" x14ac:dyDescent="0.2">
      <c r="B351" s="11"/>
    </row>
    <row r="352" spans="2:2" ht="15.75" customHeight="1" x14ac:dyDescent="0.2">
      <c r="B352" s="11"/>
    </row>
    <row r="353" spans="2:2" ht="15.75" customHeight="1" x14ac:dyDescent="0.2">
      <c r="B353" s="11"/>
    </row>
    <row r="354" spans="2:2" ht="15.75" customHeight="1" x14ac:dyDescent="0.2">
      <c r="B354" s="11"/>
    </row>
    <row r="355" spans="2:2" ht="15.75" customHeight="1" x14ac:dyDescent="0.2">
      <c r="B355" s="11"/>
    </row>
    <row r="356" spans="2:2" ht="15.75" customHeight="1" x14ac:dyDescent="0.2">
      <c r="B356" s="11"/>
    </row>
    <row r="357" spans="2:2" ht="15.75" customHeight="1" x14ac:dyDescent="0.2">
      <c r="B357" s="11"/>
    </row>
    <row r="358" spans="2:2" ht="15.75" customHeight="1" x14ac:dyDescent="0.2">
      <c r="B358" s="11"/>
    </row>
    <row r="359" spans="2:2" ht="15.75" customHeight="1" x14ac:dyDescent="0.2">
      <c r="B359" s="11"/>
    </row>
    <row r="360" spans="2:2" ht="15.75" customHeight="1" x14ac:dyDescent="0.2">
      <c r="B360" s="11"/>
    </row>
    <row r="361" spans="2:2" ht="15.75" customHeight="1" x14ac:dyDescent="0.2">
      <c r="B361" s="11"/>
    </row>
    <row r="362" spans="2:2" ht="15.75" customHeight="1" x14ac:dyDescent="0.2">
      <c r="B362" s="11"/>
    </row>
    <row r="363" spans="2:2" ht="15.75" customHeight="1" x14ac:dyDescent="0.2">
      <c r="B363" s="11"/>
    </row>
    <row r="364" spans="2:2" ht="15.75" customHeight="1" x14ac:dyDescent="0.2">
      <c r="B364" s="11"/>
    </row>
    <row r="365" spans="2:2" ht="15.75" customHeight="1" x14ac:dyDescent="0.2">
      <c r="B365" s="11"/>
    </row>
    <row r="366" spans="2:2" ht="15.75" customHeight="1" x14ac:dyDescent="0.2">
      <c r="B366" s="11"/>
    </row>
    <row r="367" spans="2:2" ht="15.75" customHeight="1" x14ac:dyDescent="0.2">
      <c r="B367" s="11"/>
    </row>
    <row r="368" spans="2:2" ht="15.75" customHeight="1" x14ac:dyDescent="0.2">
      <c r="B368" s="11"/>
    </row>
    <row r="369" spans="2:2" ht="15.75" customHeight="1" x14ac:dyDescent="0.2">
      <c r="B369" s="11"/>
    </row>
    <row r="370" spans="2:2" ht="15.75" customHeight="1" x14ac:dyDescent="0.2">
      <c r="B370" s="11"/>
    </row>
    <row r="371" spans="2:2" ht="15.75" customHeight="1" x14ac:dyDescent="0.2">
      <c r="B371" s="11"/>
    </row>
    <row r="372" spans="2:2" ht="15.75" customHeight="1" x14ac:dyDescent="0.2">
      <c r="B372" s="11"/>
    </row>
    <row r="373" spans="2:2" ht="15.75" customHeight="1" x14ac:dyDescent="0.2">
      <c r="B373" s="11"/>
    </row>
    <row r="374" spans="2:2" ht="15.75" customHeight="1" x14ac:dyDescent="0.2">
      <c r="B374" s="11"/>
    </row>
    <row r="375" spans="2:2" ht="15.75" customHeight="1" x14ac:dyDescent="0.2">
      <c r="B375" s="11"/>
    </row>
    <row r="376" spans="2:2" ht="15.75" customHeight="1" x14ac:dyDescent="0.2">
      <c r="B376" s="11"/>
    </row>
    <row r="377" spans="2:2" ht="15.75" customHeight="1" x14ac:dyDescent="0.2">
      <c r="B377" s="11"/>
    </row>
    <row r="378" spans="2:2" ht="15.75" customHeight="1" x14ac:dyDescent="0.2">
      <c r="B378" s="11"/>
    </row>
    <row r="379" spans="2:2" ht="15.75" customHeight="1" x14ac:dyDescent="0.2">
      <c r="B379" s="11"/>
    </row>
    <row r="380" spans="2:2" ht="15.75" customHeight="1" x14ac:dyDescent="0.2">
      <c r="B380" s="11"/>
    </row>
    <row r="381" spans="2:2" ht="15.75" customHeight="1" x14ac:dyDescent="0.2">
      <c r="B381" s="11"/>
    </row>
    <row r="382" spans="2:2" ht="15.75" customHeight="1" x14ac:dyDescent="0.2">
      <c r="B382" s="11"/>
    </row>
    <row r="383" spans="2:2" ht="15.75" customHeight="1" x14ac:dyDescent="0.2">
      <c r="B383" s="11"/>
    </row>
    <row r="384" spans="2:2" ht="15.75" customHeight="1" x14ac:dyDescent="0.2">
      <c r="B384" s="11"/>
    </row>
    <row r="385" spans="2:2" ht="15.75" customHeight="1" x14ac:dyDescent="0.2">
      <c r="B385" s="11"/>
    </row>
    <row r="386" spans="2:2" ht="15.75" customHeight="1" x14ac:dyDescent="0.2">
      <c r="B386" s="11"/>
    </row>
    <row r="387" spans="2:2" ht="15.75" customHeight="1" x14ac:dyDescent="0.2">
      <c r="B387" s="11"/>
    </row>
    <row r="388" spans="2:2" ht="15.75" customHeight="1" x14ac:dyDescent="0.2">
      <c r="B388" s="11"/>
    </row>
    <row r="389" spans="2:2" ht="15.75" customHeight="1" x14ac:dyDescent="0.2">
      <c r="B389" s="11"/>
    </row>
    <row r="390" spans="2:2" ht="15.75" customHeight="1" x14ac:dyDescent="0.2">
      <c r="B390" s="11"/>
    </row>
    <row r="391" spans="2:2" ht="15.75" customHeight="1" x14ac:dyDescent="0.2">
      <c r="B391" s="11"/>
    </row>
    <row r="392" spans="2:2" ht="15.75" customHeight="1" x14ac:dyDescent="0.2">
      <c r="B392" s="11"/>
    </row>
    <row r="393" spans="2:2" ht="15.75" customHeight="1" x14ac:dyDescent="0.2">
      <c r="B393" s="11"/>
    </row>
    <row r="394" spans="2:2" ht="15.75" customHeight="1" x14ac:dyDescent="0.2">
      <c r="B394" s="11"/>
    </row>
    <row r="395" spans="2:2" ht="15.75" customHeight="1" x14ac:dyDescent="0.2">
      <c r="B395" s="11"/>
    </row>
    <row r="396" spans="2:2" ht="15.75" customHeight="1" x14ac:dyDescent="0.2">
      <c r="B396" s="11"/>
    </row>
    <row r="397" spans="2:2" ht="15.75" customHeight="1" x14ac:dyDescent="0.2">
      <c r="B397" s="11"/>
    </row>
    <row r="398" spans="2:2" ht="15.75" customHeight="1" x14ac:dyDescent="0.2">
      <c r="B398" s="11"/>
    </row>
    <row r="399" spans="2:2" ht="15.75" customHeight="1" x14ac:dyDescent="0.2">
      <c r="B399" s="11"/>
    </row>
    <row r="400" spans="2:2" ht="15.75" customHeight="1" x14ac:dyDescent="0.2">
      <c r="B400" s="11"/>
    </row>
    <row r="401" spans="2:2" ht="15.75" customHeight="1" x14ac:dyDescent="0.2">
      <c r="B401" s="11"/>
    </row>
    <row r="402" spans="2:2" ht="15.75" customHeight="1" x14ac:dyDescent="0.2">
      <c r="B402" s="11"/>
    </row>
    <row r="403" spans="2:2" ht="15.75" customHeight="1" x14ac:dyDescent="0.2">
      <c r="B403" s="11"/>
    </row>
    <row r="404" spans="2:2" ht="15.75" customHeight="1" x14ac:dyDescent="0.2">
      <c r="B404" s="11"/>
    </row>
    <row r="405" spans="2:2" ht="15.75" customHeight="1" x14ac:dyDescent="0.2">
      <c r="B405" s="11"/>
    </row>
    <row r="406" spans="2:2" ht="15.75" customHeight="1" x14ac:dyDescent="0.2">
      <c r="B406" s="11"/>
    </row>
    <row r="407" spans="2:2" ht="15.75" customHeight="1" x14ac:dyDescent="0.2">
      <c r="B407" s="11"/>
    </row>
    <row r="408" spans="2:2" ht="15.75" customHeight="1" x14ac:dyDescent="0.2">
      <c r="B408" s="11"/>
    </row>
    <row r="409" spans="2:2" ht="15.75" customHeight="1" x14ac:dyDescent="0.2">
      <c r="B409" s="11"/>
    </row>
    <row r="410" spans="2:2" ht="15.75" customHeight="1" x14ac:dyDescent="0.2">
      <c r="B410" s="11"/>
    </row>
    <row r="411" spans="2:2" ht="15.75" customHeight="1" x14ac:dyDescent="0.2">
      <c r="B411" s="11"/>
    </row>
    <row r="412" spans="2:2" ht="15.75" customHeight="1" x14ac:dyDescent="0.2">
      <c r="B412" s="11"/>
    </row>
    <row r="413" spans="2:2" ht="15.75" customHeight="1" x14ac:dyDescent="0.2">
      <c r="B413" s="11"/>
    </row>
    <row r="414" spans="2:2" ht="15.75" customHeight="1" x14ac:dyDescent="0.2">
      <c r="B414" s="11"/>
    </row>
    <row r="415" spans="2:2" ht="15.75" customHeight="1" x14ac:dyDescent="0.2">
      <c r="B415" s="11"/>
    </row>
    <row r="416" spans="2:2" ht="15.75" customHeight="1" x14ac:dyDescent="0.2">
      <c r="B416" s="11"/>
    </row>
    <row r="417" spans="2:2" ht="15.75" customHeight="1" x14ac:dyDescent="0.2">
      <c r="B417" s="11"/>
    </row>
    <row r="418" spans="2:2" ht="15.75" customHeight="1" x14ac:dyDescent="0.2">
      <c r="B418" s="11"/>
    </row>
    <row r="419" spans="2:2" ht="15.75" customHeight="1" x14ac:dyDescent="0.2">
      <c r="B419" s="11"/>
    </row>
    <row r="420" spans="2:2" ht="15.75" customHeight="1" x14ac:dyDescent="0.2">
      <c r="B420" s="11"/>
    </row>
    <row r="421" spans="2:2" ht="15.75" customHeight="1" x14ac:dyDescent="0.2">
      <c r="B421" s="11"/>
    </row>
    <row r="422" spans="2:2" ht="15.75" customHeight="1" x14ac:dyDescent="0.2">
      <c r="B422" s="11"/>
    </row>
    <row r="423" spans="2:2" ht="15.75" customHeight="1" x14ac:dyDescent="0.2">
      <c r="B423" s="11"/>
    </row>
    <row r="424" spans="2:2" ht="15.75" customHeight="1" x14ac:dyDescent="0.2">
      <c r="B424" s="11"/>
    </row>
    <row r="425" spans="2:2" ht="15.75" customHeight="1" x14ac:dyDescent="0.2">
      <c r="B425" s="11"/>
    </row>
    <row r="426" spans="2:2" ht="15.75" customHeight="1" x14ac:dyDescent="0.2">
      <c r="B426" s="11"/>
    </row>
    <row r="427" spans="2:2" ht="15.75" customHeight="1" x14ac:dyDescent="0.2">
      <c r="B427" s="11"/>
    </row>
    <row r="428" spans="2:2" ht="15.75" customHeight="1" x14ac:dyDescent="0.2">
      <c r="B428" s="11"/>
    </row>
    <row r="429" spans="2:2" ht="15.75" customHeight="1" x14ac:dyDescent="0.2">
      <c r="B429" s="11"/>
    </row>
    <row r="430" spans="2:2" ht="15.75" customHeight="1" x14ac:dyDescent="0.2">
      <c r="B430" s="11"/>
    </row>
    <row r="431" spans="2:2" ht="15.75" customHeight="1" x14ac:dyDescent="0.2">
      <c r="B431" s="11"/>
    </row>
    <row r="432" spans="2:2" ht="15.75" customHeight="1" x14ac:dyDescent="0.2">
      <c r="B432" s="11"/>
    </row>
    <row r="433" spans="2:2" ht="15.75" customHeight="1" x14ac:dyDescent="0.2">
      <c r="B433" s="11"/>
    </row>
    <row r="434" spans="2:2" ht="15.75" customHeight="1" x14ac:dyDescent="0.2">
      <c r="B434" s="11"/>
    </row>
    <row r="435" spans="2:2" ht="15.75" customHeight="1" x14ac:dyDescent="0.2">
      <c r="B435" s="11"/>
    </row>
    <row r="436" spans="2:2" ht="15.75" customHeight="1" x14ac:dyDescent="0.2">
      <c r="B436" s="11"/>
    </row>
    <row r="437" spans="2:2" ht="15.75" customHeight="1" x14ac:dyDescent="0.2">
      <c r="B437" s="11"/>
    </row>
    <row r="438" spans="2:2" ht="15.75" customHeight="1" x14ac:dyDescent="0.2">
      <c r="B438" s="11"/>
    </row>
    <row r="439" spans="2:2" ht="15.75" customHeight="1" x14ac:dyDescent="0.2">
      <c r="B439" s="11"/>
    </row>
    <row r="440" spans="2:2" ht="15.75" customHeight="1" x14ac:dyDescent="0.2">
      <c r="B440" s="11"/>
    </row>
    <row r="441" spans="2:2" ht="15.75" customHeight="1" x14ac:dyDescent="0.2">
      <c r="B441" s="11"/>
    </row>
    <row r="442" spans="2:2" ht="15.75" customHeight="1" x14ac:dyDescent="0.2">
      <c r="B442" s="11"/>
    </row>
    <row r="443" spans="2:2" ht="15.75" customHeight="1" x14ac:dyDescent="0.2">
      <c r="B443" s="11"/>
    </row>
    <row r="444" spans="2:2" ht="15.75" customHeight="1" x14ac:dyDescent="0.2">
      <c r="B444" s="11"/>
    </row>
    <row r="445" spans="2:2" ht="15.75" customHeight="1" x14ac:dyDescent="0.2">
      <c r="B445" s="11"/>
    </row>
    <row r="446" spans="2:2" ht="15.75" customHeight="1" x14ac:dyDescent="0.2">
      <c r="B446" s="11"/>
    </row>
    <row r="447" spans="2:2" ht="15.75" customHeight="1" x14ac:dyDescent="0.2">
      <c r="B447" s="11"/>
    </row>
    <row r="448" spans="2:2" ht="15.75" customHeight="1" x14ac:dyDescent="0.2">
      <c r="B448" s="11"/>
    </row>
    <row r="449" spans="2:2" ht="15.75" customHeight="1" x14ac:dyDescent="0.2">
      <c r="B449" s="11"/>
    </row>
    <row r="450" spans="2:2" ht="15.75" customHeight="1" x14ac:dyDescent="0.2">
      <c r="B450" s="11"/>
    </row>
    <row r="451" spans="2:2" ht="15.75" customHeight="1" x14ac:dyDescent="0.2">
      <c r="B451" s="11"/>
    </row>
    <row r="452" spans="2:2" ht="15.75" customHeight="1" x14ac:dyDescent="0.2">
      <c r="B452" s="11"/>
    </row>
    <row r="453" spans="2:2" ht="15.75" customHeight="1" x14ac:dyDescent="0.2">
      <c r="B453" s="11"/>
    </row>
    <row r="454" spans="2:2" ht="15.75" customHeight="1" x14ac:dyDescent="0.2">
      <c r="B454" s="11"/>
    </row>
    <row r="455" spans="2:2" ht="15.75" customHeight="1" x14ac:dyDescent="0.2">
      <c r="B455" s="11"/>
    </row>
    <row r="456" spans="2:2" ht="15.75" customHeight="1" x14ac:dyDescent="0.2">
      <c r="B456" s="11"/>
    </row>
    <row r="457" spans="2:2" ht="15.75" customHeight="1" x14ac:dyDescent="0.2">
      <c r="B457" s="11"/>
    </row>
    <row r="458" spans="2:2" ht="15.75" customHeight="1" x14ac:dyDescent="0.2">
      <c r="B458" s="11"/>
    </row>
    <row r="459" spans="2:2" ht="15.75" customHeight="1" x14ac:dyDescent="0.2">
      <c r="B459" s="11"/>
    </row>
    <row r="460" spans="2:2" ht="15.75" customHeight="1" x14ac:dyDescent="0.2">
      <c r="B460" s="11"/>
    </row>
    <row r="461" spans="2:2" ht="15.75" customHeight="1" x14ac:dyDescent="0.2">
      <c r="B461" s="11"/>
    </row>
    <row r="462" spans="2:2" ht="15.75" customHeight="1" x14ac:dyDescent="0.2">
      <c r="B462" s="11"/>
    </row>
    <row r="463" spans="2:2" ht="15.75" customHeight="1" x14ac:dyDescent="0.2">
      <c r="B463" s="11"/>
    </row>
    <row r="464" spans="2:2" ht="15.75" customHeight="1" x14ac:dyDescent="0.2">
      <c r="B464" s="11"/>
    </row>
    <row r="465" spans="2:2" ht="15.75" customHeight="1" x14ac:dyDescent="0.2">
      <c r="B465" s="11"/>
    </row>
    <row r="466" spans="2:2" ht="15.75" customHeight="1" x14ac:dyDescent="0.2">
      <c r="B466" s="11"/>
    </row>
    <row r="467" spans="2:2" ht="15.75" customHeight="1" x14ac:dyDescent="0.2">
      <c r="B467" s="11"/>
    </row>
    <row r="468" spans="2:2" ht="15.75" customHeight="1" x14ac:dyDescent="0.2">
      <c r="B468" s="11"/>
    </row>
    <row r="469" spans="2:2" ht="15.75" customHeight="1" x14ac:dyDescent="0.2">
      <c r="B469" s="11"/>
    </row>
    <row r="470" spans="2:2" ht="15.75" customHeight="1" x14ac:dyDescent="0.2">
      <c r="B470" s="11"/>
    </row>
    <row r="471" spans="2:2" ht="15.75" customHeight="1" x14ac:dyDescent="0.2">
      <c r="B471" s="11"/>
    </row>
    <row r="472" spans="2:2" ht="15.75" customHeight="1" x14ac:dyDescent="0.2">
      <c r="B472" s="11"/>
    </row>
    <row r="473" spans="2:2" ht="15.75" customHeight="1" x14ac:dyDescent="0.2">
      <c r="B473" s="11"/>
    </row>
    <row r="474" spans="2:2" ht="15.75" customHeight="1" x14ac:dyDescent="0.2">
      <c r="B474" s="11"/>
    </row>
    <row r="475" spans="2:2" ht="15.75" customHeight="1" x14ac:dyDescent="0.2">
      <c r="B475" s="11"/>
    </row>
    <row r="476" spans="2:2" ht="15.75" customHeight="1" x14ac:dyDescent="0.2">
      <c r="B476" s="11"/>
    </row>
    <row r="477" spans="2:2" ht="15.75" customHeight="1" x14ac:dyDescent="0.2">
      <c r="B477" s="11"/>
    </row>
    <row r="478" spans="2:2" ht="15.75" customHeight="1" x14ac:dyDescent="0.2">
      <c r="B478" s="11"/>
    </row>
    <row r="479" spans="2:2" ht="15.75" customHeight="1" x14ac:dyDescent="0.2">
      <c r="B479" s="11"/>
    </row>
    <row r="480" spans="2:2" ht="15.75" customHeight="1" x14ac:dyDescent="0.2">
      <c r="B480" s="11"/>
    </row>
    <row r="481" spans="2:2" ht="15.75" customHeight="1" x14ac:dyDescent="0.2">
      <c r="B481" s="11"/>
    </row>
    <row r="482" spans="2:2" ht="15.75" customHeight="1" x14ac:dyDescent="0.2">
      <c r="B482" s="11"/>
    </row>
    <row r="483" spans="2:2" ht="15.75" customHeight="1" x14ac:dyDescent="0.2">
      <c r="B483" s="11"/>
    </row>
    <row r="484" spans="2:2" ht="15.75" customHeight="1" x14ac:dyDescent="0.2">
      <c r="B484" s="11"/>
    </row>
    <row r="485" spans="2:2" ht="15.75" customHeight="1" x14ac:dyDescent="0.2">
      <c r="B485" s="11"/>
    </row>
    <row r="486" spans="2:2" ht="15.75" customHeight="1" x14ac:dyDescent="0.2">
      <c r="B486" s="11"/>
    </row>
    <row r="487" spans="2:2" ht="15.75" customHeight="1" x14ac:dyDescent="0.2">
      <c r="B487" s="11"/>
    </row>
    <row r="488" spans="2:2" ht="15.75" customHeight="1" x14ac:dyDescent="0.2">
      <c r="B488" s="11"/>
    </row>
    <row r="489" spans="2:2" ht="15.75" customHeight="1" x14ac:dyDescent="0.2">
      <c r="B489" s="11"/>
    </row>
    <row r="490" spans="2:2" ht="15.75" customHeight="1" x14ac:dyDescent="0.2">
      <c r="B490" s="11"/>
    </row>
    <row r="491" spans="2:2" ht="15.75" customHeight="1" x14ac:dyDescent="0.2">
      <c r="B491" s="11"/>
    </row>
    <row r="492" spans="2:2" ht="15.75" customHeight="1" x14ac:dyDescent="0.2">
      <c r="B492" s="11"/>
    </row>
    <row r="493" spans="2:2" ht="15.75" customHeight="1" x14ac:dyDescent="0.2">
      <c r="B493" s="11"/>
    </row>
    <row r="494" spans="2:2" ht="15.75" customHeight="1" x14ac:dyDescent="0.2">
      <c r="B494" s="11"/>
    </row>
    <row r="495" spans="2:2" ht="15.75" customHeight="1" x14ac:dyDescent="0.2">
      <c r="B495" s="11"/>
    </row>
    <row r="496" spans="2:2" ht="15.75" customHeight="1" x14ac:dyDescent="0.2">
      <c r="B496" s="11"/>
    </row>
    <row r="497" spans="2:2" ht="15.75" customHeight="1" x14ac:dyDescent="0.2">
      <c r="B497" s="11"/>
    </row>
    <row r="498" spans="2:2" ht="15.75" customHeight="1" x14ac:dyDescent="0.2">
      <c r="B498" s="11"/>
    </row>
    <row r="499" spans="2:2" ht="15.75" customHeight="1" x14ac:dyDescent="0.2">
      <c r="B499" s="11"/>
    </row>
    <row r="500" spans="2:2" ht="15.75" customHeight="1" x14ac:dyDescent="0.2">
      <c r="B500" s="11"/>
    </row>
    <row r="501" spans="2:2" ht="15.75" customHeight="1" x14ac:dyDescent="0.2">
      <c r="B501" s="11"/>
    </row>
    <row r="502" spans="2:2" ht="15.75" customHeight="1" x14ac:dyDescent="0.2">
      <c r="B502" s="11"/>
    </row>
    <row r="503" spans="2:2" ht="15.75" customHeight="1" x14ac:dyDescent="0.2">
      <c r="B503" s="11"/>
    </row>
    <row r="504" spans="2:2" ht="15.75" customHeight="1" x14ac:dyDescent="0.2">
      <c r="B504" s="11"/>
    </row>
    <row r="505" spans="2:2" ht="15.75" customHeight="1" x14ac:dyDescent="0.2">
      <c r="B505" s="11"/>
    </row>
    <row r="506" spans="2:2" ht="15.75" customHeight="1" x14ac:dyDescent="0.2">
      <c r="B506" s="11"/>
    </row>
    <row r="507" spans="2:2" ht="15.75" customHeight="1" x14ac:dyDescent="0.2">
      <c r="B507" s="11"/>
    </row>
    <row r="508" spans="2:2" ht="15.75" customHeight="1" x14ac:dyDescent="0.2">
      <c r="B508" s="11"/>
    </row>
    <row r="509" spans="2:2" ht="15.75" customHeight="1" x14ac:dyDescent="0.2">
      <c r="B509" s="11"/>
    </row>
    <row r="510" spans="2:2" ht="15.75" customHeight="1" x14ac:dyDescent="0.2">
      <c r="B510" s="11"/>
    </row>
    <row r="511" spans="2:2" ht="15.75" customHeight="1" x14ac:dyDescent="0.2">
      <c r="B511" s="11"/>
    </row>
    <row r="512" spans="2:2" ht="15.75" customHeight="1" x14ac:dyDescent="0.2">
      <c r="B512" s="11"/>
    </row>
    <row r="513" spans="2:2" ht="15.75" customHeight="1" x14ac:dyDescent="0.2">
      <c r="B513" s="11"/>
    </row>
    <row r="514" spans="2:2" ht="15.75" customHeight="1" x14ac:dyDescent="0.2">
      <c r="B514" s="11"/>
    </row>
    <row r="515" spans="2:2" ht="15.75" customHeight="1" x14ac:dyDescent="0.2">
      <c r="B515" s="11"/>
    </row>
    <row r="516" spans="2:2" ht="15.75" customHeight="1" x14ac:dyDescent="0.2">
      <c r="B516" s="11"/>
    </row>
    <row r="517" spans="2:2" ht="15.75" customHeight="1" x14ac:dyDescent="0.2">
      <c r="B517" s="11"/>
    </row>
    <row r="518" spans="2:2" ht="15.75" customHeight="1" x14ac:dyDescent="0.2">
      <c r="B518" s="11"/>
    </row>
    <row r="519" spans="2:2" ht="15.75" customHeight="1" x14ac:dyDescent="0.2">
      <c r="B519" s="11"/>
    </row>
    <row r="520" spans="2:2" ht="15.75" customHeight="1" x14ac:dyDescent="0.2">
      <c r="B520" s="11"/>
    </row>
    <row r="521" spans="2:2" ht="15.75" customHeight="1" x14ac:dyDescent="0.2">
      <c r="B521" s="11"/>
    </row>
    <row r="522" spans="2:2" ht="15.75" customHeight="1" x14ac:dyDescent="0.2">
      <c r="B522" s="11"/>
    </row>
    <row r="523" spans="2:2" ht="15.75" customHeight="1" x14ac:dyDescent="0.2">
      <c r="B523" s="11"/>
    </row>
    <row r="524" spans="2:2" ht="15.75" customHeight="1" x14ac:dyDescent="0.2">
      <c r="B524" s="11"/>
    </row>
    <row r="525" spans="2:2" ht="15.75" customHeight="1" x14ac:dyDescent="0.2">
      <c r="B525" s="11"/>
    </row>
    <row r="526" spans="2:2" ht="15.75" customHeight="1" x14ac:dyDescent="0.2">
      <c r="B526" s="11"/>
    </row>
    <row r="527" spans="2:2" ht="15.75" customHeight="1" x14ac:dyDescent="0.2">
      <c r="B527" s="11"/>
    </row>
    <row r="528" spans="2:2" ht="15.75" customHeight="1" x14ac:dyDescent="0.2">
      <c r="B528" s="11"/>
    </row>
    <row r="529" spans="2:2" ht="15.75" customHeight="1" x14ac:dyDescent="0.2">
      <c r="B529" s="11"/>
    </row>
    <row r="530" spans="2:2" ht="15.75" customHeight="1" x14ac:dyDescent="0.2">
      <c r="B530" s="11"/>
    </row>
    <row r="531" spans="2:2" ht="15.75" customHeight="1" x14ac:dyDescent="0.2">
      <c r="B531" s="11"/>
    </row>
    <row r="532" spans="2:2" ht="15.75" customHeight="1" x14ac:dyDescent="0.2">
      <c r="B532" s="11"/>
    </row>
    <row r="533" spans="2:2" ht="15.75" customHeight="1" x14ac:dyDescent="0.2">
      <c r="B533" s="11"/>
    </row>
    <row r="534" spans="2:2" ht="15.75" customHeight="1" x14ac:dyDescent="0.2">
      <c r="B534" s="11"/>
    </row>
    <row r="535" spans="2:2" ht="15.75" customHeight="1" x14ac:dyDescent="0.2">
      <c r="B535" s="11"/>
    </row>
    <row r="536" spans="2:2" ht="15.75" customHeight="1" x14ac:dyDescent="0.2">
      <c r="B536" s="11"/>
    </row>
    <row r="537" spans="2:2" ht="15.75" customHeight="1" x14ac:dyDescent="0.2">
      <c r="B537" s="11"/>
    </row>
    <row r="538" spans="2:2" ht="15.75" customHeight="1" x14ac:dyDescent="0.2">
      <c r="B538" s="11"/>
    </row>
    <row r="539" spans="2:2" ht="15.75" customHeight="1" x14ac:dyDescent="0.2">
      <c r="B539" s="11"/>
    </row>
    <row r="540" spans="2:2" ht="15.75" customHeight="1" x14ac:dyDescent="0.2">
      <c r="B540" s="11"/>
    </row>
    <row r="541" spans="2:2" ht="15.75" customHeight="1" x14ac:dyDescent="0.2">
      <c r="B541" s="11"/>
    </row>
    <row r="542" spans="2:2" ht="15.75" customHeight="1" x14ac:dyDescent="0.2">
      <c r="B542" s="11"/>
    </row>
    <row r="543" spans="2:2" ht="15.75" customHeight="1" x14ac:dyDescent="0.2">
      <c r="B543" s="11"/>
    </row>
    <row r="544" spans="2:2" ht="15.75" customHeight="1" x14ac:dyDescent="0.2">
      <c r="B544" s="11"/>
    </row>
    <row r="545" spans="2:2" ht="15.75" customHeight="1" x14ac:dyDescent="0.2">
      <c r="B545" s="11"/>
    </row>
    <row r="546" spans="2:2" ht="15.75" customHeight="1" x14ac:dyDescent="0.2">
      <c r="B546" s="11"/>
    </row>
    <row r="547" spans="2:2" ht="15.75" customHeight="1" x14ac:dyDescent="0.2">
      <c r="B547" s="11"/>
    </row>
    <row r="548" spans="2:2" ht="15.75" customHeight="1" x14ac:dyDescent="0.2">
      <c r="B548" s="11"/>
    </row>
    <row r="549" spans="2:2" ht="15.75" customHeight="1" x14ac:dyDescent="0.2">
      <c r="B549" s="11"/>
    </row>
    <row r="550" spans="2:2" ht="15.75" customHeight="1" x14ac:dyDescent="0.2">
      <c r="B550" s="11"/>
    </row>
    <row r="551" spans="2:2" ht="15.75" customHeight="1" x14ac:dyDescent="0.2">
      <c r="B551" s="11"/>
    </row>
    <row r="552" spans="2:2" ht="15.75" customHeight="1" x14ac:dyDescent="0.2">
      <c r="B552" s="11"/>
    </row>
    <row r="553" spans="2:2" ht="15.75" customHeight="1" x14ac:dyDescent="0.2">
      <c r="B553" s="11"/>
    </row>
    <row r="554" spans="2:2" ht="15.75" customHeight="1" x14ac:dyDescent="0.2">
      <c r="B554" s="11"/>
    </row>
    <row r="555" spans="2:2" ht="15.75" customHeight="1" x14ac:dyDescent="0.2">
      <c r="B555" s="11"/>
    </row>
    <row r="556" spans="2:2" ht="15.75" customHeight="1" x14ac:dyDescent="0.2">
      <c r="B556" s="11"/>
    </row>
    <row r="557" spans="2:2" ht="15.75" customHeight="1" x14ac:dyDescent="0.2">
      <c r="B557" s="11"/>
    </row>
    <row r="558" spans="2:2" ht="15.75" customHeight="1" x14ac:dyDescent="0.2">
      <c r="B558" s="11"/>
    </row>
    <row r="559" spans="2:2" ht="15.75" customHeight="1" x14ac:dyDescent="0.2">
      <c r="B559" s="11"/>
    </row>
    <row r="560" spans="2:2" ht="15.75" customHeight="1" x14ac:dyDescent="0.2">
      <c r="B560" s="11"/>
    </row>
    <row r="561" spans="2:2" ht="15.75" customHeight="1" x14ac:dyDescent="0.2">
      <c r="B561" s="11"/>
    </row>
    <row r="562" spans="2:2" ht="15.75" customHeight="1" x14ac:dyDescent="0.2">
      <c r="B562" s="11"/>
    </row>
    <row r="563" spans="2:2" ht="15.75" customHeight="1" x14ac:dyDescent="0.2">
      <c r="B563" s="11"/>
    </row>
    <row r="564" spans="2:2" ht="15.75" customHeight="1" x14ac:dyDescent="0.2">
      <c r="B564" s="11"/>
    </row>
    <row r="565" spans="2:2" ht="15.75" customHeight="1" x14ac:dyDescent="0.2">
      <c r="B565" s="11"/>
    </row>
    <row r="566" spans="2:2" ht="15.75" customHeight="1" x14ac:dyDescent="0.2">
      <c r="B566" s="11"/>
    </row>
    <row r="567" spans="2:2" ht="15.75" customHeight="1" x14ac:dyDescent="0.2">
      <c r="B567" s="11"/>
    </row>
    <row r="568" spans="2:2" ht="15.75" customHeight="1" x14ac:dyDescent="0.2">
      <c r="B568" s="11"/>
    </row>
    <row r="569" spans="2:2" ht="15.75" customHeight="1" x14ac:dyDescent="0.2">
      <c r="B569" s="11"/>
    </row>
    <row r="570" spans="2:2" ht="15.75" customHeight="1" x14ac:dyDescent="0.2">
      <c r="B570" s="11"/>
    </row>
    <row r="571" spans="2:2" ht="15.75" customHeight="1" x14ac:dyDescent="0.2">
      <c r="B571" s="11"/>
    </row>
    <row r="572" spans="2:2" ht="15.75" customHeight="1" x14ac:dyDescent="0.2">
      <c r="B572" s="11"/>
    </row>
    <row r="573" spans="2:2" ht="15.75" customHeight="1" x14ac:dyDescent="0.2">
      <c r="B573" s="11"/>
    </row>
    <row r="574" spans="2:2" ht="15.75" customHeight="1" x14ac:dyDescent="0.2">
      <c r="B574" s="11"/>
    </row>
    <row r="575" spans="2:2" ht="15.75" customHeight="1" x14ac:dyDescent="0.2">
      <c r="B575" s="11"/>
    </row>
    <row r="576" spans="2:2" ht="15.75" customHeight="1" x14ac:dyDescent="0.2">
      <c r="B576" s="11"/>
    </row>
    <row r="577" spans="2:2" ht="15.75" customHeight="1" x14ac:dyDescent="0.2">
      <c r="B577" s="11"/>
    </row>
    <row r="578" spans="2:2" ht="15.75" customHeight="1" x14ac:dyDescent="0.2">
      <c r="B578" s="11"/>
    </row>
    <row r="579" spans="2:2" ht="15.75" customHeight="1" x14ac:dyDescent="0.2">
      <c r="B579" s="11"/>
    </row>
    <row r="580" spans="2:2" ht="15.75" customHeight="1" x14ac:dyDescent="0.2">
      <c r="B580" s="11"/>
    </row>
    <row r="581" spans="2:2" ht="15.75" customHeight="1" x14ac:dyDescent="0.2">
      <c r="B581" s="11"/>
    </row>
    <row r="582" spans="2:2" ht="15.75" customHeight="1" x14ac:dyDescent="0.2">
      <c r="B582" s="11"/>
    </row>
    <row r="583" spans="2:2" ht="15.75" customHeight="1" x14ac:dyDescent="0.2">
      <c r="B583" s="11"/>
    </row>
    <row r="584" spans="2:2" ht="15.75" customHeight="1" x14ac:dyDescent="0.2">
      <c r="B584" s="11"/>
    </row>
    <row r="585" spans="2:2" ht="15.75" customHeight="1" x14ac:dyDescent="0.2">
      <c r="B585" s="11"/>
    </row>
    <row r="586" spans="2:2" ht="15.75" customHeight="1" x14ac:dyDescent="0.2">
      <c r="B586" s="11"/>
    </row>
    <row r="587" spans="2:2" ht="15.75" customHeight="1" x14ac:dyDescent="0.2">
      <c r="B587" s="11"/>
    </row>
    <row r="588" spans="2:2" ht="15.75" customHeight="1" x14ac:dyDescent="0.2">
      <c r="B588" s="11"/>
    </row>
    <row r="589" spans="2:2" ht="15.75" customHeight="1" x14ac:dyDescent="0.2">
      <c r="B589" s="11"/>
    </row>
    <row r="590" spans="2:2" ht="15.75" customHeight="1" x14ac:dyDescent="0.2">
      <c r="B590" s="11"/>
    </row>
    <row r="591" spans="2:2" ht="15.75" customHeight="1" x14ac:dyDescent="0.2">
      <c r="B591" s="11"/>
    </row>
    <row r="592" spans="2:2" ht="15.75" customHeight="1" x14ac:dyDescent="0.2">
      <c r="B592" s="11"/>
    </row>
    <row r="593" spans="2:2" ht="15.75" customHeight="1" x14ac:dyDescent="0.2">
      <c r="B593" s="11"/>
    </row>
    <row r="594" spans="2:2" ht="15.75" customHeight="1" x14ac:dyDescent="0.2">
      <c r="B594" s="11"/>
    </row>
    <row r="595" spans="2:2" ht="15.75" customHeight="1" x14ac:dyDescent="0.2">
      <c r="B595" s="11"/>
    </row>
    <row r="596" spans="2:2" ht="15.75" customHeight="1" x14ac:dyDescent="0.2">
      <c r="B596" s="11"/>
    </row>
    <row r="597" spans="2:2" ht="15.75" customHeight="1" x14ac:dyDescent="0.2">
      <c r="B597" s="11"/>
    </row>
    <row r="598" spans="2:2" ht="15.75" customHeight="1" x14ac:dyDescent="0.2">
      <c r="B598" s="11"/>
    </row>
    <row r="599" spans="2:2" ht="15.75" customHeight="1" x14ac:dyDescent="0.2">
      <c r="B599" s="11"/>
    </row>
    <row r="600" spans="2:2" ht="15.75" customHeight="1" x14ac:dyDescent="0.2">
      <c r="B600" s="11"/>
    </row>
    <row r="601" spans="2:2" ht="15.75" customHeight="1" x14ac:dyDescent="0.2">
      <c r="B601" s="11"/>
    </row>
    <row r="602" spans="2:2" ht="15.75" customHeight="1" x14ac:dyDescent="0.2">
      <c r="B602" s="11"/>
    </row>
    <row r="603" spans="2:2" ht="15.75" customHeight="1" x14ac:dyDescent="0.2">
      <c r="B603" s="11"/>
    </row>
    <row r="604" spans="2:2" ht="15.75" customHeight="1" x14ac:dyDescent="0.2">
      <c r="B604" s="11"/>
    </row>
    <row r="605" spans="2:2" ht="15.75" customHeight="1" x14ac:dyDescent="0.2">
      <c r="B605" s="11"/>
    </row>
    <row r="606" spans="2:2" ht="15.75" customHeight="1" x14ac:dyDescent="0.2">
      <c r="B606" s="11"/>
    </row>
    <row r="607" spans="2:2" ht="15.75" customHeight="1" x14ac:dyDescent="0.2">
      <c r="B607" s="11"/>
    </row>
    <row r="608" spans="2:2" ht="15.75" customHeight="1" x14ac:dyDescent="0.2">
      <c r="B608" s="11"/>
    </row>
    <row r="609" spans="2:2" ht="15.75" customHeight="1" x14ac:dyDescent="0.2">
      <c r="B609" s="11"/>
    </row>
    <row r="610" spans="2:2" ht="15.75" customHeight="1" x14ac:dyDescent="0.2">
      <c r="B610" s="11"/>
    </row>
    <row r="611" spans="2:2" ht="15.75" customHeight="1" x14ac:dyDescent="0.2">
      <c r="B611" s="11"/>
    </row>
    <row r="612" spans="2:2" ht="15.75" customHeight="1" x14ac:dyDescent="0.2">
      <c r="B612" s="11"/>
    </row>
    <row r="613" spans="2:2" ht="15.75" customHeight="1" x14ac:dyDescent="0.2">
      <c r="B613" s="11"/>
    </row>
    <row r="614" spans="2:2" ht="15.75" customHeight="1" x14ac:dyDescent="0.2">
      <c r="B614" s="11"/>
    </row>
    <row r="615" spans="2:2" ht="15.75" customHeight="1" x14ac:dyDescent="0.2">
      <c r="B615" s="11"/>
    </row>
    <row r="616" spans="2:2" ht="15.75" customHeight="1" x14ac:dyDescent="0.2">
      <c r="B616" s="11"/>
    </row>
    <row r="617" spans="2:2" ht="15.75" customHeight="1" x14ac:dyDescent="0.2">
      <c r="B617" s="11"/>
    </row>
    <row r="618" spans="2:2" ht="15.75" customHeight="1" x14ac:dyDescent="0.2">
      <c r="B618" s="11"/>
    </row>
    <row r="619" spans="2:2" ht="15.75" customHeight="1" x14ac:dyDescent="0.2">
      <c r="B619" s="11"/>
    </row>
    <row r="620" spans="2:2" ht="15.75" customHeight="1" x14ac:dyDescent="0.2">
      <c r="B620" s="11"/>
    </row>
    <row r="621" spans="2:2" ht="15.75" customHeight="1" x14ac:dyDescent="0.2">
      <c r="B621" s="11"/>
    </row>
    <row r="622" spans="2:2" ht="15.75" customHeight="1" x14ac:dyDescent="0.2">
      <c r="B622" s="11"/>
    </row>
    <row r="623" spans="2:2" ht="15.75" customHeight="1" x14ac:dyDescent="0.2">
      <c r="B623" s="11"/>
    </row>
    <row r="624" spans="2:2" ht="15.75" customHeight="1" x14ac:dyDescent="0.2">
      <c r="B624" s="11"/>
    </row>
    <row r="625" spans="2:2" ht="15.75" customHeight="1" x14ac:dyDescent="0.2">
      <c r="B625" s="11"/>
    </row>
    <row r="626" spans="2:2" ht="15.75" customHeight="1" x14ac:dyDescent="0.2">
      <c r="B626" s="11"/>
    </row>
    <row r="627" spans="2:2" ht="15.75" customHeight="1" x14ac:dyDescent="0.2">
      <c r="B627" s="11"/>
    </row>
    <row r="628" spans="2:2" ht="15.75" customHeight="1" x14ac:dyDescent="0.2">
      <c r="B628" s="11"/>
    </row>
    <row r="629" spans="2:2" ht="15.75" customHeight="1" x14ac:dyDescent="0.2">
      <c r="B629" s="11"/>
    </row>
    <row r="630" spans="2:2" ht="15.75" customHeight="1" x14ac:dyDescent="0.2">
      <c r="B630" s="11"/>
    </row>
    <row r="631" spans="2:2" ht="15.75" customHeight="1" x14ac:dyDescent="0.2">
      <c r="B631" s="11"/>
    </row>
    <row r="632" spans="2:2" ht="15.75" customHeight="1" x14ac:dyDescent="0.2">
      <c r="B632" s="11"/>
    </row>
    <row r="633" spans="2:2" ht="15.75" customHeight="1" x14ac:dyDescent="0.2">
      <c r="B633" s="11"/>
    </row>
    <row r="634" spans="2:2" ht="15.75" customHeight="1" x14ac:dyDescent="0.2">
      <c r="B634" s="11"/>
    </row>
    <row r="635" spans="2:2" ht="15.75" customHeight="1" x14ac:dyDescent="0.2">
      <c r="B635" s="11"/>
    </row>
    <row r="636" spans="2:2" ht="15.75" customHeight="1" x14ac:dyDescent="0.2">
      <c r="B636" s="11"/>
    </row>
    <row r="637" spans="2:2" ht="15.75" customHeight="1" x14ac:dyDescent="0.2">
      <c r="B637" s="11"/>
    </row>
    <row r="638" spans="2:2" ht="15.75" customHeight="1" x14ac:dyDescent="0.2">
      <c r="B638" s="11"/>
    </row>
    <row r="639" spans="2:2" ht="15.75" customHeight="1" x14ac:dyDescent="0.2">
      <c r="B639" s="11"/>
    </row>
    <row r="640" spans="2:2" ht="15.75" customHeight="1" x14ac:dyDescent="0.2">
      <c r="B640" s="11"/>
    </row>
    <row r="641" spans="2:2" ht="15.75" customHeight="1" x14ac:dyDescent="0.2">
      <c r="B641" s="11"/>
    </row>
    <row r="642" spans="2:2" ht="15.75" customHeight="1" x14ac:dyDescent="0.2">
      <c r="B642" s="11"/>
    </row>
    <row r="643" spans="2:2" ht="15.75" customHeight="1" x14ac:dyDescent="0.2">
      <c r="B643" s="11"/>
    </row>
    <row r="644" spans="2:2" ht="15.75" customHeight="1" x14ac:dyDescent="0.2">
      <c r="B644" s="11"/>
    </row>
    <row r="645" spans="2:2" ht="15.75" customHeight="1" x14ac:dyDescent="0.2">
      <c r="B645" s="11"/>
    </row>
    <row r="646" spans="2:2" ht="15.75" customHeight="1" x14ac:dyDescent="0.2">
      <c r="B646" s="11"/>
    </row>
    <row r="647" spans="2:2" ht="15.75" customHeight="1" x14ac:dyDescent="0.2">
      <c r="B647" s="11"/>
    </row>
    <row r="648" spans="2:2" ht="15.75" customHeight="1" x14ac:dyDescent="0.2">
      <c r="B648" s="11"/>
    </row>
    <row r="649" spans="2:2" ht="15.75" customHeight="1" x14ac:dyDescent="0.2">
      <c r="B649" s="11"/>
    </row>
    <row r="650" spans="2:2" ht="15.75" customHeight="1" x14ac:dyDescent="0.2">
      <c r="B650" s="11"/>
    </row>
    <row r="651" spans="2:2" ht="15.75" customHeight="1" x14ac:dyDescent="0.2">
      <c r="B651" s="11"/>
    </row>
    <row r="652" spans="2:2" ht="15.75" customHeight="1" x14ac:dyDescent="0.2">
      <c r="B652" s="11"/>
    </row>
    <row r="653" spans="2:2" ht="15.75" customHeight="1" x14ac:dyDescent="0.2">
      <c r="B653" s="11"/>
    </row>
    <row r="654" spans="2:2" ht="15.75" customHeight="1" x14ac:dyDescent="0.2">
      <c r="B654" s="11"/>
    </row>
    <row r="655" spans="2:2" ht="15.75" customHeight="1" x14ac:dyDescent="0.2">
      <c r="B655" s="11"/>
    </row>
    <row r="656" spans="2:2" ht="15.75" customHeight="1" x14ac:dyDescent="0.2">
      <c r="B656" s="11"/>
    </row>
    <row r="657" spans="2:2" ht="15.75" customHeight="1" x14ac:dyDescent="0.2">
      <c r="B657" s="11"/>
    </row>
    <row r="658" spans="2:2" ht="15.75" customHeight="1" x14ac:dyDescent="0.2">
      <c r="B658" s="11"/>
    </row>
    <row r="659" spans="2:2" ht="15.75" customHeight="1" x14ac:dyDescent="0.2">
      <c r="B659" s="11"/>
    </row>
    <row r="660" spans="2:2" ht="15.75" customHeight="1" x14ac:dyDescent="0.2">
      <c r="B660" s="11"/>
    </row>
    <row r="661" spans="2:2" ht="15.75" customHeight="1" x14ac:dyDescent="0.2">
      <c r="B661" s="11"/>
    </row>
    <row r="662" spans="2:2" ht="15.75" customHeight="1" x14ac:dyDescent="0.2">
      <c r="B662" s="11"/>
    </row>
    <row r="663" spans="2:2" ht="15.75" customHeight="1" x14ac:dyDescent="0.2">
      <c r="B663" s="11"/>
    </row>
    <row r="664" spans="2:2" ht="15.75" customHeight="1" x14ac:dyDescent="0.2">
      <c r="B664" s="11"/>
    </row>
    <row r="665" spans="2:2" ht="15.75" customHeight="1" x14ac:dyDescent="0.2">
      <c r="B665" s="11"/>
    </row>
    <row r="666" spans="2:2" ht="15.75" customHeight="1" x14ac:dyDescent="0.2">
      <c r="B666" s="11"/>
    </row>
    <row r="667" spans="2:2" ht="15.75" customHeight="1" x14ac:dyDescent="0.2">
      <c r="B667" s="11"/>
    </row>
    <row r="668" spans="2:2" ht="15.75" customHeight="1" x14ac:dyDescent="0.2">
      <c r="B668" s="11"/>
    </row>
    <row r="669" spans="2:2" ht="15.75" customHeight="1" x14ac:dyDescent="0.2">
      <c r="B669" s="11"/>
    </row>
    <row r="670" spans="2:2" ht="15.75" customHeight="1" x14ac:dyDescent="0.2">
      <c r="B670" s="11"/>
    </row>
    <row r="671" spans="2:2" ht="15.75" customHeight="1" x14ac:dyDescent="0.2">
      <c r="B671" s="11"/>
    </row>
    <row r="672" spans="2:2" ht="15.75" customHeight="1" x14ac:dyDescent="0.2">
      <c r="B672" s="11"/>
    </row>
    <row r="673" spans="2:2" ht="15.75" customHeight="1" x14ac:dyDescent="0.2">
      <c r="B673" s="11"/>
    </row>
    <row r="674" spans="2:2" ht="15.75" customHeight="1" x14ac:dyDescent="0.2">
      <c r="B674" s="11"/>
    </row>
    <row r="675" spans="2:2" ht="15.75" customHeight="1" x14ac:dyDescent="0.2">
      <c r="B675" s="11"/>
    </row>
    <row r="676" spans="2:2" ht="15.75" customHeight="1" x14ac:dyDescent="0.2">
      <c r="B676" s="11"/>
    </row>
    <row r="677" spans="2:2" ht="15.75" customHeight="1" x14ac:dyDescent="0.2">
      <c r="B677" s="11"/>
    </row>
    <row r="678" spans="2:2" ht="15.75" customHeight="1" x14ac:dyDescent="0.2">
      <c r="B678" s="11"/>
    </row>
    <row r="679" spans="2:2" ht="15.75" customHeight="1" x14ac:dyDescent="0.2">
      <c r="B679" s="11"/>
    </row>
    <row r="680" spans="2:2" ht="15.75" customHeight="1" x14ac:dyDescent="0.2">
      <c r="B680" s="11"/>
    </row>
    <row r="681" spans="2:2" ht="15.75" customHeight="1" x14ac:dyDescent="0.2">
      <c r="B681" s="11"/>
    </row>
    <row r="682" spans="2:2" ht="15.75" customHeight="1" x14ac:dyDescent="0.2">
      <c r="B682" s="11"/>
    </row>
    <row r="683" spans="2:2" ht="15.75" customHeight="1" x14ac:dyDescent="0.2">
      <c r="B683" s="11"/>
    </row>
    <row r="684" spans="2:2" ht="15.75" customHeight="1" x14ac:dyDescent="0.2">
      <c r="B684" s="11"/>
    </row>
    <row r="685" spans="2:2" ht="15.75" customHeight="1" x14ac:dyDescent="0.2">
      <c r="B685" s="11"/>
    </row>
    <row r="686" spans="2:2" ht="15.75" customHeight="1" x14ac:dyDescent="0.2">
      <c r="B686" s="11"/>
    </row>
    <row r="687" spans="2:2" ht="15.75" customHeight="1" x14ac:dyDescent="0.2">
      <c r="B687" s="11"/>
    </row>
    <row r="688" spans="2:2" ht="15.75" customHeight="1" x14ac:dyDescent="0.2">
      <c r="B688" s="11"/>
    </row>
    <row r="689" spans="2:2" ht="15.75" customHeight="1" x14ac:dyDescent="0.2">
      <c r="B689" s="11"/>
    </row>
    <row r="690" spans="2:2" ht="15.75" customHeight="1" x14ac:dyDescent="0.2">
      <c r="B690" s="11"/>
    </row>
    <row r="691" spans="2:2" ht="15.75" customHeight="1" x14ac:dyDescent="0.2">
      <c r="B691" s="11"/>
    </row>
    <row r="692" spans="2:2" ht="15.75" customHeight="1" x14ac:dyDescent="0.2">
      <c r="B692" s="11"/>
    </row>
    <row r="693" spans="2:2" ht="15.75" customHeight="1" x14ac:dyDescent="0.2">
      <c r="B693" s="11"/>
    </row>
    <row r="694" spans="2:2" ht="15.75" customHeight="1" x14ac:dyDescent="0.2">
      <c r="B694" s="11"/>
    </row>
    <row r="695" spans="2:2" ht="15.75" customHeight="1" x14ac:dyDescent="0.2">
      <c r="B695" s="11"/>
    </row>
    <row r="696" spans="2:2" ht="15.75" customHeight="1" x14ac:dyDescent="0.2">
      <c r="B696" s="11"/>
    </row>
    <row r="697" spans="2:2" ht="15.75" customHeight="1" x14ac:dyDescent="0.2">
      <c r="B697" s="11"/>
    </row>
    <row r="698" spans="2:2" ht="15.75" customHeight="1" x14ac:dyDescent="0.2">
      <c r="B698" s="11"/>
    </row>
    <row r="699" spans="2:2" ht="15.75" customHeight="1" x14ac:dyDescent="0.2">
      <c r="B699" s="11"/>
    </row>
    <row r="700" spans="2:2" ht="15.75" customHeight="1" x14ac:dyDescent="0.2">
      <c r="B700" s="11"/>
    </row>
    <row r="701" spans="2:2" ht="15.75" customHeight="1" x14ac:dyDescent="0.2">
      <c r="B701" s="11"/>
    </row>
    <row r="702" spans="2:2" ht="15.75" customHeight="1" x14ac:dyDescent="0.2">
      <c r="B702" s="11"/>
    </row>
    <row r="703" spans="2:2" ht="15.75" customHeight="1" x14ac:dyDescent="0.2">
      <c r="B703" s="11"/>
    </row>
    <row r="704" spans="2:2" ht="15.75" customHeight="1" x14ac:dyDescent="0.2">
      <c r="B704" s="11"/>
    </row>
    <row r="705" spans="2:2" ht="15.75" customHeight="1" x14ac:dyDescent="0.2">
      <c r="B705" s="11"/>
    </row>
    <row r="706" spans="2:2" ht="15.75" customHeight="1" x14ac:dyDescent="0.2">
      <c r="B706" s="11"/>
    </row>
    <row r="707" spans="2:2" ht="15.75" customHeight="1" x14ac:dyDescent="0.2">
      <c r="B707" s="11"/>
    </row>
    <row r="708" spans="2:2" ht="15.75" customHeight="1" x14ac:dyDescent="0.2">
      <c r="B708" s="11"/>
    </row>
    <row r="709" spans="2:2" ht="15.75" customHeight="1" x14ac:dyDescent="0.2">
      <c r="B709" s="11"/>
    </row>
    <row r="710" spans="2:2" ht="15.75" customHeight="1" x14ac:dyDescent="0.2">
      <c r="B710" s="11"/>
    </row>
    <row r="711" spans="2:2" ht="15.75" customHeight="1" x14ac:dyDescent="0.2">
      <c r="B711" s="11"/>
    </row>
    <row r="712" spans="2:2" ht="15.75" customHeight="1" x14ac:dyDescent="0.2">
      <c r="B712" s="11"/>
    </row>
    <row r="713" spans="2:2" ht="15.75" customHeight="1" x14ac:dyDescent="0.2">
      <c r="B713" s="11"/>
    </row>
    <row r="714" spans="2:2" ht="15.75" customHeight="1" x14ac:dyDescent="0.2">
      <c r="B714" s="11"/>
    </row>
    <row r="715" spans="2:2" ht="15.75" customHeight="1" x14ac:dyDescent="0.2">
      <c r="B715" s="11"/>
    </row>
    <row r="716" spans="2:2" ht="15.75" customHeight="1" x14ac:dyDescent="0.2">
      <c r="B716" s="11"/>
    </row>
    <row r="717" spans="2:2" ht="15.75" customHeight="1" x14ac:dyDescent="0.2">
      <c r="B717" s="11"/>
    </row>
    <row r="718" spans="2:2" ht="15.75" customHeight="1" x14ac:dyDescent="0.2">
      <c r="B718" s="11"/>
    </row>
    <row r="719" spans="2:2" ht="15.75" customHeight="1" x14ac:dyDescent="0.2">
      <c r="B719" s="11"/>
    </row>
    <row r="720" spans="2:2" ht="15.75" customHeight="1" x14ac:dyDescent="0.2">
      <c r="B720" s="11"/>
    </row>
    <row r="721" spans="2:2" ht="15.75" customHeight="1" x14ac:dyDescent="0.2">
      <c r="B721" s="11"/>
    </row>
    <row r="722" spans="2:2" ht="15.75" customHeight="1" x14ac:dyDescent="0.2">
      <c r="B722" s="11"/>
    </row>
    <row r="723" spans="2:2" ht="15.75" customHeight="1" x14ac:dyDescent="0.2">
      <c r="B723" s="11"/>
    </row>
    <row r="724" spans="2:2" ht="15.75" customHeight="1" x14ac:dyDescent="0.2">
      <c r="B724" s="11"/>
    </row>
    <row r="725" spans="2:2" ht="15.75" customHeight="1" x14ac:dyDescent="0.2">
      <c r="B725" s="11"/>
    </row>
    <row r="726" spans="2:2" ht="15.75" customHeight="1" x14ac:dyDescent="0.2">
      <c r="B726" s="11"/>
    </row>
    <row r="727" spans="2:2" ht="15.75" customHeight="1" x14ac:dyDescent="0.2">
      <c r="B727" s="11"/>
    </row>
    <row r="728" spans="2:2" ht="15.75" customHeight="1" x14ac:dyDescent="0.2">
      <c r="B728" s="11"/>
    </row>
    <row r="729" spans="2:2" ht="15.75" customHeight="1" x14ac:dyDescent="0.2">
      <c r="B729" s="11"/>
    </row>
    <row r="730" spans="2:2" ht="15.75" customHeight="1" x14ac:dyDescent="0.2">
      <c r="B730" s="11"/>
    </row>
    <row r="731" spans="2:2" ht="15.75" customHeight="1" x14ac:dyDescent="0.2">
      <c r="B731" s="11"/>
    </row>
    <row r="732" spans="2:2" ht="15.75" customHeight="1" x14ac:dyDescent="0.2">
      <c r="B732" s="11"/>
    </row>
    <row r="733" spans="2:2" ht="15.75" customHeight="1" x14ac:dyDescent="0.2">
      <c r="B733" s="11"/>
    </row>
    <row r="734" spans="2:2" ht="15.75" customHeight="1" x14ac:dyDescent="0.2">
      <c r="B734" s="11"/>
    </row>
    <row r="735" spans="2:2" ht="15.75" customHeight="1" x14ac:dyDescent="0.2">
      <c r="B735" s="11"/>
    </row>
    <row r="736" spans="2:2" ht="15.75" customHeight="1" x14ac:dyDescent="0.2">
      <c r="B736" s="11"/>
    </row>
    <row r="737" spans="2:2" ht="15.75" customHeight="1" x14ac:dyDescent="0.2">
      <c r="B737" s="11"/>
    </row>
    <row r="738" spans="2:2" ht="15.75" customHeight="1" x14ac:dyDescent="0.2">
      <c r="B738" s="11"/>
    </row>
    <row r="739" spans="2:2" ht="15.75" customHeight="1" x14ac:dyDescent="0.2">
      <c r="B739" s="11"/>
    </row>
    <row r="740" spans="2:2" ht="15.75" customHeight="1" x14ac:dyDescent="0.2">
      <c r="B740" s="11"/>
    </row>
    <row r="741" spans="2:2" ht="15.75" customHeight="1" x14ac:dyDescent="0.2">
      <c r="B741" s="11"/>
    </row>
    <row r="742" spans="2:2" ht="15.75" customHeight="1" x14ac:dyDescent="0.2">
      <c r="B742" s="11"/>
    </row>
    <row r="743" spans="2:2" ht="15.75" customHeight="1" x14ac:dyDescent="0.2">
      <c r="B743" s="11"/>
    </row>
    <row r="744" spans="2:2" ht="15.75" customHeight="1" x14ac:dyDescent="0.2">
      <c r="B744" s="11"/>
    </row>
    <row r="745" spans="2:2" ht="15.75" customHeight="1" x14ac:dyDescent="0.2">
      <c r="B745" s="11"/>
    </row>
    <row r="746" spans="2:2" ht="15.75" customHeight="1" x14ac:dyDescent="0.2">
      <c r="B746" s="11"/>
    </row>
    <row r="747" spans="2:2" ht="15.75" customHeight="1" x14ac:dyDescent="0.2">
      <c r="B747" s="11"/>
    </row>
    <row r="748" spans="2:2" ht="15.75" customHeight="1" x14ac:dyDescent="0.2">
      <c r="B748" s="11"/>
    </row>
    <row r="749" spans="2:2" ht="15.75" customHeight="1" x14ac:dyDescent="0.2">
      <c r="B749" s="11"/>
    </row>
    <row r="750" spans="2:2" ht="15.75" customHeight="1" x14ac:dyDescent="0.2">
      <c r="B750" s="11"/>
    </row>
    <row r="751" spans="2:2" ht="15.75" customHeight="1" x14ac:dyDescent="0.2">
      <c r="B751" s="11"/>
    </row>
    <row r="752" spans="2:2" ht="15.75" customHeight="1" x14ac:dyDescent="0.2">
      <c r="B752" s="11"/>
    </row>
    <row r="753" spans="2:2" ht="15.75" customHeight="1" x14ac:dyDescent="0.2">
      <c r="B753" s="11"/>
    </row>
    <row r="754" spans="2:2" ht="15.75" customHeight="1" x14ac:dyDescent="0.2">
      <c r="B754" s="11"/>
    </row>
    <row r="755" spans="2:2" ht="15.75" customHeight="1" x14ac:dyDescent="0.2">
      <c r="B755" s="11"/>
    </row>
    <row r="756" spans="2:2" ht="15.75" customHeight="1" x14ac:dyDescent="0.2">
      <c r="B756" s="11"/>
    </row>
    <row r="757" spans="2:2" ht="15.75" customHeight="1" x14ac:dyDescent="0.2">
      <c r="B757" s="11"/>
    </row>
    <row r="758" spans="2:2" ht="15.75" customHeight="1" x14ac:dyDescent="0.2">
      <c r="B758" s="11"/>
    </row>
    <row r="759" spans="2:2" ht="15.75" customHeight="1" x14ac:dyDescent="0.2">
      <c r="B759" s="11"/>
    </row>
    <row r="760" spans="2:2" ht="15.75" customHeight="1" x14ac:dyDescent="0.2">
      <c r="B760" s="11"/>
    </row>
    <row r="761" spans="2:2" ht="15.75" customHeight="1" x14ac:dyDescent="0.2">
      <c r="B761" s="11"/>
    </row>
    <row r="762" spans="2:2" ht="15.75" customHeight="1" x14ac:dyDescent="0.2">
      <c r="B762" s="11"/>
    </row>
    <row r="763" spans="2:2" ht="15.75" customHeight="1" x14ac:dyDescent="0.2">
      <c r="B763" s="11"/>
    </row>
    <row r="764" spans="2:2" ht="15.75" customHeight="1" x14ac:dyDescent="0.2">
      <c r="B764" s="11"/>
    </row>
    <row r="765" spans="2:2" ht="15.75" customHeight="1" x14ac:dyDescent="0.2">
      <c r="B765" s="11"/>
    </row>
    <row r="766" spans="2:2" ht="15.75" customHeight="1" x14ac:dyDescent="0.2">
      <c r="B766" s="11"/>
    </row>
    <row r="767" spans="2:2" ht="15.75" customHeight="1" x14ac:dyDescent="0.2">
      <c r="B767" s="11"/>
    </row>
    <row r="768" spans="2:2" ht="15.75" customHeight="1" x14ac:dyDescent="0.2">
      <c r="B768" s="11"/>
    </row>
    <row r="769" spans="2:2" ht="15.75" customHeight="1" x14ac:dyDescent="0.2">
      <c r="B769" s="11"/>
    </row>
    <row r="770" spans="2:2" ht="15.75" customHeight="1" x14ac:dyDescent="0.2">
      <c r="B770" s="11"/>
    </row>
    <row r="771" spans="2:2" ht="15.75" customHeight="1" x14ac:dyDescent="0.2">
      <c r="B771" s="11"/>
    </row>
    <row r="772" spans="2:2" ht="15.75" customHeight="1" x14ac:dyDescent="0.2">
      <c r="B772" s="11"/>
    </row>
    <row r="773" spans="2:2" ht="15.75" customHeight="1" x14ac:dyDescent="0.2">
      <c r="B773" s="11"/>
    </row>
    <row r="774" spans="2:2" ht="15.75" customHeight="1" x14ac:dyDescent="0.2">
      <c r="B774" s="11"/>
    </row>
    <row r="775" spans="2:2" ht="15.75" customHeight="1" x14ac:dyDescent="0.2">
      <c r="B775" s="11"/>
    </row>
    <row r="776" spans="2:2" ht="15.75" customHeight="1" x14ac:dyDescent="0.2">
      <c r="B776" s="11"/>
    </row>
    <row r="777" spans="2:2" ht="15.75" customHeight="1" x14ac:dyDescent="0.2">
      <c r="B777" s="11"/>
    </row>
    <row r="778" spans="2:2" ht="15.75" customHeight="1" x14ac:dyDescent="0.2">
      <c r="B778" s="11"/>
    </row>
    <row r="779" spans="2:2" ht="15.75" customHeight="1" x14ac:dyDescent="0.2">
      <c r="B779" s="11"/>
    </row>
    <row r="780" spans="2:2" ht="15.75" customHeight="1" x14ac:dyDescent="0.2">
      <c r="B780" s="11"/>
    </row>
    <row r="781" spans="2:2" ht="15.75" customHeight="1" x14ac:dyDescent="0.2">
      <c r="B781" s="11"/>
    </row>
    <row r="782" spans="2:2" ht="15.75" customHeight="1" x14ac:dyDescent="0.2">
      <c r="B782" s="11"/>
    </row>
    <row r="783" spans="2:2" ht="15.75" customHeight="1" x14ac:dyDescent="0.2">
      <c r="B783" s="11"/>
    </row>
    <row r="784" spans="2:2" ht="15.75" customHeight="1" x14ac:dyDescent="0.2">
      <c r="B784" s="11"/>
    </row>
    <row r="785" spans="2:2" ht="15.75" customHeight="1" x14ac:dyDescent="0.2">
      <c r="B785" s="11"/>
    </row>
    <row r="786" spans="2:2" ht="15.75" customHeight="1" x14ac:dyDescent="0.2">
      <c r="B786" s="11"/>
    </row>
    <row r="787" spans="2:2" ht="15.75" customHeight="1" x14ac:dyDescent="0.2">
      <c r="B787" s="11"/>
    </row>
    <row r="788" spans="2:2" ht="15.75" customHeight="1" x14ac:dyDescent="0.2">
      <c r="B788" s="11"/>
    </row>
    <row r="789" spans="2:2" ht="15.75" customHeight="1" x14ac:dyDescent="0.2">
      <c r="B789" s="11"/>
    </row>
    <row r="790" spans="2:2" ht="15.75" customHeight="1" x14ac:dyDescent="0.2">
      <c r="B790" s="11"/>
    </row>
    <row r="791" spans="2:2" ht="15.75" customHeight="1" x14ac:dyDescent="0.2">
      <c r="B791" s="11"/>
    </row>
    <row r="792" spans="2:2" ht="15.75" customHeight="1" x14ac:dyDescent="0.2">
      <c r="B792" s="11"/>
    </row>
    <row r="793" spans="2:2" ht="15.75" customHeight="1" x14ac:dyDescent="0.2">
      <c r="B793" s="11"/>
    </row>
    <row r="794" spans="2:2" ht="15.75" customHeight="1" x14ac:dyDescent="0.2">
      <c r="B794" s="11"/>
    </row>
    <row r="795" spans="2:2" ht="15.75" customHeight="1" x14ac:dyDescent="0.2">
      <c r="B795" s="11"/>
    </row>
    <row r="796" spans="2:2" ht="15.75" customHeight="1" x14ac:dyDescent="0.2">
      <c r="B796" s="11"/>
    </row>
    <row r="797" spans="2:2" ht="15.75" customHeight="1" x14ac:dyDescent="0.2">
      <c r="B797" s="11"/>
    </row>
    <row r="798" spans="2:2" ht="15.75" customHeight="1" x14ac:dyDescent="0.2">
      <c r="B798" s="11"/>
    </row>
    <row r="799" spans="2:2" ht="15.75" customHeight="1" x14ac:dyDescent="0.2">
      <c r="B799" s="11"/>
    </row>
    <row r="800" spans="2:2" ht="15.75" customHeight="1" x14ac:dyDescent="0.2">
      <c r="B800" s="11"/>
    </row>
    <row r="801" spans="2:2" ht="15.75" customHeight="1" x14ac:dyDescent="0.2">
      <c r="B801" s="11"/>
    </row>
    <row r="802" spans="2:2" ht="15.75" customHeight="1" x14ac:dyDescent="0.2">
      <c r="B802" s="11"/>
    </row>
    <row r="803" spans="2:2" ht="15.75" customHeight="1" x14ac:dyDescent="0.2">
      <c r="B803" s="11"/>
    </row>
    <row r="804" spans="2:2" ht="15.75" customHeight="1" x14ac:dyDescent="0.2">
      <c r="B804" s="11"/>
    </row>
    <row r="805" spans="2:2" ht="15.75" customHeight="1" x14ac:dyDescent="0.2">
      <c r="B805" s="11"/>
    </row>
    <row r="806" spans="2:2" ht="15.75" customHeight="1" x14ac:dyDescent="0.2">
      <c r="B806" s="11"/>
    </row>
    <row r="807" spans="2:2" ht="15.75" customHeight="1" x14ac:dyDescent="0.2">
      <c r="B807" s="11"/>
    </row>
    <row r="808" spans="2:2" ht="15.75" customHeight="1" x14ac:dyDescent="0.2">
      <c r="B808" s="11"/>
    </row>
    <row r="809" spans="2:2" ht="15.75" customHeight="1" x14ac:dyDescent="0.2">
      <c r="B809" s="11"/>
    </row>
    <row r="810" spans="2:2" ht="15.75" customHeight="1" x14ac:dyDescent="0.2">
      <c r="B810" s="11"/>
    </row>
    <row r="811" spans="2:2" ht="15.75" customHeight="1" x14ac:dyDescent="0.2">
      <c r="B811" s="11"/>
    </row>
    <row r="812" spans="2:2" ht="15.75" customHeight="1" x14ac:dyDescent="0.2">
      <c r="B812" s="11"/>
    </row>
    <row r="813" spans="2:2" ht="15.75" customHeight="1" x14ac:dyDescent="0.2">
      <c r="B813" s="11"/>
    </row>
    <row r="814" spans="2:2" ht="15.75" customHeight="1" x14ac:dyDescent="0.2">
      <c r="B814" s="11"/>
    </row>
    <row r="815" spans="2:2" ht="15.75" customHeight="1" x14ac:dyDescent="0.2">
      <c r="B815" s="11"/>
    </row>
    <row r="816" spans="2:2" ht="15.75" customHeight="1" x14ac:dyDescent="0.2">
      <c r="B816" s="11"/>
    </row>
    <row r="817" spans="2:2" ht="15.75" customHeight="1" x14ac:dyDescent="0.2">
      <c r="B817" s="11"/>
    </row>
    <row r="818" spans="2:2" ht="15.75" customHeight="1" x14ac:dyDescent="0.2">
      <c r="B818" s="11"/>
    </row>
    <row r="819" spans="2:2" ht="15.75" customHeight="1" x14ac:dyDescent="0.2">
      <c r="B819" s="11"/>
    </row>
    <row r="820" spans="2:2" ht="15.75" customHeight="1" x14ac:dyDescent="0.2">
      <c r="B820" s="11"/>
    </row>
    <row r="821" spans="2:2" ht="15.75" customHeight="1" x14ac:dyDescent="0.2">
      <c r="B821" s="11"/>
    </row>
    <row r="822" spans="2:2" ht="15.75" customHeight="1" x14ac:dyDescent="0.2">
      <c r="B822" s="11"/>
    </row>
    <row r="823" spans="2:2" ht="15.75" customHeight="1" x14ac:dyDescent="0.2">
      <c r="B823" s="11"/>
    </row>
    <row r="824" spans="2:2" ht="15.75" customHeight="1" x14ac:dyDescent="0.2">
      <c r="B824" s="11"/>
    </row>
    <row r="825" spans="2:2" ht="15.75" customHeight="1" x14ac:dyDescent="0.2">
      <c r="B825" s="11"/>
    </row>
    <row r="826" spans="2:2" ht="15.75" customHeight="1" x14ac:dyDescent="0.2">
      <c r="B826" s="11"/>
    </row>
    <row r="827" spans="2:2" ht="15.75" customHeight="1" x14ac:dyDescent="0.2">
      <c r="B827" s="11"/>
    </row>
    <row r="828" spans="2:2" ht="15.75" customHeight="1" x14ac:dyDescent="0.2">
      <c r="B828" s="11"/>
    </row>
    <row r="829" spans="2:2" ht="15.75" customHeight="1" x14ac:dyDescent="0.2">
      <c r="B829" s="11"/>
    </row>
    <row r="830" spans="2:2" ht="15.75" customHeight="1" x14ac:dyDescent="0.2">
      <c r="B830" s="11"/>
    </row>
    <row r="831" spans="2:2" ht="15.75" customHeight="1" x14ac:dyDescent="0.2">
      <c r="B831" s="11"/>
    </row>
    <row r="832" spans="2:2" ht="15.75" customHeight="1" x14ac:dyDescent="0.2">
      <c r="B832" s="11"/>
    </row>
    <row r="833" spans="2:2" ht="15.75" customHeight="1" x14ac:dyDescent="0.2">
      <c r="B833" s="11"/>
    </row>
    <row r="834" spans="2:2" ht="15.75" customHeight="1" x14ac:dyDescent="0.2">
      <c r="B834" s="11"/>
    </row>
    <row r="835" spans="2:2" ht="15.75" customHeight="1" x14ac:dyDescent="0.2">
      <c r="B835" s="11"/>
    </row>
    <row r="836" spans="2:2" ht="15.75" customHeight="1" x14ac:dyDescent="0.2">
      <c r="B836" s="11"/>
    </row>
    <row r="837" spans="2:2" ht="15.75" customHeight="1" x14ac:dyDescent="0.2">
      <c r="B837" s="11"/>
    </row>
    <row r="838" spans="2:2" ht="15.75" customHeight="1" x14ac:dyDescent="0.2">
      <c r="B838" s="11"/>
    </row>
    <row r="839" spans="2:2" ht="15.75" customHeight="1" x14ac:dyDescent="0.2">
      <c r="B839" s="11"/>
    </row>
    <row r="840" spans="2:2" ht="15.75" customHeight="1" x14ac:dyDescent="0.2">
      <c r="B840" s="11"/>
    </row>
    <row r="841" spans="2:2" ht="15.75" customHeight="1" x14ac:dyDescent="0.2">
      <c r="B841" s="11"/>
    </row>
    <row r="842" spans="2:2" ht="15.75" customHeight="1" x14ac:dyDescent="0.2">
      <c r="B842" s="11"/>
    </row>
    <row r="843" spans="2:2" ht="15.75" customHeight="1" x14ac:dyDescent="0.2">
      <c r="B843" s="11"/>
    </row>
    <row r="844" spans="2:2" ht="15.75" customHeight="1" x14ac:dyDescent="0.2">
      <c r="B844" s="11"/>
    </row>
    <row r="845" spans="2:2" ht="15.75" customHeight="1" x14ac:dyDescent="0.2">
      <c r="B845" s="11"/>
    </row>
    <row r="846" spans="2:2" ht="15.75" customHeight="1" x14ac:dyDescent="0.2">
      <c r="B846" s="11"/>
    </row>
    <row r="847" spans="2:2" ht="15.75" customHeight="1" x14ac:dyDescent="0.2">
      <c r="B847" s="11"/>
    </row>
    <row r="848" spans="2:2" ht="15.75" customHeight="1" x14ac:dyDescent="0.2">
      <c r="B848" s="11"/>
    </row>
    <row r="849" spans="2:2" ht="15.75" customHeight="1" x14ac:dyDescent="0.2">
      <c r="B849" s="11"/>
    </row>
    <row r="850" spans="2:2" ht="15.75" customHeight="1" x14ac:dyDescent="0.2">
      <c r="B850" s="11"/>
    </row>
    <row r="851" spans="2:2" ht="15.75" customHeight="1" x14ac:dyDescent="0.2">
      <c r="B851" s="11"/>
    </row>
    <row r="852" spans="2:2" ht="15.75" customHeight="1" x14ac:dyDescent="0.2">
      <c r="B852" s="11"/>
    </row>
    <row r="853" spans="2:2" ht="15.75" customHeight="1" x14ac:dyDescent="0.2">
      <c r="B853" s="11"/>
    </row>
    <row r="854" spans="2:2" ht="15.75" customHeight="1" x14ac:dyDescent="0.2">
      <c r="B854" s="11"/>
    </row>
    <row r="855" spans="2:2" ht="15.75" customHeight="1" x14ac:dyDescent="0.2">
      <c r="B855" s="11"/>
    </row>
    <row r="856" spans="2:2" ht="15.75" customHeight="1" x14ac:dyDescent="0.2">
      <c r="B856" s="11"/>
    </row>
    <row r="857" spans="2:2" ht="15.75" customHeight="1" x14ac:dyDescent="0.2">
      <c r="B857" s="11"/>
    </row>
    <row r="858" spans="2:2" ht="15.75" customHeight="1" x14ac:dyDescent="0.2">
      <c r="B858" s="11"/>
    </row>
    <row r="859" spans="2:2" ht="15.75" customHeight="1" x14ac:dyDescent="0.2">
      <c r="B859" s="11"/>
    </row>
    <row r="860" spans="2:2" ht="15.75" customHeight="1" x14ac:dyDescent="0.2">
      <c r="B860" s="11"/>
    </row>
    <row r="861" spans="2:2" ht="15.75" customHeight="1" x14ac:dyDescent="0.2">
      <c r="B861" s="11"/>
    </row>
    <row r="862" spans="2:2" ht="15.75" customHeight="1" x14ac:dyDescent="0.2">
      <c r="B862" s="11"/>
    </row>
    <row r="863" spans="2:2" ht="15.75" customHeight="1" x14ac:dyDescent="0.2">
      <c r="B863" s="11"/>
    </row>
    <row r="864" spans="2:2" ht="15.75" customHeight="1" x14ac:dyDescent="0.2">
      <c r="B864" s="11"/>
    </row>
    <row r="865" spans="2:2" ht="15.75" customHeight="1" x14ac:dyDescent="0.2">
      <c r="B865" s="11"/>
    </row>
    <row r="866" spans="2:2" ht="15.75" customHeight="1" x14ac:dyDescent="0.2">
      <c r="B866" s="11"/>
    </row>
    <row r="867" spans="2:2" ht="15.75" customHeight="1" x14ac:dyDescent="0.2">
      <c r="B867" s="11"/>
    </row>
    <row r="868" spans="2:2" ht="15.75" customHeight="1" x14ac:dyDescent="0.2">
      <c r="B868" s="11"/>
    </row>
    <row r="869" spans="2:2" ht="15.75" customHeight="1" x14ac:dyDescent="0.2">
      <c r="B869" s="11"/>
    </row>
    <row r="870" spans="2:2" ht="15.75" customHeight="1" x14ac:dyDescent="0.2">
      <c r="B870" s="11"/>
    </row>
    <row r="871" spans="2:2" ht="15.75" customHeight="1" x14ac:dyDescent="0.2">
      <c r="B871" s="11"/>
    </row>
    <row r="872" spans="2:2" ht="15.75" customHeight="1" x14ac:dyDescent="0.2">
      <c r="B872" s="11"/>
    </row>
    <row r="873" spans="2:2" ht="15.75" customHeight="1" x14ac:dyDescent="0.2">
      <c r="B873" s="11"/>
    </row>
    <row r="874" spans="2:2" ht="15.75" customHeight="1" x14ac:dyDescent="0.2">
      <c r="B874" s="11"/>
    </row>
    <row r="875" spans="2:2" ht="15.75" customHeight="1" x14ac:dyDescent="0.2">
      <c r="B875" s="11"/>
    </row>
    <row r="876" spans="2:2" ht="15.75" customHeight="1" x14ac:dyDescent="0.2">
      <c r="B876" s="11"/>
    </row>
    <row r="877" spans="2:2" ht="15.75" customHeight="1" x14ac:dyDescent="0.2">
      <c r="B877" s="11"/>
    </row>
    <row r="878" spans="2:2" ht="15.75" customHeight="1" x14ac:dyDescent="0.2">
      <c r="B878" s="11"/>
    </row>
    <row r="879" spans="2:2" ht="15.75" customHeight="1" x14ac:dyDescent="0.2">
      <c r="B879" s="11"/>
    </row>
    <row r="880" spans="2:2" ht="15.75" customHeight="1" x14ac:dyDescent="0.2">
      <c r="B880" s="11"/>
    </row>
    <row r="881" spans="2:2" ht="15.75" customHeight="1" x14ac:dyDescent="0.2">
      <c r="B881" s="11"/>
    </row>
    <row r="882" spans="2:2" ht="15.75" customHeight="1" x14ac:dyDescent="0.2">
      <c r="B882" s="11"/>
    </row>
    <row r="883" spans="2:2" ht="15.75" customHeight="1" x14ac:dyDescent="0.2">
      <c r="B883" s="11"/>
    </row>
    <row r="884" spans="2:2" ht="15.75" customHeight="1" x14ac:dyDescent="0.2">
      <c r="B884" s="11"/>
    </row>
    <row r="885" spans="2:2" ht="15.75" customHeight="1" x14ac:dyDescent="0.2">
      <c r="B885" s="11"/>
    </row>
    <row r="886" spans="2:2" ht="15.75" customHeight="1" x14ac:dyDescent="0.2">
      <c r="B886" s="11"/>
    </row>
    <row r="887" spans="2:2" ht="15.75" customHeight="1" x14ac:dyDescent="0.2">
      <c r="B887" s="11"/>
    </row>
    <row r="888" spans="2:2" ht="15.75" customHeight="1" x14ac:dyDescent="0.2">
      <c r="B888" s="11"/>
    </row>
    <row r="889" spans="2:2" ht="15.75" customHeight="1" x14ac:dyDescent="0.2">
      <c r="B889" s="11"/>
    </row>
    <row r="890" spans="2:2" ht="15.75" customHeight="1" x14ac:dyDescent="0.2">
      <c r="B890" s="11"/>
    </row>
    <row r="891" spans="2:2" ht="15.75" customHeight="1" x14ac:dyDescent="0.2">
      <c r="B891" s="11"/>
    </row>
    <row r="892" spans="2:2" ht="15.75" customHeight="1" x14ac:dyDescent="0.2">
      <c r="B892" s="11"/>
    </row>
    <row r="893" spans="2:2" ht="15.75" customHeight="1" x14ac:dyDescent="0.2">
      <c r="B893" s="11"/>
    </row>
    <row r="894" spans="2:2" ht="15.75" customHeight="1" x14ac:dyDescent="0.2">
      <c r="B894" s="11"/>
    </row>
    <row r="895" spans="2:2" ht="15.75" customHeight="1" x14ac:dyDescent="0.2">
      <c r="B895" s="11"/>
    </row>
    <row r="896" spans="2:2" ht="15.75" customHeight="1" x14ac:dyDescent="0.2">
      <c r="B896" s="11"/>
    </row>
    <row r="897" spans="2:2" ht="15.75" customHeight="1" x14ac:dyDescent="0.2">
      <c r="B897" s="11"/>
    </row>
    <row r="898" spans="2:2" ht="15.75" customHeight="1" x14ac:dyDescent="0.2">
      <c r="B898" s="11"/>
    </row>
    <row r="899" spans="2:2" ht="15.75" customHeight="1" x14ac:dyDescent="0.2">
      <c r="B899" s="11"/>
    </row>
    <row r="900" spans="2:2" ht="15.75" customHeight="1" x14ac:dyDescent="0.2">
      <c r="B900" s="11"/>
    </row>
    <row r="901" spans="2:2" ht="15.75" customHeight="1" x14ac:dyDescent="0.2">
      <c r="B901" s="11"/>
    </row>
    <row r="902" spans="2:2" ht="15.75" customHeight="1" x14ac:dyDescent="0.2">
      <c r="B902" s="11"/>
    </row>
    <row r="903" spans="2:2" ht="15.75" customHeight="1" x14ac:dyDescent="0.2">
      <c r="B903" s="11"/>
    </row>
    <row r="904" spans="2:2" ht="15.75" customHeight="1" x14ac:dyDescent="0.2">
      <c r="B904" s="11"/>
    </row>
    <row r="905" spans="2:2" ht="15.75" customHeight="1" x14ac:dyDescent="0.2">
      <c r="B905" s="11"/>
    </row>
    <row r="906" spans="2:2" ht="15.75" customHeight="1" x14ac:dyDescent="0.2">
      <c r="B906" s="11"/>
    </row>
    <row r="907" spans="2:2" ht="15.75" customHeight="1" x14ac:dyDescent="0.2">
      <c r="B907" s="11"/>
    </row>
    <row r="908" spans="2:2" ht="15.75" customHeight="1" x14ac:dyDescent="0.2">
      <c r="B908" s="11"/>
    </row>
    <row r="909" spans="2:2" ht="15.75" customHeight="1" x14ac:dyDescent="0.2">
      <c r="B909" s="11"/>
    </row>
    <row r="910" spans="2:2" ht="15.75" customHeight="1" x14ac:dyDescent="0.2">
      <c r="B910" s="11"/>
    </row>
    <row r="911" spans="2:2" ht="15.75" customHeight="1" x14ac:dyDescent="0.2">
      <c r="B911" s="11"/>
    </row>
    <row r="912" spans="2:2" ht="15.75" customHeight="1" x14ac:dyDescent="0.2">
      <c r="B912" s="11"/>
    </row>
    <row r="913" spans="2:2" ht="15.75" customHeight="1" x14ac:dyDescent="0.2">
      <c r="B913" s="11"/>
    </row>
    <row r="914" spans="2:2" ht="15.75" customHeight="1" x14ac:dyDescent="0.2">
      <c r="B914" s="11"/>
    </row>
    <row r="915" spans="2:2" ht="15.75" customHeight="1" x14ac:dyDescent="0.2">
      <c r="B915" s="11"/>
    </row>
    <row r="916" spans="2:2" ht="15.75" customHeight="1" x14ac:dyDescent="0.2">
      <c r="B916" s="11"/>
    </row>
    <row r="917" spans="2:2" ht="15.75" customHeight="1" x14ac:dyDescent="0.2">
      <c r="B917" s="11"/>
    </row>
    <row r="918" spans="2:2" ht="15.75" customHeight="1" x14ac:dyDescent="0.2">
      <c r="B918" s="11"/>
    </row>
    <row r="919" spans="2:2" ht="15.75" customHeight="1" x14ac:dyDescent="0.2">
      <c r="B919" s="11"/>
    </row>
    <row r="920" spans="2:2" ht="15.75" customHeight="1" x14ac:dyDescent="0.2">
      <c r="B920" s="11"/>
    </row>
    <row r="921" spans="2:2" ht="15.75" customHeight="1" x14ac:dyDescent="0.2">
      <c r="B921" s="11"/>
    </row>
    <row r="922" spans="2:2" ht="15.75" customHeight="1" x14ac:dyDescent="0.2">
      <c r="B922" s="11"/>
    </row>
    <row r="923" spans="2:2" ht="15.75" customHeight="1" x14ac:dyDescent="0.2">
      <c r="B923" s="11"/>
    </row>
    <row r="924" spans="2:2" ht="15.75" customHeight="1" x14ac:dyDescent="0.2">
      <c r="B924" s="11"/>
    </row>
    <row r="925" spans="2:2" ht="15.75" customHeight="1" x14ac:dyDescent="0.2">
      <c r="B925" s="11"/>
    </row>
    <row r="926" spans="2:2" ht="15.75" customHeight="1" x14ac:dyDescent="0.2">
      <c r="B926" s="11"/>
    </row>
    <row r="927" spans="2:2" ht="15.75" customHeight="1" x14ac:dyDescent="0.2">
      <c r="B927" s="11"/>
    </row>
    <row r="928" spans="2:2" ht="15.75" customHeight="1" x14ac:dyDescent="0.2">
      <c r="B928" s="11"/>
    </row>
    <row r="929" spans="2:2" ht="15.75" customHeight="1" x14ac:dyDescent="0.2">
      <c r="B929" s="11"/>
    </row>
    <row r="930" spans="2:2" ht="15.75" customHeight="1" x14ac:dyDescent="0.2">
      <c r="B930" s="11"/>
    </row>
    <row r="931" spans="2:2" ht="15.75" customHeight="1" x14ac:dyDescent="0.2">
      <c r="B931" s="11"/>
    </row>
    <row r="932" spans="2:2" ht="15.75" customHeight="1" x14ac:dyDescent="0.2">
      <c r="B932" s="11"/>
    </row>
    <row r="933" spans="2:2" ht="15.75" customHeight="1" x14ac:dyDescent="0.2">
      <c r="B933" s="11"/>
    </row>
    <row r="934" spans="2:2" ht="15.75" customHeight="1" x14ac:dyDescent="0.2">
      <c r="B934" s="11"/>
    </row>
    <row r="935" spans="2:2" ht="15.75" customHeight="1" x14ac:dyDescent="0.2">
      <c r="B935" s="11"/>
    </row>
    <row r="936" spans="2:2" ht="15.75" customHeight="1" x14ac:dyDescent="0.2">
      <c r="B936" s="11"/>
    </row>
    <row r="937" spans="2:2" ht="15.75" customHeight="1" x14ac:dyDescent="0.2">
      <c r="B937" s="11"/>
    </row>
    <row r="938" spans="2:2" ht="15.75" customHeight="1" x14ac:dyDescent="0.2">
      <c r="B938" s="11"/>
    </row>
    <row r="939" spans="2:2" ht="15.75" customHeight="1" x14ac:dyDescent="0.2">
      <c r="B939" s="11"/>
    </row>
    <row r="940" spans="2:2" ht="15.75" customHeight="1" x14ac:dyDescent="0.2">
      <c r="B940" s="11"/>
    </row>
    <row r="941" spans="2:2" ht="15.75" customHeight="1" x14ac:dyDescent="0.2">
      <c r="B941" s="11"/>
    </row>
    <row r="942" spans="2:2" ht="15.75" customHeight="1" x14ac:dyDescent="0.2">
      <c r="B942" s="11"/>
    </row>
    <row r="943" spans="2:2" ht="15.75" customHeight="1" x14ac:dyDescent="0.2">
      <c r="B943" s="11"/>
    </row>
    <row r="944" spans="2:2" ht="15.75" customHeight="1" x14ac:dyDescent="0.2">
      <c r="B944" s="11"/>
    </row>
    <row r="945" spans="2:2" ht="15.75" customHeight="1" x14ac:dyDescent="0.2">
      <c r="B945" s="11"/>
    </row>
    <row r="946" spans="2:2" ht="15.75" customHeight="1" x14ac:dyDescent="0.2">
      <c r="B946" s="11"/>
    </row>
    <row r="947" spans="2:2" ht="15.75" customHeight="1" x14ac:dyDescent="0.2">
      <c r="B947" s="11"/>
    </row>
    <row r="948" spans="2:2" ht="15.75" customHeight="1" x14ac:dyDescent="0.2">
      <c r="B948" s="11"/>
    </row>
    <row r="949" spans="2:2" ht="15.75" customHeight="1" x14ac:dyDescent="0.2">
      <c r="B949" s="11"/>
    </row>
    <row r="950" spans="2:2" ht="15.75" customHeight="1" x14ac:dyDescent="0.2">
      <c r="B950" s="11"/>
    </row>
    <row r="951" spans="2:2" ht="15.75" customHeight="1" x14ac:dyDescent="0.2">
      <c r="B951" s="11"/>
    </row>
    <row r="952" spans="2:2" ht="15.75" customHeight="1" x14ac:dyDescent="0.2">
      <c r="B952" s="11"/>
    </row>
    <row r="953" spans="2:2" ht="15.75" customHeight="1" x14ac:dyDescent="0.2">
      <c r="B953" s="11"/>
    </row>
    <row r="954" spans="2:2" ht="15.75" customHeight="1" x14ac:dyDescent="0.2">
      <c r="B954" s="11"/>
    </row>
    <row r="955" spans="2:2" ht="15.75" customHeight="1" x14ac:dyDescent="0.2">
      <c r="B955" s="11"/>
    </row>
    <row r="956" spans="2:2" ht="15.75" customHeight="1" x14ac:dyDescent="0.2">
      <c r="B956" s="11"/>
    </row>
    <row r="957" spans="2:2" ht="15.75" customHeight="1" x14ac:dyDescent="0.2">
      <c r="B957" s="11"/>
    </row>
    <row r="958" spans="2:2" ht="15.75" customHeight="1" x14ac:dyDescent="0.2">
      <c r="B958" s="11"/>
    </row>
    <row r="959" spans="2:2" ht="15.75" customHeight="1" x14ac:dyDescent="0.2">
      <c r="B959" s="11"/>
    </row>
    <row r="960" spans="2:2" ht="15.75" customHeight="1" x14ac:dyDescent="0.2">
      <c r="B960" s="11"/>
    </row>
    <row r="961" spans="2:2" ht="15.75" customHeight="1" x14ac:dyDescent="0.2">
      <c r="B961" s="11"/>
    </row>
    <row r="962" spans="2:2" ht="15.75" customHeight="1" x14ac:dyDescent="0.2">
      <c r="B962" s="11"/>
    </row>
    <row r="963" spans="2:2" ht="15.75" customHeight="1" x14ac:dyDescent="0.2">
      <c r="B963" s="11"/>
    </row>
    <row r="964" spans="2:2" ht="15.75" customHeight="1" x14ac:dyDescent="0.2">
      <c r="B964" s="11"/>
    </row>
    <row r="965" spans="2:2" ht="15.75" customHeight="1" x14ac:dyDescent="0.2">
      <c r="B965" s="11"/>
    </row>
    <row r="966" spans="2:2" ht="15.75" customHeight="1" x14ac:dyDescent="0.2">
      <c r="B966" s="11"/>
    </row>
    <row r="967" spans="2:2" ht="15.75" customHeight="1" x14ac:dyDescent="0.2">
      <c r="B967" s="11"/>
    </row>
    <row r="968" spans="2:2" ht="15.75" customHeight="1" x14ac:dyDescent="0.2">
      <c r="B968" s="11"/>
    </row>
    <row r="969" spans="2:2" ht="15.75" customHeight="1" x14ac:dyDescent="0.2">
      <c r="B969" s="11"/>
    </row>
    <row r="970" spans="2:2" ht="15.75" customHeight="1" x14ac:dyDescent="0.2">
      <c r="B970" s="11"/>
    </row>
    <row r="971" spans="2:2" ht="15.75" customHeight="1" x14ac:dyDescent="0.2">
      <c r="B971" s="11"/>
    </row>
    <row r="972" spans="2:2" ht="15.75" customHeight="1" x14ac:dyDescent="0.2">
      <c r="B972" s="11"/>
    </row>
    <row r="973" spans="2:2" ht="15.75" customHeight="1" x14ac:dyDescent="0.2">
      <c r="B973" s="11"/>
    </row>
    <row r="974" spans="2:2" ht="15.75" customHeight="1" x14ac:dyDescent="0.2">
      <c r="B974" s="11"/>
    </row>
    <row r="975" spans="2:2" ht="15.75" customHeight="1" x14ac:dyDescent="0.2">
      <c r="B975" s="11"/>
    </row>
    <row r="976" spans="2:2" ht="15.75" customHeight="1" x14ac:dyDescent="0.2">
      <c r="B976" s="11"/>
    </row>
    <row r="977" spans="2:2" ht="15.75" customHeight="1" x14ac:dyDescent="0.2">
      <c r="B977" s="11"/>
    </row>
    <row r="978" spans="2:2" ht="15.75" customHeight="1" x14ac:dyDescent="0.2">
      <c r="B978" s="11"/>
    </row>
    <row r="979" spans="2:2" ht="15.75" customHeight="1" x14ac:dyDescent="0.2">
      <c r="B979" s="11"/>
    </row>
    <row r="980" spans="2:2" ht="15.75" customHeight="1" x14ac:dyDescent="0.2">
      <c r="B980" s="11"/>
    </row>
    <row r="981" spans="2:2" ht="15.75" customHeight="1" x14ac:dyDescent="0.2">
      <c r="B981" s="11"/>
    </row>
    <row r="982" spans="2:2" ht="15.75" customHeight="1" x14ac:dyDescent="0.2">
      <c r="B982" s="11"/>
    </row>
    <row r="983" spans="2:2" ht="15.75" customHeight="1" x14ac:dyDescent="0.2">
      <c r="B983" s="11"/>
    </row>
    <row r="984" spans="2:2" ht="15.75" customHeight="1" x14ac:dyDescent="0.2">
      <c r="B984" s="11"/>
    </row>
    <row r="985" spans="2:2" ht="15.75" customHeight="1" x14ac:dyDescent="0.2">
      <c r="B985" s="11"/>
    </row>
    <row r="986" spans="2:2" ht="15.75" customHeight="1" x14ac:dyDescent="0.2">
      <c r="B986" s="11"/>
    </row>
    <row r="987" spans="2:2" ht="15.75" customHeight="1" x14ac:dyDescent="0.2">
      <c r="B987" s="11"/>
    </row>
    <row r="988" spans="2:2" ht="15.75" customHeight="1" x14ac:dyDescent="0.2">
      <c r="B988" s="11"/>
    </row>
    <row r="989" spans="2:2" ht="15.75" customHeight="1" x14ac:dyDescent="0.2">
      <c r="B989" s="11"/>
    </row>
    <row r="990" spans="2:2" ht="15.75" customHeight="1" x14ac:dyDescent="0.2">
      <c r="B990" s="11"/>
    </row>
    <row r="991" spans="2:2" ht="15.75" customHeight="1" x14ac:dyDescent="0.2">
      <c r="B991" s="11"/>
    </row>
    <row r="992" spans="2:2" ht="15.75" customHeight="1" x14ac:dyDescent="0.2">
      <c r="B992" s="11"/>
    </row>
    <row r="993" spans="2:2" ht="15.75" customHeight="1" x14ac:dyDescent="0.2">
      <c r="B993" s="11"/>
    </row>
    <row r="994" spans="2:2" ht="15.75" customHeight="1" x14ac:dyDescent="0.2">
      <c r="B994" s="11"/>
    </row>
    <row r="995" spans="2:2" ht="15.75" customHeight="1" x14ac:dyDescent="0.2">
      <c r="B995" s="11"/>
    </row>
    <row r="996" spans="2:2" ht="15.75" customHeight="1" x14ac:dyDescent="0.2">
      <c r="B996" s="11"/>
    </row>
    <row r="997" spans="2:2" ht="15.75" customHeight="1" x14ac:dyDescent="0.2">
      <c r="B997" s="11"/>
    </row>
    <row r="998" spans="2:2" ht="15.75" customHeight="1" x14ac:dyDescent="0.2">
      <c r="B998" s="11"/>
    </row>
    <row r="999" spans="2:2" ht="15.75" customHeight="1" x14ac:dyDescent="0.2">
      <c r="B999" s="11"/>
    </row>
    <row r="1000" spans="2:2" ht="15.75" customHeight="1" x14ac:dyDescent="0.2">
      <c r="B1000" s="11"/>
    </row>
    <row r="1001" spans="2:2" ht="15.75" customHeight="1" x14ac:dyDescent="0.2">
      <c r="B1001" s="11"/>
    </row>
    <row r="1002" spans="2:2" ht="15.75" customHeight="1" x14ac:dyDescent="0.2">
      <c r="B1002" s="11"/>
    </row>
    <row r="1003" spans="2:2" ht="15.75" customHeight="1" x14ac:dyDescent="0.2">
      <c r="B1003" s="11"/>
    </row>
    <row r="1004" spans="2:2" ht="15.75" customHeight="1" x14ac:dyDescent="0.2">
      <c r="B1004" s="11"/>
    </row>
    <row r="1005" spans="2:2" ht="15.75" customHeight="1" x14ac:dyDescent="0.2">
      <c r="B1005" s="11"/>
    </row>
    <row r="1006" spans="2:2" ht="15.75" customHeight="1" x14ac:dyDescent="0.2">
      <c r="B1006" s="11"/>
    </row>
    <row r="1007" spans="2:2" ht="15.75" customHeight="1" x14ac:dyDescent="0.2">
      <c r="B1007" s="11"/>
    </row>
    <row r="1008" spans="2:2" ht="15.75" customHeight="1" x14ac:dyDescent="0.2">
      <c r="B1008" s="11"/>
    </row>
    <row r="1009" spans="2:2" ht="15.75" customHeight="1" x14ac:dyDescent="0.2">
      <c r="B1009" s="11"/>
    </row>
    <row r="1010" spans="2:2" ht="15.75" customHeight="1" x14ac:dyDescent="0.2">
      <c r="B1010" s="11"/>
    </row>
    <row r="1011" spans="2:2" ht="15.75" customHeight="1" x14ac:dyDescent="0.2">
      <c r="B1011" s="11"/>
    </row>
    <row r="1012" spans="2:2" ht="15.75" customHeight="1" x14ac:dyDescent="0.2">
      <c r="B1012" s="11"/>
    </row>
    <row r="1013" spans="2:2" ht="15.75" customHeight="1" x14ac:dyDescent="0.2">
      <c r="B1013" s="11"/>
    </row>
    <row r="1014" spans="2:2" ht="15.75" customHeight="1" x14ac:dyDescent="0.2">
      <c r="B1014" s="11"/>
    </row>
    <row r="1015" spans="2:2" ht="15.75" customHeight="1" x14ac:dyDescent="0.2">
      <c r="B1015" s="11"/>
    </row>
    <row r="1016" spans="2:2" ht="15.75" customHeight="1" x14ac:dyDescent="0.2">
      <c r="B1016" s="11"/>
    </row>
    <row r="1017" spans="2:2" ht="15.75" customHeight="1" x14ac:dyDescent="0.2">
      <c r="B1017" s="11"/>
    </row>
    <row r="1018" spans="2:2" ht="15.75" customHeight="1" x14ac:dyDescent="0.2">
      <c r="B1018" s="11"/>
    </row>
    <row r="1019" spans="2:2" ht="15.75" customHeight="1" x14ac:dyDescent="0.2">
      <c r="B1019" s="11"/>
    </row>
    <row r="1020" spans="2:2" ht="15.75" customHeight="1" x14ac:dyDescent="0.2">
      <c r="B1020" s="11"/>
    </row>
    <row r="1021" spans="2:2" ht="15.75" customHeight="1" x14ac:dyDescent="0.2">
      <c r="B1021" s="11"/>
    </row>
    <row r="1022" spans="2:2" ht="15.75" customHeight="1" x14ac:dyDescent="0.2">
      <c r="B1022" s="11"/>
    </row>
    <row r="1023" spans="2:2" ht="15.75" customHeight="1" x14ac:dyDescent="0.2">
      <c r="B1023" s="11"/>
    </row>
    <row r="1024" spans="2:2" ht="15.75" customHeight="1" x14ac:dyDescent="0.2">
      <c r="B1024" s="11"/>
    </row>
    <row r="1025" spans="2:2" ht="15.75" customHeight="1" x14ac:dyDescent="0.2">
      <c r="B1025" s="11"/>
    </row>
    <row r="1026" spans="2:2" ht="15.75" customHeight="1" x14ac:dyDescent="0.2">
      <c r="B1026" s="11"/>
    </row>
    <row r="1027" spans="2:2" ht="15.75" customHeight="1" x14ac:dyDescent="0.2">
      <c r="B1027" s="11"/>
    </row>
    <row r="1028" spans="2:2" ht="15.75" customHeight="1" x14ac:dyDescent="0.2">
      <c r="B1028" s="11"/>
    </row>
    <row r="1029" spans="2:2" ht="15.75" customHeight="1" x14ac:dyDescent="0.2">
      <c r="B1029" s="11"/>
    </row>
    <row r="1030" spans="2:2" ht="15.75" customHeight="1" x14ac:dyDescent="0.2">
      <c r="B1030" s="11"/>
    </row>
    <row r="1031" spans="2:2" ht="15.75" customHeight="1" x14ac:dyDescent="0.2">
      <c r="B1031" s="11"/>
    </row>
    <row r="1032" spans="2:2" ht="15.75" customHeight="1" x14ac:dyDescent="0.2">
      <c r="B1032" s="11"/>
    </row>
    <row r="1033" spans="2:2" ht="15.75" customHeight="1" x14ac:dyDescent="0.2">
      <c r="B1033" s="11"/>
    </row>
    <row r="1034" spans="2:2" ht="15.75" customHeight="1" x14ac:dyDescent="0.2">
      <c r="B1034" s="11"/>
    </row>
    <row r="1035" spans="2:2" ht="15.75" customHeight="1" x14ac:dyDescent="0.2">
      <c r="B1035" s="11"/>
    </row>
    <row r="1036" spans="2:2" ht="15.75" customHeight="1" x14ac:dyDescent="0.2">
      <c r="B1036" s="11"/>
    </row>
    <row r="1037" spans="2:2" ht="15.75" customHeight="1" x14ac:dyDescent="0.2">
      <c r="B1037" s="11"/>
    </row>
    <row r="1038" spans="2:2" ht="15.75" customHeight="1" x14ac:dyDescent="0.2">
      <c r="B1038" s="11"/>
    </row>
    <row r="1039" spans="2:2" ht="15.75" customHeight="1" x14ac:dyDescent="0.2">
      <c r="B1039" s="11"/>
    </row>
    <row r="1040" spans="2:2" ht="15.75" customHeight="1" x14ac:dyDescent="0.2">
      <c r="B1040" s="11"/>
    </row>
    <row r="1041" spans="2:2" ht="15.75" customHeight="1" x14ac:dyDescent="0.2">
      <c r="B1041" s="11"/>
    </row>
    <row r="1042" spans="2:2" ht="15.75" customHeight="1" x14ac:dyDescent="0.2">
      <c r="B1042" s="11"/>
    </row>
    <row r="1043" spans="2:2" ht="15.75" customHeight="1" x14ac:dyDescent="0.2">
      <c r="B1043" s="11"/>
    </row>
    <row r="1044" spans="2:2" ht="15.75" customHeight="1" x14ac:dyDescent="0.2">
      <c r="B1044" s="11"/>
    </row>
    <row r="1045" spans="2:2" ht="15.75" customHeight="1" x14ac:dyDescent="0.2">
      <c r="B1045" s="11"/>
    </row>
    <row r="1046" spans="2:2" ht="15.75" customHeight="1" x14ac:dyDescent="0.2">
      <c r="B1046" s="11"/>
    </row>
    <row r="1047" spans="2:2" ht="15.75" customHeight="1" x14ac:dyDescent="0.2">
      <c r="B1047" s="11"/>
    </row>
    <row r="1048" spans="2:2" ht="15.75" customHeight="1" x14ac:dyDescent="0.2">
      <c r="B1048" s="11"/>
    </row>
    <row r="1049" spans="2:2" ht="15.75" customHeight="1" x14ac:dyDescent="0.2">
      <c r="B1049" s="11"/>
    </row>
    <row r="1050" spans="2:2" ht="15.75" customHeight="1" x14ac:dyDescent="0.2">
      <c r="B1050" s="11"/>
    </row>
    <row r="1051" spans="2:2" ht="15.75" customHeight="1" x14ac:dyDescent="0.2">
      <c r="B1051" s="11"/>
    </row>
    <row r="1052" spans="2:2" ht="15.75" customHeight="1" x14ac:dyDescent="0.2">
      <c r="B1052" s="11"/>
    </row>
    <row r="1053" spans="2:2" ht="15.75" customHeight="1" x14ac:dyDescent="0.2">
      <c r="B1053" s="11"/>
    </row>
    <row r="1054" spans="2:2" ht="15.75" customHeight="1" x14ac:dyDescent="0.2">
      <c r="B1054" s="11"/>
    </row>
    <row r="1055" spans="2:2" ht="15.75" customHeight="1" x14ac:dyDescent="0.2">
      <c r="B1055" s="11"/>
    </row>
    <row r="1056" spans="2:2" ht="15.75" customHeight="1" x14ac:dyDescent="0.2">
      <c r="B1056" s="11"/>
    </row>
    <row r="1057" spans="2:2" ht="15.75" customHeight="1" x14ac:dyDescent="0.2">
      <c r="B1057" s="11"/>
    </row>
    <row r="1058" spans="2:2" ht="15.75" customHeight="1" x14ac:dyDescent="0.2">
      <c r="B1058" s="11"/>
    </row>
    <row r="1059" spans="2:2" ht="15.75" customHeight="1" x14ac:dyDescent="0.2">
      <c r="B1059" s="11"/>
    </row>
    <row r="1060" spans="2:2" ht="15.75" customHeight="1" x14ac:dyDescent="0.2">
      <c r="B1060" s="11"/>
    </row>
    <row r="1061" spans="2:2" ht="15.75" customHeight="1" x14ac:dyDescent="0.2">
      <c r="B1061" s="11"/>
    </row>
    <row r="1062" spans="2:2" ht="15.75" customHeight="1" x14ac:dyDescent="0.2">
      <c r="B1062" s="11"/>
    </row>
    <row r="1063" spans="2:2" ht="15.75" customHeight="1" x14ac:dyDescent="0.2">
      <c r="B1063" s="11"/>
    </row>
    <row r="1064" spans="2:2" ht="15.75" customHeight="1" x14ac:dyDescent="0.2">
      <c r="B1064" s="11"/>
    </row>
    <row r="1065" spans="2:2" ht="15.75" customHeight="1" x14ac:dyDescent="0.2">
      <c r="B1065" s="11"/>
    </row>
    <row r="1066" spans="2:2" ht="15.75" customHeight="1" x14ac:dyDescent="0.2">
      <c r="B1066" s="11"/>
    </row>
    <row r="1067" spans="2:2" ht="15.75" customHeight="1" x14ac:dyDescent="0.2">
      <c r="B1067" s="11"/>
    </row>
    <row r="1068" spans="2:2" ht="15.75" customHeight="1" x14ac:dyDescent="0.2">
      <c r="B1068" s="11"/>
    </row>
    <row r="1069" spans="2:2" ht="15.75" customHeight="1" x14ac:dyDescent="0.2">
      <c r="B1069" s="11"/>
    </row>
    <row r="1070" spans="2:2" ht="15.75" customHeight="1" x14ac:dyDescent="0.2">
      <c r="B1070" s="11"/>
    </row>
    <row r="1071" spans="2:2" ht="15.75" customHeight="1" x14ac:dyDescent="0.2">
      <c r="B1071" s="11"/>
    </row>
    <row r="1072" spans="2:2" ht="15.75" customHeight="1" x14ac:dyDescent="0.2">
      <c r="B1072" s="11"/>
    </row>
    <row r="1073" spans="2:2" ht="15.75" customHeight="1" x14ac:dyDescent="0.2">
      <c r="B1073" s="11"/>
    </row>
    <row r="1074" spans="2:2" ht="15.75" customHeight="1" x14ac:dyDescent="0.2">
      <c r="B1074" s="11"/>
    </row>
    <row r="1075" spans="2:2" ht="15.75" customHeight="1" x14ac:dyDescent="0.2">
      <c r="B1075" s="11"/>
    </row>
    <row r="1076" spans="2:2" ht="15.75" customHeight="1" x14ac:dyDescent="0.2">
      <c r="B1076" s="11"/>
    </row>
    <row r="1077" spans="2:2" ht="15.75" customHeight="1" x14ac:dyDescent="0.2">
      <c r="B1077" s="11"/>
    </row>
    <row r="1078" spans="2:2" ht="15.75" customHeight="1" x14ac:dyDescent="0.2">
      <c r="B1078" s="11"/>
    </row>
    <row r="1079" spans="2:2" ht="15.75" customHeight="1" x14ac:dyDescent="0.2">
      <c r="B1079" s="11"/>
    </row>
    <row r="1080" spans="2:2" ht="15.75" customHeight="1" x14ac:dyDescent="0.2">
      <c r="B1080" s="11"/>
    </row>
    <row r="1081" spans="2:2" ht="15.75" customHeight="1" x14ac:dyDescent="0.2">
      <c r="B1081" s="11"/>
    </row>
    <row r="1082" spans="2:2" ht="15.75" customHeight="1" x14ac:dyDescent="0.2">
      <c r="B1082" s="11"/>
    </row>
    <row r="1083" spans="2:2" ht="15.75" customHeight="1" x14ac:dyDescent="0.2">
      <c r="B1083" s="11"/>
    </row>
    <row r="1084" spans="2:2" ht="15.75" customHeight="1" x14ac:dyDescent="0.2">
      <c r="B1084" s="11"/>
    </row>
    <row r="1085" spans="2:2" ht="15.75" customHeight="1" x14ac:dyDescent="0.2">
      <c r="B1085" s="11"/>
    </row>
    <row r="1086" spans="2:2" ht="15.75" customHeight="1" x14ac:dyDescent="0.2">
      <c r="B1086" s="11"/>
    </row>
    <row r="1087" spans="2:2" ht="15.75" customHeight="1" x14ac:dyDescent="0.2">
      <c r="B1087" s="11"/>
    </row>
    <row r="1088" spans="2:2" ht="15.75" customHeight="1" x14ac:dyDescent="0.2">
      <c r="B1088" s="11"/>
    </row>
    <row r="1089" spans="2:2" ht="15.75" customHeight="1" x14ac:dyDescent="0.2">
      <c r="B1089" s="11"/>
    </row>
    <row r="1090" spans="2:2" ht="15.75" customHeight="1" x14ac:dyDescent="0.2">
      <c r="B1090" s="11"/>
    </row>
    <row r="1091" spans="2:2" ht="15.75" customHeight="1" x14ac:dyDescent="0.2">
      <c r="B1091" s="11"/>
    </row>
    <row r="1092" spans="2:2" ht="15.75" customHeight="1" x14ac:dyDescent="0.2">
      <c r="B1092" s="11"/>
    </row>
    <row r="1093" spans="2:2" ht="15.75" customHeight="1" x14ac:dyDescent="0.2">
      <c r="B1093" s="11"/>
    </row>
    <row r="1094" spans="2:2" ht="15.75" customHeight="1" x14ac:dyDescent="0.2">
      <c r="B1094" s="11"/>
    </row>
    <row r="1095" spans="2:2" ht="15.75" customHeight="1" x14ac:dyDescent="0.2">
      <c r="B1095" s="11"/>
    </row>
    <row r="1096" spans="2:2" ht="15.75" customHeight="1" x14ac:dyDescent="0.2">
      <c r="B1096" s="11"/>
    </row>
    <row r="1097" spans="2:2" ht="15.75" customHeight="1" x14ac:dyDescent="0.2">
      <c r="B1097" s="11"/>
    </row>
    <row r="1098" spans="2:2" ht="15.75" customHeight="1" x14ac:dyDescent="0.2">
      <c r="B1098" s="11"/>
    </row>
    <row r="1099" spans="2:2" ht="15.75" customHeight="1" x14ac:dyDescent="0.2">
      <c r="B1099" s="11"/>
    </row>
    <row r="1100" spans="2:2" ht="15.75" customHeight="1" x14ac:dyDescent="0.2">
      <c r="B1100" s="11"/>
    </row>
    <row r="1101" spans="2:2" ht="15.75" customHeight="1" x14ac:dyDescent="0.2">
      <c r="B1101" s="11"/>
    </row>
    <row r="1102" spans="2:2" ht="15.75" customHeight="1" x14ac:dyDescent="0.2">
      <c r="B1102" s="11"/>
    </row>
    <row r="1103" spans="2:2" ht="15.75" customHeight="1" x14ac:dyDescent="0.2">
      <c r="B1103" s="11"/>
    </row>
    <row r="1104" spans="2:2" ht="15.75" customHeight="1" x14ac:dyDescent="0.2">
      <c r="B1104" s="11"/>
    </row>
    <row r="1105" spans="2:2" ht="15.75" customHeight="1" x14ac:dyDescent="0.2">
      <c r="B1105" s="11"/>
    </row>
    <row r="1106" spans="2:2" ht="15.75" customHeight="1" x14ac:dyDescent="0.2">
      <c r="B1106" s="11"/>
    </row>
    <row r="1107" spans="2:2" ht="15.75" customHeight="1" x14ac:dyDescent="0.2">
      <c r="B1107" s="11"/>
    </row>
    <row r="1108" spans="2:2" ht="15.75" customHeight="1" x14ac:dyDescent="0.2">
      <c r="B1108" s="11"/>
    </row>
    <row r="1109" spans="2:2" ht="15.75" customHeight="1" x14ac:dyDescent="0.2">
      <c r="B1109" s="11"/>
    </row>
    <row r="1110" spans="2:2" ht="15.75" customHeight="1" x14ac:dyDescent="0.2">
      <c r="B1110" s="11"/>
    </row>
    <row r="1111" spans="2:2" ht="15.75" customHeight="1" x14ac:dyDescent="0.2">
      <c r="B1111" s="11"/>
    </row>
    <row r="1112" spans="2:2" ht="15.75" customHeight="1" x14ac:dyDescent="0.2">
      <c r="B1112" s="11"/>
    </row>
    <row r="1113" spans="2:2" ht="15.75" customHeight="1" x14ac:dyDescent="0.2">
      <c r="B1113" s="11"/>
    </row>
    <row r="1114" spans="2:2" ht="15.75" customHeight="1" x14ac:dyDescent="0.2">
      <c r="B1114" s="11"/>
    </row>
    <row r="1115" spans="2:2" ht="15.75" customHeight="1" x14ac:dyDescent="0.2">
      <c r="B1115" s="11"/>
    </row>
    <row r="1116" spans="2:2" ht="15.75" customHeight="1" x14ac:dyDescent="0.2">
      <c r="B1116" s="11"/>
    </row>
    <row r="1117" spans="2:2" ht="15.75" customHeight="1" x14ac:dyDescent="0.2">
      <c r="B1117" s="11"/>
    </row>
    <row r="1118" spans="2:2" ht="15.75" customHeight="1" x14ac:dyDescent="0.2">
      <c r="B1118" s="11"/>
    </row>
    <row r="1119" spans="2:2" ht="15.75" customHeight="1" x14ac:dyDescent="0.2">
      <c r="B1119" s="11"/>
    </row>
    <row r="1120" spans="2:2" ht="15.75" customHeight="1" x14ac:dyDescent="0.2">
      <c r="B1120" s="11"/>
    </row>
    <row r="1121" spans="2:2" ht="15.75" customHeight="1" x14ac:dyDescent="0.2">
      <c r="B1121" s="11"/>
    </row>
    <row r="1122" spans="2:2" ht="15.75" customHeight="1" x14ac:dyDescent="0.2">
      <c r="B1122" s="11"/>
    </row>
    <row r="1123" spans="2:2" ht="15.75" customHeight="1" x14ac:dyDescent="0.2">
      <c r="B1123" s="11"/>
    </row>
    <row r="1124" spans="2:2" ht="15.75" customHeight="1" x14ac:dyDescent="0.2">
      <c r="B1124" s="11"/>
    </row>
    <row r="1125" spans="2:2" ht="15.75" customHeight="1" x14ac:dyDescent="0.2">
      <c r="B1125" s="11"/>
    </row>
    <row r="1126" spans="2:2" ht="15.75" customHeight="1" x14ac:dyDescent="0.2">
      <c r="B1126" s="11"/>
    </row>
    <row r="1127" spans="2:2" ht="15.75" customHeight="1" x14ac:dyDescent="0.2">
      <c r="B1127" s="11"/>
    </row>
    <row r="1128" spans="2:2" ht="15.75" customHeight="1" x14ac:dyDescent="0.2">
      <c r="B1128" s="11"/>
    </row>
    <row r="1129" spans="2:2" ht="15.75" customHeight="1" x14ac:dyDescent="0.2">
      <c r="B1129" s="11"/>
    </row>
    <row r="1130" spans="2:2" ht="15.75" customHeight="1" x14ac:dyDescent="0.2">
      <c r="B1130" s="11"/>
    </row>
    <row r="1131" spans="2:2" ht="15.75" customHeight="1" x14ac:dyDescent="0.2">
      <c r="B1131" s="11"/>
    </row>
    <row r="1132" spans="2:2" ht="15.75" customHeight="1" x14ac:dyDescent="0.2">
      <c r="B1132" s="11"/>
    </row>
    <row r="1133" spans="2:2" ht="15.75" customHeight="1" x14ac:dyDescent="0.2">
      <c r="B1133" s="11"/>
    </row>
    <row r="1134" spans="2:2" ht="15.75" customHeight="1" x14ac:dyDescent="0.2">
      <c r="B1134" s="11"/>
    </row>
    <row r="1135" spans="2:2" ht="15.75" customHeight="1" x14ac:dyDescent="0.2">
      <c r="B1135" s="11"/>
    </row>
    <row r="1136" spans="2:2" ht="15.75" customHeight="1" x14ac:dyDescent="0.2">
      <c r="B1136" s="11"/>
    </row>
    <row r="1137" spans="2:2" ht="15.75" customHeight="1" x14ac:dyDescent="0.2">
      <c r="B1137" s="11"/>
    </row>
    <row r="1138" spans="2:2" ht="15.75" customHeight="1" x14ac:dyDescent="0.2">
      <c r="B1138" s="11"/>
    </row>
    <row r="1139" spans="2:2" ht="15.75" customHeight="1" x14ac:dyDescent="0.2">
      <c r="B1139" s="11"/>
    </row>
    <row r="1140" spans="2:2" ht="15.75" customHeight="1" x14ac:dyDescent="0.2">
      <c r="B1140" s="11"/>
    </row>
    <row r="1141" spans="2:2" ht="15.75" customHeight="1" x14ac:dyDescent="0.2">
      <c r="B1141" s="11"/>
    </row>
    <row r="1142" spans="2:2" ht="15.75" customHeight="1" x14ac:dyDescent="0.2">
      <c r="B1142" s="11"/>
    </row>
    <row r="1143" spans="2:2" ht="15.75" customHeight="1" x14ac:dyDescent="0.2">
      <c r="B1143" s="11"/>
    </row>
    <row r="1144" spans="2:2" ht="15.75" customHeight="1" x14ac:dyDescent="0.2">
      <c r="B1144" s="11"/>
    </row>
    <row r="1145" spans="2:2" ht="15.75" customHeight="1" x14ac:dyDescent="0.2">
      <c r="B1145" s="11"/>
    </row>
    <row r="1146" spans="2:2" ht="15.75" customHeight="1" x14ac:dyDescent="0.2">
      <c r="B1146" s="11"/>
    </row>
    <row r="1147" spans="2:2" ht="15.75" customHeight="1" x14ac:dyDescent="0.2">
      <c r="B1147" s="11"/>
    </row>
    <row r="1148" spans="2:2" ht="15.75" customHeight="1" x14ac:dyDescent="0.2">
      <c r="B1148" s="11"/>
    </row>
    <row r="1149" spans="2:2" ht="15.75" customHeight="1" x14ac:dyDescent="0.2">
      <c r="B1149" s="11"/>
    </row>
    <row r="1150" spans="2:2" ht="15.75" customHeight="1" x14ac:dyDescent="0.2">
      <c r="B1150" s="11"/>
    </row>
    <row r="1151" spans="2:2" ht="15.75" customHeight="1" x14ac:dyDescent="0.2">
      <c r="B1151" s="11"/>
    </row>
    <row r="1152" spans="2:2" ht="15.75" customHeight="1" x14ac:dyDescent="0.2">
      <c r="B1152" s="11"/>
    </row>
    <row r="1153" spans="2:2" ht="15.75" customHeight="1" x14ac:dyDescent="0.2">
      <c r="B1153" s="11"/>
    </row>
    <row r="1154" spans="2:2" ht="15.75" customHeight="1" x14ac:dyDescent="0.2">
      <c r="B1154" s="11"/>
    </row>
    <row r="1155" spans="2:2" ht="15.75" customHeight="1" x14ac:dyDescent="0.2">
      <c r="B1155" s="11"/>
    </row>
    <row r="1156" spans="2:2" ht="15.75" customHeight="1" x14ac:dyDescent="0.2">
      <c r="B1156" s="11"/>
    </row>
    <row r="1157" spans="2:2" ht="15.75" customHeight="1" x14ac:dyDescent="0.2">
      <c r="B1157" s="11"/>
    </row>
    <row r="1158" spans="2:2" ht="15.75" customHeight="1" x14ac:dyDescent="0.2">
      <c r="B1158" s="11"/>
    </row>
    <row r="1159" spans="2:2" ht="15.75" customHeight="1" x14ac:dyDescent="0.2">
      <c r="B1159" s="11"/>
    </row>
    <row r="1160" spans="2:2" ht="15.75" customHeight="1" x14ac:dyDescent="0.2">
      <c r="B1160" s="11"/>
    </row>
    <row r="1161" spans="2:2" ht="15.75" customHeight="1" x14ac:dyDescent="0.2">
      <c r="B1161" s="11"/>
    </row>
    <row r="1162" spans="2:2" ht="15.75" customHeight="1" x14ac:dyDescent="0.2">
      <c r="B1162" s="11"/>
    </row>
    <row r="1163" spans="2:2" ht="15.75" customHeight="1" x14ac:dyDescent="0.2">
      <c r="B1163" s="11"/>
    </row>
    <row r="1164" spans="2:2" ht="15.75" customHeight="1" x14ac:dyDescent="0.2">
      <c r="B1164" s="11"/>
    </row>
    <row r="1165" spans="2:2" ht="15.75" customHeight="1" x14ac:dyDescent="0.2">
      <c r="B1165" s="11"/>
    </row>
    <row r="1166" spans="2:2" ht="15.75" customHeight="1" x14ac:dyDescent="0.2">
      <c r="B1166" s="11"/>
    </row>
    <row r="1167" spans="2:2" ht="15.75" customHeight="1" x14ac:dyDescent="0.2">
      <c r="B1167" s="11"/>
    </row>
    <row r="1168" spans="2:2" ht="15.75" customHeight="1" x14ac:dyDescent="0.2">
      <c r="B1168" s="11"/>
    </row>
    <row r="1169" spans="2:2" ht="15.75" customHeight="1" x14ac:dyDescent="0.2">
      <c r="B1169" s="11"/>
    </row>
    <row r="1170" spans="2:2" ht="15.75" customHeight="1" x14ac:dyDescent="0.2">
      <c r="B1170" s="11"/>
    </row>
    <row r="1171" spans="2:2" ht="15.75" customHeight="1" x14ac:dyDescent="0.2">
      <c r="B1171" s="11"/>
    </row>
    <row r="1172" spans="2:2" ht="15.75" customHeight="1" x14ac:dyDescent="0.2">
      <c r="B1172" s="11"/>
    </row>
    <row r="1173" spans="2:2" ht="15.75" customHeight="1" x14ac:dyDescent="0.2">
      <c r="B1173" s="11"/>
    </row>
    <row r="1174" spans="2:2" ht="15.75" customHeight="1" x14ac:dyDescent="0.2">
      <c r="B1174" s="11"/>
    </row>
    <row r="1175" spans="2:2" ht="15.75" customHeight="1" x14ac:dyDescent="0.2">
      <c r="B1175" s="11"/>
    </row>
    <row r="1176" spans="2:2" ht="15.75" customHeight="1" x14ac:dyDescent="0.2">
      <c r="B1176" s="11"/>
    </row>
    <row r="1177" spans="2:2" ht="15.75" customHeight="1" x14ac:dyDescent="0.2">
      <c r="B1177" s="11"/>
    </row>
    <row r="1178" spans="2:2" ht="15.75" customHeight="1" x14ac:dyDescent="0.2">
      <c r="B1178" s="11"/>
    </row>
    <row r="1179" spans="2:2" ht="15.75" customHeight="1" x14ac:dyDescent="0.2">
      <c r="B1179" s="11"/>
    </row>
    <row r="1180" spans="2:2" ht="15.75" customHeight="1" x14ac:dyDescent="0.2">
      <c r="B1180" s="11"/>
    </row>
    <row r="1181" spans="2:2" ht="15.75" customHeight="1" x14ac:dyDescent="0.2">
      <c r="B1181" s="11"/>
    </row>
    <row r="1182" spans="2:2" ht="15.75" customHeight="1" x14ac:dyDescent="0.2">
      <c r="B1182" s="11"/>
    </row>
    <row r="1183" spans="2:2" ht="15.75" customHeight="1" x14ac:dyDescent="0.2">
      <c r="B1183" s="11"/>
    </row>
    <row r="1184" spans="2:2" ht="15.75" customHeight="1" x14ac:dyDescent="0.2">
      <c r="B1184" s="11"/>
    </row>
    <row r="1185" spans="2:2" ht="15.75" customHeight="1" x14ac:dyDescent="0.2">
      <c r="B1185" s="11"/>
    </row>
    <row r="1186" spans="2:2" ht="15.75" customHeight="1" x14ac:dyDescent="0.2">
      <c r="B1186" s="11"/>
    </row>
    <row r="1187" spans="2:2" ht="15.75" customHeight="1" x14ac:dyDescent="0.2">
      <c r="B1187" s="11"/>
    </row>
    <row r="1188" spans="2:2" ht="15.75" customHeight="1" x14ac:dyDescent="0.2">
      <c r="B1188" s="11"/>
    </row>
    <row r="1189" spans="2:2" ht="15.75" customHeight="1" x14ac:dyDescent="0.2">
      <c r="B1189" s="11"/>
    </row>
    <row r="1190" spans="2:2" ht="15.75" customHeight="1" x14ac:dyDescent="0.2">
      <c r="B1190" s="11"/>
    </row>
    <row r="1191" spans="2:2" ht="15.75" customHeight="1" x14ac:dyDescent="0.2">
      <c r="B1191" s="11"/>
    </row>
    <row r="1192" spans="2:2" ht="15.75" customHeight="1" x14ac:dyDescent="0.2">
      <c r="B1192" s="11"/>
    </row>
    <row r="1193" spans="2:2" ht="15.75" customHeight="1" x14ac:dyDescent="0.2">
      <c r="B1193" s="11"/>
    </row>
    <row r="1194" spans="2:2" ht="15.75" customHeight="1" x14ac:dyDescent="0.2">
      <c r="B1194" s="11"/>
    </row>
    <row r="1195" spans="2:2" ht="15.75" customHeight="1" x14ac:dyDescent="0.2">
      <c r="B1195" s="11"/>
    </row>
    <row r="1196" spans="2:2" ht="15.75" customHeight="1" x14ac:dyDescent="0.2">
      <c r="B1196" s="11"/>
    </row>
    <row r="1197" spans="2:2" ht="15.75" customHeight="1" x14ac:dyDescent="0.2">
      <c r="B1197" s="11"/>
    </row>
    <row r="1198" spans="2:2" ht="15.75" customHeight="1" x14ac:dyDescent="0.2">
      <c r="B1198" s="11"/>
    </row>
    <row r="1199" spans="2:2" ht="15.75" customHeight="1" x14ac:dyDescent="0.2">
      <c r="B1199" s="11"/>
    </row>
    <row r="1200" spans="2:2" ht="15.75" customHeight="1" x14ac:dyDescent="0.2">
      <c r="B1200" s="11"/>
    </row>
    <row r="1201" spans="2:2" ht="15.75" customHeight="1" x14ac:dyDescent="0.2">
      <c r="B1201" s="11"/>
    </row>
    <row r="1202" spans="2:2" ht="15.75" customHeight="1" x14ac:dyDescent="0.2">
      <c r="B1202" s="11"/>
    </row>
    <row r="1203" spans="2:2" ht="15.75" customHeight="1" x14ac:dyDescent="0.2">
      <c r="B1203" s="11"/>
    </row>
    <row r="1204" spans="2:2" ht="15.75" customHeight="1" x14ac:dyDescent="0.2">
      <c r="B1204" s="11"/>
    </row>
    <row r="1205" spans="2:2" ht="15.75" customHeight="1" x14ac:dyDescent="0.2">
      <c r="B1205" s="11"/>
    </row>
    <row r="1206" spans="2:2" ht="15.75" customHeight="1" x14ac:dyDescent="0.2">
      <c r="B1206" s="11"/>
    </row>
    <row r="1207" spans="2:2" ht="15.75" customHeight="1" x14ac:dyDescent="0.2">
      <c r="B1207" s="11"/>
    </row>
    <row r="1208" spans="2:2" ht="15.75" customHeight="1" x14ac:dyDescent="0.2">
      <c r="B1208" s="11"/>
    </row>
    <row r="1209" spans="2:2" ht="15.75" customHeight="1" x14ac:dyDescent="0.2">
      <c r="B1209" s="11"/>
    </row>
    <row r="1210" spans="2:2" ht="15.75" customHeight="1" x14ac:dyDescent="0.2">
      <c r="B1210" s="11"/>
    </row>
    <row r="1211" spans="2:2" ht="15.75" customHeight="1" x14ac:dyDescent="0.2">
      <c r="B1211" s="11"/>
    </row>
    <row r="1212" spans="2:2" ht="15.75" customHeight="1" x14ac:dyDescent="0.2">
      <c r="B1212" s="11"/>
    </row>
    <row r="1213" spans="2:2" ht="15.75" customHeight="1" x14ac:dyDescent="0.2">
      <c r="B1213" s="11"/>
    </row>
    <row r="1214" spans="2:2" ht="15.75" customHeight="1" x14ac:dyDescent="0.2">
      <c r="B1214" s="11"/>
    </row>
    <row r="1215" spans="2:2" ht="15.75" customHeight="1" x14ac:dyDescent="0.2">
      <c r="B1215" s="11"/>
    </row>
    <row r="1216" spans="2:2" ht="15.75" customHeight="1" x14ac:dyDescent="0.2">
      <c r="B1216" s="11"/>
    </row>
    <row r="1217" spans="2:2" ht="15.75" customHeight="1" x14ac:dyDescent="0.2">
      <c r="B1217" s="11"/>
    </row>
    <row r="1218" spans="2:2" ht="15.75" customHeight="1" x14ac:dyDescent="0.2">
      <c r="B1218" s="11"/>
    </row>
    <row r="1219" spans="2:2" ht="15.75" customHeight="1" x14ac:dyDescent="0.2">
      <c r="B1219" s="11"/>
    </row>
    <row r="1220" spans="2:2" ht="15.75" customHeight="1" x14ac:dyDescent="0.2">
      <c r="B1220" s="11"/>
    </row>
    <row r="1221" spans="2:2" ht="15.75" customHeight="1" x14ac:dyDescent="0.2">
      <c r="B1221" s="11"/>
    </row>
    <row r="1222" spans="2:2" ht="15.75" customHeight="1" x14ac:dyDescent="0.2">
      <c r="B1222" s="11"/>
    </row>
    <row r="1223" spans="2:2" ht="15.75" customHeight="1" x14ac:dyDescent="0.2">
      <c r="B1223" s="11"/>
    </row>
    <row r="1224" spans="2:2" ht="15.75" customHeight="1" x14ac:dyDescent="0.2">
      <c r="B1224" s="11"/>
    </row>
    <row r="1225" spans="2:2" ht="15.75" customHeight="1" x14ac:dyDescent="0.2">
      <c r="B1225" s="11"/>
    </row>
    <row r="1226" spans="2:2" ht="15.75" customHeight="1" x14ac:dyDescent="0.2">
      <c r="B1226" s="11"/>
    </row>
    <row r="1227" spans="2:2" ht="15.75" customHeight="1" x14ac:dyDescent="0.2">
      <c r="B1227" s="11"/>
    </row>
    <row r="1228" spans="2:2" ht="15.75" customHeight="1" x14ac:dyDescent="0.2">
      <c r="B1228" s="11"/>
    </row>
    <row r="1229" spans="2:2" ht="15.75" customHeight="1" x14ac:dyDescent="0.2">
      <c r="B1229" s="11"/>
    </row>
    <row r="1230" spans="2:2" ht="15.75" customHeight="1" x14ac:dyDescent="0.2">
      <c r="B1230" s="11"/>
    </row>
    <row r="1231" spans="2:2" ht="15.75" customHeight="1" x14ac:dyDescent="0.2">
      <c r="B1231" s="11"/>
    </row>
    <row r="1232" spans="2:2" ht="15.75" customHeight="1" x14ac:dyDescent="0.2">
      <c r="B1232" s="11"/>
    </row>
    <row r="1233" spans="2:2" ht="15.75" customHeight="1" x14ac:dyDescent="0.2">
      <c r="B1233" s="11"/>
    </row>
    <row r="1234" spans="2:2" ht="15.75" customHeight="1" x14ac:dyDescent="0.2">
      <c r="B1234" s="11"/>
    </row>
    <row r="1235" spans="2:2" ht="15.75" customHeight="1" x14ac:dyDescent="0.2">
      <c r="B1235" s="11"/>
    </row>
    <row r="1236" spans="2:2" ht="15.75" customHeight="1" x14ac:dyDescent="0.2">
      <c r="B1236" s="11"/>
    </row>
    <row r="1237" spans="2:2" ht="15.75" customHeight="1" x14ac:dyDescent="0.2">
      <c r="B1237" s="11"/>
    </row>
    <row r="1238" spans="2:2" ht="15.75" customHeight="1" x14ac:dyDescent="0.2">
      <c r="B1238" s="11"/>
    </row>
    <row r="1239" spans="2:2" ht="15.75" customHeight="1" x14ac:dyDescent="0.2">
      <c r="B1239" s="11"/>
    </row>
    <row r="1240" spans="2:2" ht="15.75" customHeight="1" x14ac:dyDescent="0.2">
      <c r="B1240" s="11"/>
    </row>
    <row r="1241" spans="2:2" ht="15.75" customHeight="1" x14ac:dyDescent="0.2">
      <c r="B1241" s="11"/>
    </row>
    <row r="1242" spans="2:2" ht="15.75" customHeight="1" x14ac:dyDescent="0.2">
      <c r="B1242" s="11"/>
    </row>
    <row r="1243" spans="2:2" ht="15.75" customHeight="1" x14ac:dyDescent="0.2">
      <c r="B1243" s="11"/>
    </row>
    <row r="1244" spans="2:2" ht="15.75" customHeight="1" x14ac:dyDescent="0.2">
      <c r="B1244" s="11"/>
    </row>
    <row r="1245" spans="2:2" ht="15.75" customHeight="1" x14ac:dyDescent="0.2">
      <c r="B1245" s="11"/>
    </row>
    <row r="1246" spans="2:2" ht="15.75" customHeight="1" x14ac:dyDescent="0.2">
      <c r="B1246" s="11"/>
    </row>
    <row r="1247" spans="2:2" ht="15.75" customHeight="1" x14ac:dyDescent="0.2">
      <c r="B1247" s="11"/>
    </row>
    <row r="1248" spans="2:2" ht="15.75" customHeight="1" x14ac:dyDescent="0.2">
      <c r="B1248" s="11"/>
    </row>
    <row r="1249" spans="2:2" ht="15.75" customHeight="1" x14ac:dyDescent="0.2">
      <c r="B1249" s="11"/>
    </row>
    <row r="1250" spans="2:2" ht="15.75" customHeight="1" x14ac:dyDescent="0.2">
      <c r="B1250" s="11"/>
    </row>
    <row r="1251" spans="2:2" ht="15.75" customHeight="1" x14ac:dyDescent="0.2">
      <c r="B1251" s="11"/>
    </row>
    <row r="1252" spans="2:2" ht="15.75" customHeight="1" x14ac:dyDescent="0.2">
      <c r="B1252" s="11"/>
    </row>
    <row r="1253" spans="2:2" ht="15.75" customHeight="1" x14ac:dyDescent="0.2">
      <c r="B1253" s="11"/>
    </row>
    <row r="1254" spans="2:2" ht="15.75" customHeight="1" x14ac:dyDescent="0.2">
      <c r="B1254" s="11"/>
    </row>
    <row r="1255" spans="2:2" ht="15.75" customHeight="1" x14ac:dyDescent="0.2">
      <c r="B1255" s="11"/>
    </row>
    <row r="1256" spans="2:2" ht="15.75" customHeight="1" x14ac:dyDescent="0.2">
      <c r="B1256" s="11"/>
    </row>
    <row r="1257" spans="2:2" ht="15.75" customHeight="1" x14ac:dyDescent="0.2">
      <c r="B1257" s="11"/>
    </row>
    <row r="1258" spans="2:2" ht="15.75" customHeight="1" x14ac:dyDescent="0.2">
      <c r="B1258" s="11"/>
    </row>
    <row r="1259" spans="2:2" ht="15.75" customHeight="1" x14ac:dyDescent="0.2">
      <c r="B1259" s="11"/>
    </row>
    <row r="1260" spans="2:2" ht="15.75" customHeight="1" x14ac:dyDescent="0.2">
      <c r="B1260" s="11"/>
    </row>
    <row r="1261" spans="2:2" ht="15.75" customHeight="1" x14ac:dyDescent="0.2">
      <c r="B1261" s="11"/>
    </row>
    <row r="1262" spans="2:2" ht="15.75" customHeight="1" x14ac:dyDescent="0.2">
      <c r="B1262" s="11"/>
    </row>
    <row r="1263" spans="2:2" ht="15.75" customHeight="1" x14ac:dyDescent="0.2">
      <c r="B1263" s="11"/>
    </row>
    <row r="1264" spans="2:2" ht="15.75" customHeight="1" x14ac:dyDescent="0.2">
      <c r="B1264" s="11"/>
    </row>
    <row r="1265" spans="2:2" ht="15.75" customHeight="1" x14ac:dyDescent="0.2">
      <c r="B1265" s="11"/>
    </row>
    <row r="1266" spans="2:2" ht="15.75" customHeight="1" x14ac:dyDescent="0.2">
      <c r="B1266" s="11"/>
    </row>
    <row r="1267" spans="2:2" ht="15.75" customHeight="1" x14ac:dyDescent="0.2">
      <c r="B1267" s="11"/>
    </row>
    <row r="1268" spans="2:2" ht="15.75" customHeight="1" x14ac:dyDescent="0.2">
      <c r="B1268" s="11"/>
    </row>
    <row r="1269" spans="2:2" ht="15.75" customHeight="1" x14ac:dyDescent="0.2">
      <c r="B1269" s="11"/>
    </row>
    <row r="1270" spans="2:2" ht="15.75" customHeight="1" x14ac:dyDescent="0.2">
      <c r="B1270" s="11"/>
    </row>
    <row r="1271" spans="2:2" ht="15.75" customHeight="1" x14ac:dyDescent="0.2">
      <c r="B1271" s="11"/>
    </row>
    <row r="1272" spans="2:2" ht="15.75" customHeight="1" x14ac:dyDescent="0.2">
      <c r="B1272" s="11"/>
    </row>
    <row r="1273" spans="2:2" ht="15.75" customHeight="1" x14ac:dyDescent="0.2">
      <c r="B1273" s="11"/>
    </row>
    <row r="1274" spans="2:2" ht="15.75" customHeight="1" x14ac:dyDescent="0.2">
      <c r="B1274" s="11"/>
    </row>
    <row r="1275" spans="2:2" ht="15.75" customHeight="1" x14ac:dyDescent="0.2">
      <c r="B1275" s="11"/>
    </row>
    <row r="1276" spans="2:2" ht="15.75" customHeight="1" x14ac:dyDescent="0.2">
      <c r="B1276" s="11"/>
    </row>
    <row r="1277" spans="2:2" ht="15.75" customHeight="1" x14ac:dyDescent="0.2">
      <c r="B1277" s="11"/>
    </row>
    <row r="1278" spans="2:2" ht="15.75" customHeight="1" x14ac:dyDescent="0.2">
      <c r="B1278" s="11"/>
    </row>
    <row r="1279" spans="2:2" ht="15.75" customHeight="1" x14ac:dyDescent="0.2">
      <c r="B1279" s="11"/>
    </row>
    <row r="1280" spans="2:2" ht="15.75" customHeight="1" x14ac:dyDescent="0.2">
      <c r="B1280" s="11"/>
    </row>
    <row r="1281" spans="2:2" ht="15.75" customHeight="1" x14ac:dyDescent="0.2">
      <c r="B1281" s="11"/>
    </row>
    <row r="1282" spans="2:2" ht="15.75" customHeight="1" x14ac:dyDescent="0.2">
      <c r="B1282" s="11"/>
    </row>
    <row r="1283" spans="2:2" ht="15.75" customHeight="1" x14ac:dyDescent="0.2">
      <c r="B1283" s="11"/>
    </row>
    <row r="1284" spans="2:2" ht="15.75" customHeight="1" x14ac:dyDescent="0.2">
      <c r="B1284" s="11"/>
    </row>
    <row r="1285" spans="2:2" ht="15.75" customHeight="1" x14ac:dyDescent="0.2">
      <c r="B1285" s="11"/>
    </row>
    <row r="1286" spans="2:2" ht="15.75" customHeight="1" x14ac:dyDescent="0.2">
      <c r="B1286" s="11"/>
    </row>
    <row r="1287" spans="2:2" ht="15.75" customHeight="1" x14ac:dyDescent="0.2">
      <c r="B1287" s="11"/>
    </row>
    <row r="1288" spans="2:2" ht="15.75" customHeight="1" x14ac:dyDescent="0.2">
      <c r="B1288" s="11"/>
    </row>
    <row r="1289" spans="2:2" ht="15.75" customHeight="1" x14ac:dyDescent="0.2">
      <c r="B1289" s="11"/>
    </row>
    <row r="1290" spans="2:2" ht="15.75" customHeight="1" x14ac:dyDescent="0.2">
      <c r="B1290" s="11"/>
    </row>
    <row r="1291" spans="2:2" ht="15.75" customHeight="1" x14ac:dyDescent="0.2">
      <c r="B1291" s="11"/>
    </row>
    <row r="1292" spans="2:2" ht="15.75" customHeight="1" x14ac:dyDescent="0.2">
      <c r="B1292" s="11"/>
    </row>
    <row r="1293" spans="2:2" ht="15.75" customHeight="1" x14ac:dyDescent="0.2">
      <c r="B1293" s="11"/>
    </row>
    <row r="1294" spans="2:2" ht="15.75" customHeight="1" x14ac:dyDescent="0.2">
      <c r="B1294" s="11"/>
    </row>
    <row r="1295" spans="2:2" ht="15.75" customHeight="1" x14ac:dyDescent="0.2">
      <c r="B1295" s="11"/>
    </row>
    <row r="1296" spans="2:2" ht="15.75" customHeight="1" x14ac:dyDescent="0.2">
      <c r="B1296" s="11"/>
    </row>
    <row r="1297" spans="2:2" ht="15.75" customHeight="1" x14ac:dyDescent="0.2">
      <c r="B1297" s="11"/>
    </row>
    <row r="1298" spans="2:2" ht="15.75" customHeight="1" x14ac:dyDescent="0.2">
      <c r="B1298" s="11"/>
    </row>
    <row r="1299" spans="2:2" ht="15.75" customHeight="1" x14ac:dyDescent="0.2">
      <c r="B1299" s="11"/>
    </row>
    <row r="1300" spans="2:2" ht="15.75" customHeight="1" x14ac:dyDescent="0.2">
      <c r="B1300" s="11"/>
    </row>
    <row r="1301" spans="2:2" ht="15.75" customHeight="1" x14ac:dyDescent="0.2">
      <c r="B1301" s="11"/>
    </row>
    <row r="1302" spans="2:2" ht="15.75" customHeight="1" x14ac:dyDescent="0.2">
      <c r="B1302" s="11"/>
    </row>
    <row r="1303" spans="2:2" ht="15.75" customHeight="1" x14ac:dyDescent="0.2">
      <c r="B1303" s="11"/>
    </row>
    <row r="1304" spans="2:2" ht="15.75" customHeight="1" x14ac:dyDescent="0.2">
      <c r="B1304" s="11"/>
    </row>
    <row r="1305" spans="2:2" ht="15.75" customHeight="1" x14ac:dyDescent="0.2">
      <c r="B1305" s="11"/>
    </row>
    <row r="1306" spans="2:2" ht="15.75" customHeight="1" x14ac:dyDescent="0.2">
      <c r="B1306" s="11"/>
    </row>
    <row r="1307" spans="2:2" ht="15.75" customHeight="1" x14ac:dyDescent="0.2">
      <c r="B1307" s="11"/>
    </row>
    <row r="1308" spans="2:2" ht="15.75" customHeight="1" x14ac:dyDescent="0.2">
      <c r="B1308" s="11"/>
    </row>
    <row r="1309" spans="2:2" ht="15.75" customHeight="1" x14ac:dyDescent="0.2">
      <c r="B1309" s="11"/>
    </row>
    <row r="1310" spans="2:2" ht="15.75" customHeight="1" x14ac:dyDescent="0.2">
      <c r="B1310" s="11"/>
    </row>
    <row r="1311" spans="2:2" ht="15.75" customHeight="1" x14ac:dyDescent="0.2">
      <c r="B1311" s="11"/>
    </row>
    <row r="1312" spans="2:2" ht="15.75" customHeight="1" x14ac:dyDescent="0.2">
      <c r="B1312" s="11"/>
    </row>
    <row r="1313" spans="2:2" ht="15.75" customHeight="1" x14ac:dyDescent="0.2">
      <c r="B1313" s="11"/>
    </row>
    <row r="1314" spans="2:2" ht="15.75" customHeight="1" x14ac:dyDescent="0.2">
      <c r="B1314" s="11"/>
    </row>
    <row r="1315" spans="2:2" ht="15.75" customHeight="1" x14ac:dyDescent="0.2">
      <c r="B1315" s="11"/>
    </row>
    <row r="1316" spans="2:2" ht="15.75" customHeight="1" x14ac:dyDescent="0.2">
      <c r="B1316" s="11"/>
    </row>
    <row r="1317" spans="2:2" ht="15.75" customHeight="1" x14ac:dyDescent="0.2">
      <c r="B1317" s="11"/>
    </row>
    <row r="1318" spans="2:2" ht="15.75" customHeight="1" x14ac:dyDescent="0.2">
      <c r="B1318" s="11"/>
    </row>
    <row r="1319" spans="2:2" ht="15.75" customHeight="1" x14ac:dyDescent="0.2">
      <c r="B1319" s="11"/>
    </row>
    <row r="1320" spans="2:2" ht="15.75" customHeight="1" x14ac:dyDescent="0.2">
      <c r="B1320" s="11"/>
    </row>
    <row r="1321" spans="2:2" ht="15.75" customHeight="1" x14ac:dyDescent="0.2">
      <c r="B1321" s="11"/>
    </row>
    <row r="1322" spans="2:2" ht="15.75" customHeight="1" x14ac:dyDescent="0.2">
      <c r="B1322" s="11"/>
    </row>
    <row r="1323" spans="2:2" ht="15.75" customHeight="1" x14ac:dyDescent="0.2">
      <c r="B1323" s="11"/>
    </row>
    <row r="1324" spans="2:2" ht="15.75" customHeight="1" x14ac:dyDescent="0.2">
      <c r="B1324" s="11"/>
    </row>
    <row r="1325" spans="2:2" ht="15.75" customHeight="1" x14ac:dyDescent="0.2">
      <c r="B1325" s="11"/>
    </row>
    <row r="1326" spans="2:2" ht="15.75" customHeight="1" x14ac:dyDescent="0.2">
      <c r="B1326" s="11"/>
    </row>
    <row r="1327" spans="2:2" ht="15.75" customHeight="1" x14ac:dyDescent="0.2">
      <c r="B1327" s="11"/>
    </row>
    <row r="1328" spans="2:2" ht="15.75" customHeight="1" x14ac:dyDescent="0.2">
      <c r="B1328" s="11"/>
    </row>
    <row r="1329" spans="2:2" ht="15.75" customHeight="1" x14ac:dyDescent="0.2">
      <c r="B1329" s="11"/>
    </row>
    <row r="1330" spans="2:2" ht="15.75" customHeight="1" x14ac:dyDescent="0.2">
      <c r="B1330" s="11"/>
    </row>
    <row r="1331" spans="2:2" ht="15.75" customHeight="1" x14ac:dyDescent="0.2">
      <c r="B1331" s="11"/>
    </row>
    <row r="1332" spans="2:2" ht="15.75" customHeight="1" x14ac:dyDescent="0.2">
      <c r="B1332" s="11"/>
    </row>
    <row r="1333" spans="2:2" ht="15.75" customHeight="1" x14ac:dyDescent="0.2">
      <c r="B1333" s="11"/>
    </row>
    <row r="1334" spans="2:2" ht="15.75" customHeight="1" x14ac:dyDescent="0.2">
      <c r="B1334" s="11"/>
    </row>
    <row r="1335" spans="2:2" ht="15.75" customHeight="1" x14ac:dyDescent="0.2">
      <c r="B1335" s="11"/>
    </row>
    <row r="1336" spans="2:2" ht="15.75" customHeight="1" x14ac:dyDescent="0.2">
      <c r="B1336" s="11"/>
    </row>
    <row r="1337" spans="2:2" ht="15.75" customHeight="1" x14ac:dyDescent="0.2">
      <c r="B1337" s="11"/>
    </row>
    <row r="1338" spans="2:2" ht="15.75" customHeight="1" x14ac:dyDescent="0.2">
      <c r="B1338" s="11"/>
    </row>
    <row r="1339" spans="2:2" ht="15.75" customHeight="1" x14ac:dyDescent="0.2">
      <c r="B1339" s="11"/>
    </row>
    <row r="1340" spans="2:2" ht="15.75" customHeight="1" x14ac:dyDescent="0.2">
      <c r="B1340" s="11"/>
    </row>
    <row r="1341" spans="2:2" ht="15.75" customHeight="1" x14ac:dyDescent="0.2">
      <c r="B1341" s="11"/>
    </row>
    <row r="1342" spans="2:2" ht="15.75" customHeight="1" x14ac:dyDescent="0.2">
      <c r="B1342" s="11"/>
    </row>
    <row r="1343" spans="2:2" ht="15.75" customHeight="1" x14ac:dyDescent="0.2">
      <c r="B1343" s="11"/>
    </row>
    <row r="1344" spans="2:2" ht="15.75" customHeight="1" x14ac:dyDescent="0.2">
      <c r="B1344" s="11"/>
    </row>
    <row r="1345" spans="2:2" ht="15.75" customHeight="1" x14ac:dyDescent="0.2">
      <c r="B1345" s="11"/>
    </row>
    <row r="1346" spans="2:2" ht="15.75" customHeight="1" x14ac:dyDescent="0.2">
      <c r="B1346" s="11"/>
    </row>
    <row r="1347" spans="2:2" ht="15.75" customHeight="1" x14ac:dyDescent="0.2">
      <c r="B1347" s="11"/>
    </row>
    <row r="1348" spans="2:2" ht="15.75" customHeight="1" x14ac:dyDescent="0.2">
      <c r="B1348" s="11"/>
    </row>
    <row r="1349" spans="2:2" ht="15.75" customHeight="1" x14ac:dyDescent="0.2">
      <c r="B1349" s="11"/>
    </row>
    <row r="1350" spans="2:2" ht="15.75" customHeight="1" x14ac:dyDescent="0.2">
      <c r="B1350" s="11"/>
    </row>
    <row r="1351" spans="2:2" ht="15.75" customHeight="1" x14ac:dyDescent="0.2">
      <c r="B1351" s="11"/>
    </row>
    <row r="1352" spans="2:2" ht="15.75" customHeight="1" x14ac:dyDescent="0.2">
      <c r="B1352" s="11"/>
    </row>
    <row r="1353" spans="2:2" ht="15.75" customHeight="1" x14ac:dyDescent="0.2">
      <c r="B1353" s="11"/>
    </row>
    <row r="1354" spans="2:2" ht="15.75" customHeight="1" x14ac:dyDescent="0.2">
      <c r="B1354" s="11"/>
    </row>
    <row r="1355" spans="2:2" ht="15.75" customHeight="1" x14ac:dyDescent="0.2">
      <c r="B1355" s="11"/>
    </row>
    <row r="1356" spans="2:2" ht="15.75" customHeight="1" x14ac:dyDescent="0.2">
      <c r="B1356" s="11"/>
    </row>
    <row r="1357" spans="2:2" ht="15.75" customHeight="1" x14ac:dyDescent="0.2">
      <c r="B1357" s="11"/>
    </row>
    <row r="1358" spans="2:2" ht="15.75" customHeight="1" x14ac:dyDescent="0.2">
      <c r="B1358" s="11"/>
    </row>
    <row r="1359" spans="2:2" ht="15.75" customHeight="1" x14ac:dyDescent="0.2">
      <c r="B1359" s="11"/>
    </row>
    <row r="1360" spans="2:2" ht="15.75" customHeight="1" x14ac:dyDescent="0.2">
      <c r="B1360" s="11"/>
    </row>
    <row r="1361" spans="2:2" ht="15.75" customHeight="1" x14ac:dyDescent="0.2">
      <c r="B1361" s="11"/>
    </row>
    <row r="1362" spans="2:2" ht="15.75" customHeight="1" x14ac:dyDescent="0.2">
      <c r="B1362" s="11"/>
    </row>
    <row r="1363" spans="2:2" ht="15.75" customHeight="1" x14ac:dyDescent="0.2">
      <c r="B1363" s="11"/>
    </row>
    <row r="1364" spans="2:2" ht="15.75" customHeight="1" x14ac:dyDescent="0.2">
      <c r="B1364" s="11"/>
    </row>
    <row r="1365" spans="2:2" ht="15.75" customHeight="1" x14ac:dyDescent="0.2">
      <c r="B1365" s="11"/>
    </row>
    <row r="1366" spans="2:2" ht="15.75" customHeight="1" x14ac:dyDescent="0.2">
      <c r="B1366" s="11"/>
    </row>
    <row r="1367" spans="2:2" ht="15.75" customHeight="1" x14ac:dyDescent="0.2">
      <c r="B1367" s="11"/>
    </row>
    <row r="1368" spans="2:2" ht="15.75" customHeight="1" x14ac:dyDescent="0.2">
      <c r="B1368" s="11"/>
    </row>
    <row r="1369" spans="2:2" ht="15.75" customHeight="1" x14ac:dyDescent="0.2">
      <c r="B1369" s="11"/>
    </row>
    <row r="1370" spans="2:2" ht="15.75" customHeight="1" x14ac:dyDescent="0.2">
      <c r="B1370" s="11"/>
    </row>
    <row r="1371" spans="2:2" ht="15.75" customHeight="1" x14ac:dyDescent="0.2">
      <c r="B1371" s="11"/>
    </row>
    <row r="1372" spans="2:2" ht="15.75" customHeight="1" x14ac:dyDescent="0.2">
      <c r="B1372" s="11"/>
    </row>
    <row r="1373" spans="2:2" ht="15.75" customHeight="1" x14ac:dyDescent="0.2">
      <c r="B1373" s="11"/>
    </row>
    <row r="1374" spans="2:2" ht="15.75" customHeight="1" x14ac:dyDescent="0.2">
      <c r="B1374" s="11"/>
    </row>
    <row r="1375" spans="2:2" ht="15.75" customHeight="1" x14ac:dyDescent="0.2">
      <c r="B1375" s="11"/>
    </row>
    <row r="1376" spans="2:2" ht="15.75" customHeight="1" x14ac:dyDescent="0.2">
      <c r="B1376" s="11"/>
    </row>
    <row r="1377" spans="2:2" ht="15.75" customHeight="1" x14ac:dyDescent="0.2">
      <c r="B1377" s="11"/>
    </row>
    <row r="1378" spans="2:2" ht="15.75" customHeight="1" x14ac:dyDescent="0.2">
      <c r="B1378" s="11"/>
    </row>
    <row r="1379" spans="2:2" ht="15.75" customHeight="1" x14ac:dyDescent="0.2">
      <c r="B1379" s="11"/>
    </row>
    <row r="1380" spans="2:2" ht="15.75" customHeight="1" x14ac:dyDescent="0.2">
      <c r="B1380" s="11"/>
    </row>
    <row r="1381" spans="2:2" ht="15.75" customHeight="1" x14ac:dyDescent="0.2">
      <c r="B1381" s="11"/>
    </row>
    <row r="1382" spans="2:2" ht="15.75" customHeight="1" x14ac:dyDescent="0.2">
      <c r="B1382" s="11"/>
    </row>
    <row r="1383" spans="2:2" ht="15.75" customHeight="1" x14ac:dyDescent="0.2">
      <c r="B1383" s="11"/>
    </row>
    <row r="1384" spans="2:2" ht="15.75" customHeight="1" x14ac:dyDescent="0.2">
      <c r="B1384" s="11"/>
    </row>
    <row r="1385" spans="2:2" ht="15.75" customHeight="1" x14ac:dyDescent="0.2">
      <c r="B1385" s="11"/>
    </row>
    <row r="1386" spans="2:2" ht="15.75" customHeight="1" x14ac:dyDescent="0.2">
      <c r="B1386" s="11"/>
    </row>
    <row r="1387" spans="2:2" ht="15.75" customHeight="1" x14ac:dyDescent="0.2">
      <c r="B1387" s="11"/>
    </row>
    <row r="1388" spans="2:2" ht="15.75" customHeight="1" x14ac:dyDescent="0.2">
      <c r="B1388" s="11"/>
    </row>
    <row r="1389" spans="2:2" ht="15.75" customHeight="1" x14ac:dyDescent="0.2">
      <c r="B1389" s="11"/>
    </row>
    <row r="1390" spans="2:2" ht="15.75" customHeight="1" x14ac:dyDescent="0.2">
      <c r="B1390" s="11"/>
    </row>
    <row r="1391" spans="2:2" ht="15.75" customHeight="1" x14ac:dyDescent="0.2">
      <c r="B1391" s="11"/>
    </row>
    <row r="1392" spans="2:2" ht="15.75" customHeight="1" x14ac:dyDescent="0.2">
      <c r="B1392" s="11"/>
    </row>
    <row r="1393" spans="2:2" ht="15.75" customHeight="1" x14ac:dyDescent="0.2">
      <c r="B1393" s="11"/>
    </row>
    <row r="1394" spans="2:2" ht="15.75" customHeight="1" x14ac:dyDescent="0.2">
      <c r="B1394" s="11"/>
    </row>
    <row r="1395" spans="2:2" ht="15.75" customHeight="1" x14ac:dyDescent="0.2">
      <c r="B1395" s="11"/>
    </row>
    <row r="1396" spans="2:2" ht="15.75" customHeight="1" x14ac:dyDescent="0.2">
      <c r="B1396" s="11"/>
    </row>
    <row r="1397" spans="2:2" ht="15.75" customHeight="1" x14ac:dyDescent="0.2">
      <c r="B1397" s="11"/>
    </row>
    <row r="1398" spans="2:2" ht="15.75" customHeight="1" x14ac:dyDescent="0.2">
      <c r="B1398" s="11"/>
    </row>
    <row r="1399" spans="2:2" ht="15.75" customHeight="1" x14ac:dyDescent="0.2">
      <c r="B1399" s="11"/>
    </row>
    <row r="1400" spans="2:2" ht="15.75" customHeight="1" x14ac:dyDescent="0.2">
      <c r="B1400" s="11"/>
    </row>
    <row r="1401" spans="2:2" ht="15.75" customHeight="1" x14ac:dyDescent="0.2">
      <c r="B1401" s="11"/>
    </row>
    <row r="1402" spans="2:2" ht="15.75" customHeight="1" x14ac:dyDescent="0.2">
      <c r="B1402" s="11"/>
    </row>
    <row r="1403" spans="2:2" ht="15.75" customHeight="1" x14ac:dyDescent="0.2">
      <c r="B1403" s="11"/>
    </row>
    <row r="1404" spans="2:2" ht="15.75" customHeight="1" x14ac:dyDescent="0.2">
      <c r="B1404" s="11"/>
    </row>
    <row r="1405" spans="2:2" ht="15.75" customHeight="1" x14ac:dyDescent="0.2">
      <c r="B1405" s="11"/>
    </row>
    <row r="1406" spans="2:2" ht="15.75" customHeight="1" x14ac:dyDescent="0.2">
      <c r="B1406" s="11"/>
    </row>
    <row r="1407" spans="2:2" ht="15.75" customHeight="1" x14ac:dyDescent="0.2">
      <c r="B1407" s="11"/>
    </row>
    <row r="1408" spans="2:2" ht="15.75" customHeight="1" x14ac:dyDescent="0.2">
      <c r="B1408" s="11"/>
    </row>
    <row r="1409" spans="2:2" ht="15.75" customHeight="1" x14ac:dyDescent="0.2">
      <c r="B1409" s="11"/>
    </row>
    <row r="1410" spans="2:2" ht="15.75" customHeight="1" x14ac:dyDescent="0.2">
      <c r="B1410" s="11"/>
    </row>
    <row r="1411" spans="2:2" ht="15.75" customHeight="1" x14ac:dyDescent="0.2">
      <c r="B1411" s="11"/>
    </row>
    <row r="1412" spans="2:2" ht="15.75" customHeight="1" x14ac:dyDescent="0.2">
      <c r="B1412" s="11"/>
    </row>
    <row r="1413" spans="2:2" ht="15.75" customHeight="1" x14ac:dyDescent="0.2">
      <c r="B1413" s="11"/>
    </row>
    <row r="1414" spans="2:2" ht="15.75" customHeight="1" x14ac:dyDescent="0.2">
      <c r="B1414" s="11"/>
    </row>
    <row r="1415" spans="2:2" ht="15.75" customHeight="1" x14ac:dyDescent="0.2">
      <c r="B1415" s="11"/>
    </row>
    <row r="1416" spans="2:2" ht="15.75" customHeight="1" x14ac:dyDescent="0.2">
      <c r="B1416" s="11"/>
    </row>
    <row r="1417" spans="2:2" ht="15.75" customHeight="1" x14ac:dyDescent="0.2">
      <c r="B1417" s="11"/>
    </row>
    <row r="1418" spans="2:2" ht="15.75" customHeight="1" x14ac:dyDescent="0.2">
      <c r="B1418" s="11"/>
    </row>
    <row r="1419" spans="2:2" ht="15.75" customHeight="1" x14ac:dyDescent="0.2">
      <c r="B1419" s="11"/>
    </row>
    <row r="1420" spans="2:2" ht="15.75" customHeight="1" x14ac:dyDescent="0.2">
      <c r="B1420" s="11"/>
    </row>
    <row r="1421" spans="2:2" ht="15.75" customHeight="1" x14ac:dyDescent="0.2">
      <c r="B1421" s="11"/>
    </row>
    <row r="1422" spans="2:2" ht="15.75" customHeight="1" x14ac:dyDescent="0.2">
      <c r="B1422" s="11"/>
    </row>
    <row r="1423" spans="2:2" ht="15.75" customHeight="1" x14ac:dyDescent="0.2">
      <c r="B1423" s="11"/>
    </row>
    <row r="1424" spans="2:2" ht="15.75" customHeight="1" x14ac:dyDescent="0.2">
      <c r="B1424" s="11"/>
    </row>
    <row r="1425" spans="2:2" ht="15.75" customHeight="1" x14ac:dyDescent="0.2">
      <c r="B1425" s="11"/>
    </row>
    <row r="1426" spans="2:2" ht="15.75" customHeight="1" x14ac:dyDescent="0.2">
      <c r="B1426" s="11"/>
    </row>
    <row r="1427" spans="2:2" ht="15.75" customHeight="1" x14ac:dyDescent="0.2">
      <c r="B1427" s="11"/>
    </row>
    <row r="1428" spans="2:2" ht="15.75" customHeight="1" x14ac:dyDescent="0.2">
      <c r="B1428" s="11"/>
    </row>
    <row r="1429" spans="2:2" ht="15.75" customHeight="1" x14ac:dyDescent="0.2">
      <c r="B1429" s="11"/>
    </row>
    <row r="1430" spans="2:2" ht="15.75" customHeight="1" x14ac:dyDescent="0.2">
      <c r="B1430" s="11"/>
    </row>
    <row r="1431" spans="2:2" ht="15.75" customHeight="1" x14ac:dyDescent="0.2">
      <c r="B1431" s="11"/>
    </row>
    <row r="1432" spans="2:2" ht="15.75" customHeight="1" x14ac:dyDescent="0.2">
      <c r="B1432" s="11"/>
    </row>
    <row r="1433" spans="2:2" ht="15.75" customHeight="1" x14ac:dyDescent="0.2">
      <c r="B1433" s="11"/>
    </row>
    <row r="1434" spans="2:2" ht="15.75" customHeight="1" x14ac:dyDescent="0.2">
      <c r="B1434" s="11"/>
    </row>
    <row r="1435" spans="2:2" ht="15.75" customHeight="1" x14ac:dyDescent="0.2">
      <c r="B1435" s="11"/>
    </row>
    <row r="1436" spans="2:2" ht="15.75" customHeight="1" x14ac:dyDescent="0.2">
      <c r="B1436" s="11"/>
    </row>
    <row r="1437" spans="2:2" ht="15.75" customHeight="1" x14ac:dyDescent="0.2">
      <c r="B1437" s="11"/>
    </row>
    <row r="1438" spans="2:2" ht="15.75" customHeight="1" x14ac:dyDescent="0.2">
      <c r="B1438" s="11"/>
    </row>
    <row r="1439" spans="2:2" ht="15.75" customHeight="1" x14ac:dyDescent="0.2">
      <c r="B1439" s="11"/>
    </row>
    <row r="1440" spans="2:2" ht="15.75" customHeight="1" x14ac:dyDescent="0.2">
      <c r="B1440" s="11"/>
    </row>
    <row r="1441" spans="2:2" ht="15.75" customHeight="1" x14ac:dyDescent="0.2">
      <c r="B1441" s="11"/>
    </row>
    <row r="1442" spans="2:2" ht="15.75" customHeight="1" x14ac:dyDescent="0.2">
      <c r="B1442" s="11"/>
    </row>
    <row r="1443" spans="2:2" ht="15.75" customHeight="1" x14ac:dyDescent="0.2">
      <c r="B1443" s="11"/>
    </row>
    <row r="1444" spans="2:2" ht="15.75" customHeight="1" x14ac:dyDescent="0.2">
      <c r="B1444" s="11"/>
    </row>
    <row r="1445" spans="2:2" ht="15.75" customHeight="1" x14ac:dyDescent="0.2">
      <c r="B1445" s="11"/>
    </row>
    <row r="1446" spans="2:2" ht="15.75" customHeight="1" x14ac:dyDescent="0.2">
      <c r="B1446" s="11"/>
    </row>
    <row r="1447" spans="2:2" ht="15.75" customHeight="1" x14ac:dyDescent="0.2">
      <c r="B1447" s="11"/>
    </row>
    <row r="1448" spans="2:2" ht="15.75" customHeight="1" x14ac:dyDescent="0.2">
      <c r="B1448" s="11"/>
    </row>
    <row r="1449" spans="2:2" ht="15.75" customHeight="1" x14ac:dyDescent="0.2">
      <c r="B1449" s="11"/>
    </row>
    <row r="1450" spans="2:2" ht="15.75" customHeight="1" x14ac:dyDescent="0.2">
      <c r="B1450" s="11"/>
    </row>
    <row r="1451" spans="2:2" ht="15.75" customHeight="1" x14ac:dyDescent="0.2">
      <c r="B1451" s="11"/>
    </row>
    <row r="1452" spans="2:2" ht="15.75" customHeight="1" x14ac:dyDescent="0.2">
      <c r="B1452" s="11"/>
    </row>
    <row r="1453" spans="2:2" ht="15.75" customHeight="1" x14ac:dyDescent="0.2">
      <c r="B1453" s="11"/>
    </row>
    <row r="1454" spans="2:2" ht="15.75" customHeight="1" x14ac:dyDescent="0.2">
      <c r="B1454" s="11"/>
    </row>
    <row r="1455" spans="2:2" ht="15.75" customHeight="1" x14ac:dyDescent="0.2">
      <c r="B1455" s="11"/>
    </row>
    <row r="1456" spans="2:2" ht="15.75" customHeight="1" x14ac:dyDescent="0.2">
      <c r="B1456" s="11"/>
    </row>
    <row r="1457" spans="2:2" ht="15.75" customHeight="1" x14ac:dyDescent="0.2">
      <c r="B1457" s="11"/>
    </row>
    <row r="1458" spans="2:2" ht="15.75" customHeight="1" x14ac:dyDescent="0.2">
      <c r="B1458" s="11"/>
    </row>
    <row r="1459" spans="2:2" ht="15.75" customHeight="1" x14ac:dyDescent="0.2">
      <c r="B1459" s="11"/>
    </row>
    <row r="1460" spans="2:2" ht="15.75" customHeight="1" x14ac:dyDescent="0.2">
      <c r="B1460" s="11"/>
    </row>
    <row r="1461" spans="2:2" ht="15.75" customHeight="1" x14ac:dyDescent="0.2">
      <c r="B1461" s="11"/>
    </row>
    <row r="1462" spans="2:2" ht="15.75" customHeight="1" x14ac:dyDescent="0.2">
      <c r="B1462" s="11"/>
    </row>
    <row r="1463" spans="2:2" ht="15.75" customHeight="1" x14ac:dyDescent="0.2">
      <c r="B1463" s="11"/>
    </row>
    <row r="1464" spans="2:2" ht="15.75" customHeight="1" x14ac:dyDescent="0.2">
      <c r="B1464" s="11"/>
    </row>
    <row r="1465" spans="2:2" ht="15.75" customHeight="1" x14ac:dyDescent="0.2">
      <c r="B1465" s="11"/>
    </row>
    <row r="1466" spans="2:2" ht="15.75" customHeight="1" x14ac:dyDescent="0.2">
      <c r="B1466" s="11"/>
    </row>
    <row r="1467" spans="2:2" ht="15.75" customHeight="1" x14ac:dyDescent="0.2">
      <c r="B1467" s="11"/>
    </row>
    <row r="1468" spans="2:2" ht="15.75" customHeight="1" x14ac:dyDescent="0.2">
      <c r="B1468" s="11"/>
    </row>
    <row r="1469" spans="2:2" ht="15.75" customHeight="1" x14ac:dyDescent="0.2">
      <c r="B1469" s="11"/>
    </row>
    <row r="1470" spans="2:2" ht="15.75" customHeight="1" x14ac:dyDescent="0.2">
      <c r="B1470" s="11"/>
    </row>
    <row r="1471" spans="2:2" ht="15.75" customHeight="1" x14ac:dyDescent="0.2">
      <c r="B1471" s="11"/>
    </row>
    <row r="1472" spans="2:2" ht="15.75" customHeight="1" x14ac:dyDescent="0.2">
      <c r="B1472" s="11"/>
    </row>
    <row r="1473" spans="2:2" ht="15.75" customHeight="1" x14ac:dyDescent="0.2">
      <c r="B1473" s="11"/>
    </row>
    <row r="1474" spans="2:2" ht="15.75" customHeight="1" x14ac:dyDescent="0.2">
      <c r="B1474" s="11"/>
    </row>
    <row r="1475" spans="2:2" ht="15.75" customHeight="1" x14ac:dyDescent="0.2">
      <c r="B1475" s="11"/>
    </row>
    <row r="1476" spans="2:2" ht="15.75" customHeight="1" x14ac:dyDescent="0.2">
      <c r="B1476" s="11"/>
    </row>
    <row r="1477" spans="2:2" ht="15.75" customHeight="1" x14ac:dyDescent="0.2">
      <c r="B1477" s="11"/>
    </row>
    <row r="1478" spans="2:2" ht="15.75" customHeight="1" x14ac:dyDescent="0.2">
      <c r="B1478" s="11"/>
    </row>
    <row r="1479" spans="2:2" ht="15.75" customHeight="1" x14ac:dyDescent="0.2">
      <c r="B1479" s="11"/>
    </row>
    <row r="1480" spans="2:2" ht="15.75" customHeight="1" x14ac:dyDescent="0.2">
      <c r="B1480" s="11"/>
    </row>
    <row r="1481" spans="2:2" ht="15.75" customHeight="1" x14ac:dyDescent="0.2">
      <c r="B1481" s="11"/>
    </row>
    <row r="1482" spans="2:2" ht="15.75" customHeight="1" x14ac:dyDescent="0.2">
      <c r="B1482" s="11"/>
    </row>
    <row r="1483" spans="2:2" ht="15.75" customHeight="1" x14ac:dyDescent="0.2">
      <c r="B1483" s="11"/>
    </row>
    <row r="1484" spans="2:2" ht="15.75" customHeight="1" x14ac:dyDescent="0.2">
      <c r="B1484" s="11"/>
    </row>
    <row r="1485" spans="2:2" ht="15.75" customHeight="1" x14ac:dyDescent="0.2">
      <c r="B1485" s="11"/>
    </row>
    <row r="1486" spans="2:2" ht="15.75" customHeight="1" x14ac:dyDescent="0.2">
      <c r="B1486" s="11"/>
    </row>
    <row r="1487" spans="2:2" ht="15.75" customHeight="1" x14ac:dyDescent="0.2">
      <c r="B1487" s="11"/>
    </row>
    <row r="1488" spans="2:2" ht="15.75" customHeight="1" x14ac:dyDescent="0.2">
      <c r="B1488" s="11"/>
    </row>
    <row r="1489" spans="2:2" ht="15.75" customHeight="1" x14ac:dyDescent="0.2">
      <c r="B1489" s="11"/>
    </row>
    <row r="1490" spans="2:2" ht="15.75" customHeight="1" x14ac:dyDescent="0.2">
      <c r="B1490" s="11"/>
    </row>
    <row r="1491" spans="2:2" ht="15.75" customHeight="1" x14ac:dyDescent="0.2">
      <c r="B1491" s="11"/>
    </row>
    <row r="1492" spans="2:2" ht="15.75" customHeight="1" x14ac:dyDescent="0.2">
      <c r="B1492" s="11"/>
    </row>
    <row r="1493" spans="2:2" ht="15.75" customHeight="1" x14ac:dyDescent="0.2">
      <c r="B1493" s="11"/>
    </row>
    <row r="1494" spans="2:2" ht="15.75" customHeight="1" x14ac:dyDescent="0.2">
      <c r="B1494" s="11"/>
    </row>
    <row r="1495" spans="2:2" ht="15.75" customHeight="1" x14ac:dyDescent="0.2">
      <c r="B1495" s="11"/>
    </row>
    <row r="1496" spans="2:2" ht="15.75" customHeight="1" x14ac:dyDescent="0.2">
      <c r="B1496" s="11"/>
    </row>
    <row r="1497" spans="2:2" ht="15.75" customHeight="1" x14ac:dyDescent="0.2">
      <c r="B1497" s="11"/>
    </row>
    <row r="1498" spans="2:2" ht="15.75" customHeight="1" x14ac:dyDescent="0.2">
      <c r="B1498" s="11"/>
    </row>
    <row r="1499" spans="2:2" ht="15.75" customHeight="1" x14ac:dyDescent="0.2">
      <c r="B1499" s="11"/>
    </row>
    <row r="1500" spans="2:2" ht="15.75" customHeight="1" x14ac:dyDescent="0.2">
      <c r="B1500" s="11"/>
    </row>
    <row r="1501" spans="2:2" ht="15.75" customHeight="1" x14ac:dyDescent="0.2">
      <c r="B1501" s="11"/>
    </row>
    <row r="1502" spans="2:2" ht="15.75" customHeight="1" x14ac:dyDescent="0.2">
      <c r="B1502" s="11"/>
    </row>
    <row r="1503" spans="2:2" ht="15.75" customHeight="1" x14ac:dyDescent="0.2">
      <c r="B1503" s="11"/>
    </row>
    <row r="1504" spans="2:2" ht="15.75" customHeight="1" x14ac:dyDescent="0.2">
      <c r="B1504" s="11"/>
    </row>
    <row r="1505" spans="2:2" ht="15.75" customHeight="1" x14ac:dyDescent="0.2">
      <c r="B1505" s="11"/>
    </row>
    <row r="1506" spans="2:2" ht="15.75" customHeight="1" x14ac:dyDescent="0.2">
      <c r="B1506" s="11"/>
    </row>
    <row r="1507" spans="2:2" ht="15.75" customHeight="1" x14ac:dyDescent="0.2">
      <c r="B1507" s="11"/>
    </row>
    <row r="1508" spans="2:2" ht="15.75" customHeight="1" x14ac:dyDescent="0.2">
      <c r="B1508" s="11"/>
    </row>
    <row r="1509" spans="2:2" ht="15.75" customHeight="1" x14ac:dyDescent="0.2">
      <c r="B1509" s="11"/>
    </row>
    <row r="1510" spans="2:2" ht="15.75" customHeight="1" x14ac:dyDescent="0.2">
      <c r="B1510" s="11"/>
    </row>
    <row r="1511" spans="2:2" ht="15.75" customHeight="1" x14ac:dyDescent="0.2">
      <c r="B1511" s="11"/>
    </row>
    <row r="1512" spans="2:2" ht="15.75" customHeight="1" x14ac:dyDescent="0.2">
      <c r="B1512" s="11"/>
    </row>
    <row r="1513" spans="2:2" ht="15.75" customHeight="1" x14ac:dyDescent="0.2">
      <c r="B1513" s="11"/>
    </row>
    <row r="1514" spans="2:2" ht="15.75" customHeight="1" x14ac:dyDescent="0.2">
      <c r="B1514" s="11"/>
    </row>
    <row r="1515" spans="2:2" ht="15.75" customHeight="1" x14ac:dyDescent="0.2">
      <c r="B1515" s="11"/>
    </row>
    <row r="1516" spans="2:2" ht="15.75" customHeight="1" x14ac:dyDescent="0.2">
      <c r="B1516" s="11"/>
    </row>
    <row r="1517" spans="2:2" ht="15.75" customHeight="1" x14ac:dyDescent="0.2">
      <c r="B1517" s="11"/>
    </row>
    <row r="1518" spans="2:2" ht="15.75" customHeight="1" x14ac:dyDescent="0.2">
      <c r="B1518" s="11"/>
    </row>
    <row r="1519" spans="2:2" ht="15.75" customHeight="1" x14ac:dyDescent="0.2">
      <c r="B1519" s="11"/>
    </row>
    <row r="1520" spans="2:2" ht="15.75" customHeight="1" x14ac:dyDescent="0.2">
      <c r="B1520" s="11"/>
    </row>
    <row r="1521" spans="2:2" ht="15.75" customHeight="1" x14ac:dyDescent="0.2">
      <c r="B1521" s="11"/>
    </row>
    <row r="1522" spans="2:2" ht="15.75" customHeight="1" x14ac:dyDescent="0.2">
      <c r="B1522" s="11"/>
    </row>
    <row r="1523" spans="2:2" ht="15.75" customHeight="1" x14ac:dyDescent="0.2">
      <c r="B1523" s="11"/>
    </row>
    <row r="1524" spans="2:2" ht="15.75" customHeight="1" x14ac:dyDescent="0.2">
      <c r="B1524" s="11"/>
    </row>
    <row r="1525" spans="2:2" ht="15.75" customHeight="1" x14ac:dyDescent="0.2">
      <c r="B1525" s="11"/>
    </row>
    <row r="1526" spans="2:2" ht="15.75" customHeight="1" x14ac:dyDescent="0.2">
      <c r="B1526" s="11"/>
    </row>
    <row r="1527" spans="2:2" ht="15.75" customHeight="1" x14ac:dyDescent="0.2">
      <c r="B1527" s="11"/>
    </row>
    <row r="1528" spans="2:2" ht="15.75" customHeight="1" x14ac:dyDescent="0.2">
      <c r="B1528" s="11"/>
    </row>
    <row r="1529" spans="2:2" ht="15.75" customHeight="1" x14ac:dyDescent="0.2">
      <c r="B1529" s="11"/>
    </row>
    <row r="1530" spans="2:2" ht="15.75" customHeight="1" x14ac:dyDescent="0.2">
      <c r="B1530" s="11"/>
    </row>
    <row r="1531" spans="2:2" ht="15.75" customHeight="1" x14ac:dyDescent="0.2">
      <c r="B1531" s="11"/>
    </row>
    <row r="1532" spans="2:2" ht="15.75" customHeight="1" x14ac:dyDescent="0.2">
      <c r="B1532" s="11"/>
    </row>
    <row r="1533" spans="2:2" ht="15.75" customHeight="1" x14ac:dyDescent="0.2">
      <c r="B1533" s="11"/>
    </row>
    <row r="1534" spans="2:2" ht="15.75" customHeight="1" x14ac:dyDescent="0.2">
      <c r="B1534" s="11"/>
    </row>
    <row r="1535" spans="2:2" ht="15.75" customHeight="1" x14ac:dyDescent="0.2">
      <c r="B1535" s="11"/>
    </row>
    <row r="1536" spans="2:2" ht="15.75" customHeight="1" x14ac:dyDescent="0.2">
      <c r="B1536" s="11"/>
    </row>
    <row r="1537" spans="2:2" ht="15.75" customHeight="1" x14ac:dyDescent="0.2">
      <c r="B1537" s="11"/>
    </row>
    <row r="1538" spans="2:2" ht="15.75" customHeight="1" x14ac:dyDescent="0.2">
      <c r="B1538" s="11"/>
    </row>
    <row r="1539" spans="2:2" ht="15.75" customHeight="1" x14ac:dyDescent="0.2">
      <c r="B1539" s="11"/>
    </row>
    <row r="1540" spans="2:2" ht="15.75" customHeight="1" x14ac:dyDescent="0.2">
      <c r="B1540" s="11"/>
    </row>
    <row r="1541" spans="2:2" ht="15.75" customHeight="1" x14ac:dyDescent="0.2">
      <c r="B1541" s="11"/>
    </row>
    <row r="1542" spans="2:2" ht="15.75" customHeight="1" x14ac:dyDescent="0.2">
      <c r="B1542" s="11"/>
    </row>
    <row r="1543" spans="2:2" ht="15.75" customHeight="1" x14ac:dyDescent="0.2">
      <c r="B1543" s="11"/>
    </row>
    <row r="1544" spans="2:2" ht="15.75" customHeight="1" x14ac:dyDescent="0.2">
      <c r="B1544" s="11"/>
    </row>
    <row r="1545" spans="2:2" ht="15.75" customHeight="1" x14ac:dyDescent="0.2">
      <c r="B1545" s="11"/>
    </row>
    <row r="1546" spans="2:2" ht="15.75" customHeight="1" x14ac:dyDescent="0.2">
      <c r="B1546" s="11"/>
    </row>
    <row r="1547" spans="2:2" ht="15.75" customHeight="1" x14ac:dyDescent="0.2">
      <c r="B1547" s="11"/>
    </row>
    <row r="1548" spans="2:2" ht="15.75" customHeight="1" x14ac:dyDescent="0.2">
      <c r="B1548" s="11"/>
    </row>
    <row r="1549" spans="2:2" ht="15.75" customHeight="1" x14ac:dyDescent="0.2">
      <c r="B1549" s="11"/>
    </row>
    <row r="1550" spans="2:2" ht="15.75" customHeight="1" x14ac:dyDescent="0.2">
      <c r="B1550" s="11"/>
    </row>
    <row r="1551" spans="2:2" ht="15.75" customHeight="1" x14ac:dyDescent="0.2">
      <c r="B1551" s="11"/>
    </row>
    <row r="1552" spans="2:2" ht="15.75" customHeight="1" x14ac:dyDescent="0.2">
      <c r="B1552" s="11"/>
    </row>
    <row r="1553" spans="2:2" ht="15.75" customHeight="1" x14ac:dyDescent="0.2">
      <c r="B1553" s="11"/>
    </row>
    <row r="1554" spans="2:2" ht="15.75" customHeight="1" x14ac:dyDescent="0.2">
      <c r="B1554" s="11"/>
    </row>
    <row r="1555" spans="2:2" ht="15.75" customHeight="1" x14ac:dyDescent="0.2">
      <c r="B1555" s="11"/>
    </row>
    <row r="1556" spans="2:2" ht="15.75" customHeight="1" x14ac:dyDescent="0.2">
      <c r="B1556" s="11"/>
    </row>
    <row r="1557" spans="2:2" ht="15.75" customHeight="1" x14ac:dyDescent="0.2">
      <c r="B1557" s="11"/>
    </row>
    <row r="1558" spans="2:2" ht="15.75" customHeight="1" x14ac:dyDescent="0.2">
      <c r="B1558" s="11"/>
    </row>
    <row r="1559" spans="2:2" ht="15.75" customHeight="1" x14ac:dyDescent="0.2">
      <c r="B1559" s="11"/>
    </row>
    <row r="1560" spans="2:2" ht="15.75" customHeight="1" x14ac:dyDescent="0.2">
      <c r="B1560" s="11"/>
    </row>
    <row r="1561" spans="2:2" ht="15.75" customHeight="1" x14ac:dyDescent="0.2">
      <c r="B1561" s="11"/>
    </row>
    <row r="1562" spans="2:2" ht="15.75" customHeight="1" x14ac:dyDescent="0.2">
      <c r="B1562" s="11"/>
    </row>
    <row r="1563" spans="2:2" ht="15.75" customHeight="1" x14ac:dyDescent="0.2">
      <c r="B1563" s="11"/>
    </row>
    <row r="1564" spans="2:2" ht="15.75" customHeight="1" x14ac:dyDescent="0.2">
      <c r="B1564" s="11"/>
    </row>
    <row r="1565" spans="2:2" ht="15.75" customHeight="1" x14ac:dyDescent="0.2">
      <c r="B1565" s="11"/>
    </row>
    <row r="1566" spans="2:2" ht="15.75" customHeight="1" x14ac:dyDescent="0.2">
      <c r="B1566" s="11"/>
    </row>
    <row r="1567" spans="2:2" ht="15.75" customHeight="1" x14ac:dyDescent="0.2">
      <c r="B1567" s="11"/>
    </row>
    <row r="1568" spans="2:2" ht="15.75" customHeight="1" x14ac:dyDescent="0.2">
      <c r="B1568" s="11"/>
    </row>
    <row r="1569" spans="2:2" ht="15.75" customHeight="1" x14ac:dyDescent="0.2">
      <c r="B1569" s="11"/>
    </row>
    <row r="1570" spans="2:2" ht="15.75" customHeight="1" x14ac:dyDescent="0.2">
      <c r="B1570" s="11"/>
    </row>
    <row r="1571" spans="2:2" ht="15.75" customHeight="1" x14ac:dyDescent="0.2">
      <c r="B1571" s="11"/>
    </row>
    <row r="1572" spans="2:2" ht="15.75" customHeight="1" x14ac:dyDescent="0.2">
      <c r="B1572" s="11"/>
    </row>
    <row r="1573" spans="2:2" ht="15.75" customHeight="1" x14ac:dyDescent="0.2">
      <c r="B1573" s="11"/>
    </row>
    <row r="1574" spans="2:2" ht="15.75" customHeight="1" x14ac:dyDescent="0.2">
      <c r="B1574" s="11"/>
    </row>
    <row r="1575" spans="2:2" ht="15.75" customHeight="1" x14ac:dyDescent="0.2">
      <c r="B1575" s="11"/>
    </row>
    <row r="1576" spans="2:2" ht="15.75" customHeight="1" x14ac:dyDescent="0.2">
      <c r="B1576" s="11"/>
    </row>
    <row r="1577" spans="2:2" ht="15.75" customHeight="1" x14ac:dyDescent="0.2">
      <c r="B1577" s="11"/>
    </row>
    <row r="1578" spans="2:2" ht="15.75" customHeight="1" x14ac:dyDescent="0.2">
      <c r="B1578" s="11"/>
    </row>
    <row r="1579" spans="2:2" ht="15.75" customHeight="1" x14ac:dyDescent="0.2">
      <c r="B1579" s="11"/>
    </row>
    <row r="1580" spans="2:2" ht="15.75" customHeight="1" x14ac:dyDescent="0.2">
      <c r="B1580" s="11"/>
    </row>
    <row r="1581" spans="2:2" ht="15.75" customHeight="1" x14ac:dyDescent="0.2">
      <c r="B1581" s="11"/>
    </row>
    <row r="1582" spans="2:2" ht="15.75" customHeight="1" x14ac:dyDescent="0.2">
      <c r="B1582" s="11"/>
    </row>
    <row r="1583" spans="2:2" ht="15.75" customHeight="1" x14ac:dyDescent="0.2">
      <c r="B1583" s="11"/>
    </row>
    <row r="1584" spans="2:2" ht="15.75" customHeight="1" x14ac:dyDescent="0.2">
      <c r="B1584" s="11"/>
    </row>
    <row r="1585" spans="2:2" ht="15.75" customHeight="1" x14ac:dyDescent="0.2">
      <c r="B1585" s="11"/>
    </row>
    <row r="1586" spans="2:2" ht="15.75" customHeight="1" x14ac:dyDescent="0.2">
      <c r="B1586" s="11"/>
    </row>
    <row r="1587" spans="2:2" ht="15.75" customHeight="1" x14ac:dyDescent="0.2">
      <c r="B1587" s="11"/>
    </row>
    <row r="1588" spans="2:2" ht="15.75" customHeight="1" x14ac:dyDescent="0.2">
      <c r="B1588" s="11"/>
    </row>
    <row r="1589" spans="2:2" ht="15.75" customHeight="1" x14ac:dyDescent="0.2">
      <c r="B1589" s="11"/>
    </row>
    <row r="1590" spans="2:2" ht="15.75" customHeight="1" x14ac:dyDescent="0.2">
      <c r="B1590" s="11"/>
    </row>
    <row r="1591" spans="2:2" ht="15.75" customHeight="1" x14ac:dyDescent="0.2">
      <c r="B1591" s="11"/>
    </row>
    <row r="1592" spans="2:2" ht="15.75" customHeight="1" x14ac:dyDescent="0.2">
      <c r="B1592" s="11"/>
    </row>
    <row r="1593" spans="2:2" ht="15.75" customHeight="1" x14ac:dyDescent="0.2">
      <c r="B1593" s="11"/>
    </row>
    <row r="1594" spans="2:2" ht="15.75" customHeight="1" x14ac:dyDescent="0.2">
      <c r="B1594" s="11"/>
    </row>
    <row r="1595" spans="2:2" ht="15.75" customHeight="1" x14ac:dyDescent="0.2">
      <c r="B1595" s="11"/>
    </row>
    <row r="1596" spans="2:2" ht="15.75" customHeight="1" x14ac:dyDescent="0.2">
      <c r="B1596" s="11"/>
    </row>
    <row r="1597" spans="2:2" ht="15.75" customHeight="1" x14ac:dyDescent="0.2">
      <c r="B1597" s="11"/>
    </row>
    <row r="1598" spans="2:2" ht="15.75" customHeight="1" x14ac:dyDescent="0.2">
      <c r="B1598" s="11"/>
    </row>
    <row r="1599" spans="2:2" ht="15.75" customHeight="1" x14ac:dyDescent="0.2">
      <c r="B1599" s="11"/>
    </row>
    <row r="1600" spans="2:2" ht="15.75" customHeight="1" x14ac:dyDescent="0.2">
      <c r="B1600" s="11"/>
    </row>
    <row r="1601" spans="2:2" ht="15.75" customHeight="1" x14ac:dyDescent="0.2">
      <c r="B1601" s="11"/>
    </row>
    <row r="1602" spans="2:2" ht="15.75" customHeight="1" x14ac:dyDescent="0.2">
      <c r="B1602" s="11"/>
    </row>
    <row r="1603" spans="2:2" ht="15.75" customHeight="1" x14ac:dyDescent="0.2">
      <c r="B1603" s="11"/>
    </row>
    <row r="1604" spans="2:2" ht="15.75" customHeight="1" x14ac:dyDescent="0.2">
      <c r="B1604" s="11"/>
    </row>
    <row r="1605" spans="2:2" ht="15.75" customHeight="1" x14ac:dyDescent="0.2">
      <c r="B1605" s="11"/>
    </row>
    <row r="1606" spans="2:2" ht="15.75" customHeight="1" x14ac:dyDescent="0.2">
      <c r="B1606" s="11"/>
    </row>
    <row r="1607" spans="2:2" ht="15.75" customHeight="1" x14ac:dyDescent="0.2">
      <c r="B1607" s="11"/>
    </row>
    <row r="1608" spans="2:2" ht="15.75" customHeight="1" x14ac:dyDescent="0.2">
      <c r="B1608" s="11"/>
    </row>
    <row r="1609" spans="2:2" ht="15.75" customHeight="1" x14ac:dyDescent="0.2">
      <c r="B1609" s="11"/>
    </row>
    <row r="1610" spans="2:2" ht="15.75" customHeight="1" x14ac:dyDescent="0.2">
      <c r="B1610" s="11"/>
    </row>
    <row r="1611" spans="2:2" ht="15.75" customHeight="1" x14ac:dyDescent="0.2">
      <c r="B1611" s="11"/>
    </row>
    <row r="1612" spans="2:2" ht="15.75" customHeight="1" x14ac:dyDescent="0.2">
      <c r="B1612" s="11"/>
    </row>
    <row r="1613" spans="2:2" ht="15.75" customHeight="1" x14ac:dyDescent="0.2">
      <c r="B1613" s="11"/>
    </row>
    <row r="1614" spans="2:2" ht="15.75" customHeight="1" x14ac:dyDescent="0.2">
      <c r="B1614" s="11"/>
    </row>
    <row r="1615" spans="2:2" ht="15.75" customHeight="1" x14ac:dyDescent="0.2">
      <c r="B1615" s="11"/>
    </row>
    <row r="1616" spans="2:2" ht="15.75" customHeight="1" x14ac:dyDescent="0.2">
      <c r="B1616" s="11"/>
    </row>
    <row r="1617" spans="2:2" ht="15.75" customHeight="1" x14ac:dyDescent="0.2">
      <c r="B1617" s="11"/>
    </row>
    <row r="1618" spans="2:2" ht="15.75" customHeight="1" x14ac:dyDescent="0.2">
      <c r="B1618" s="11"/>
    </row>
    <row r="1619" spans="2:2" ht="15.75" customHeight="1" x14ac:dyDescent="0.2">
      <c r="B1619" s="11"/>
    </row>
    <row r="1620" spans="2:2" ht="15.75" customHeight="1" x14ac:dyDescent="0.2">
      <c r="B1620" s="11"/>
    </row>
    <row r="1621" spans="2:2" ht="15.75" customHeight="1" x14ac:dyDescent="0.2">
      <c r="B1621" s="11"/>
    </row>
    <row r="1622" spans="2:2" ht="15.75" customHeight="1" x14ac:dyDescent="0.2">
      <c r="B1622" s="11"/>
    </row>
    <row r="1623" spans="2:2" ht="15.75" customHeight="1" x14ac:dyDescent="0.2">
      <c r="B1623" s="11"/>
    </row>
    <row r="1624" spans="2:2" ht="15.75" customHeight="1" x14ac:dyDescent="0.2">
      <c r="B1624" s="11"/>
    </row>
    <row r="1625" spans="2:2" ht="15.75" customHeight="1" x14ac:dyDescent="0.2">
      <c r="B1625" s="11"/>
    </row>
    <row r="1626" spans="2:2" ht="15.75" customHeight="1" x14ac:dyDescent="0.2">
      <c r="B1626" s="11"/>
    </row>
    <row r="1627" spans="2:2" ht="15.75" customHeight="1" x14ac:dyDescent="0.2">
      <c r="B1627" s="11"/>
    </row>
    <row r="1628" spans="2:2" ht="15.75" customHeight="1" x14ac:dyDescent="0.2">
      <c r="B1628" s="11"/>
    </row>
    <row r="1629" spans="2:2" ht="15.75" customHeight="1" x14ac:dyDescent="0.2">
      <c r="B1629" s="11"/>
    </row>
    <row r="1630" spans="2:2" ht="15.75" customHeight="1" x14ac:dyDescent="0.2">
      <c r="B1630" s="11"/>
    </row>
    <row r="1631" spans="2:2" ht="15.75" customHeight="1" x14ac:dyDescent="0.2">
      <c r="B1631" s="11"/>
    </row>
    <row r="1632" spans="2:2" ht="15.75" customHeight="1" x14ac:dyDescent="0.2">
      <c r="B1632" s="11"/>
    </row>
    <row r="1633" spans="2:2" ht="15.75" customHeight="1" x14ac:dyDescent="0.2">
      <c r="B1633" s="11"/>
    </row>
    <row r="1634" spans="2:2" ht="15.75" customHeight="1" x14ac:dyDescent="0.2">
      <c r="B1634" s="11"/>
    </row>
    <row r="1635" spans="2:2" ht="15.75" customHeight="1" x14ac:dyDescent="0.2">
      <c r="B1635" s="11"/>
    </row>
    <row r="1636" spans="2:2" ht="15.75" customHeight="1" x14ac:dyDescent="0.2">
      <c r="B1636" s="11"/>
    </row>
    <row r="1637" spans="2:2" ht="15.75" customHeight="1" x14ac:dyDescent="0.2">
      <c r="B1637" s="11"/>
    </row>
    <row r="1638" spans="2:2" ht="15.75" customHeight="1" x14ac:dyDescent="0.2">
      <c r="B1638" s="11"/>
    </row>
    <row r="1639" spans="2:2" ht="15.75" customHeight="1" x14ac:dyDescent="0.2">
      <c r="B1639" s="11"/>
    </row>
    <row r="1640" spans="2:2" ht="15.75" customHeight="1" x14ac:dyDescent="0.2">
      <c r="B1640" s="11"/>
    </row>
    <row r="1641" spans="2:2" ht="15.75" customHeight="1" x14ac:dyDescent="0.2">
      <c r="B1641" s="11"/>
    </row>
    <row r="1642" spans="2:2" ht="15.75" customHeight="1" x14ac:dyDescent="0.2">
      <c r="B1642" s="11"/>
    </row>
    <row r="1643" spans="2:2" ht="15.75" customHeight="1" x14ac:dyDescent="0.2">
      <c r="B1643" s="11"/>
    </row>
    <row r="1644" spans="2:2" ht="15.75" customHeight="1" x14ac:dyDescent="0.2">
      <c r="B1644" s="11"/>
    </row>
    <row r="1645" spans="2:2" ht="15.75" customHeight="1" x14ac:dyDescent="0.2">
      <c r="B1645" s="11"/>
    </row>
    <row r="1646" spans="2:2" ht="15.75" customHeight="1" x14ac:dyDescent="0.2">
      <c r="B1646" s="11"/>
    </row>
    <row r="1647" spans="2:2" ht="15.75" customHeight="1" x14ac:dyDescent="0.2">
      <c r="B1647" s="11"/>
    </row>
    <row r="1648" spans="2:2" ht="15.75" customHeight="1" x14ac:dyDescent="0.2">
      <c r="B1648" s="11"/>
    </row>
    <row r="1649" spans="2:2" ht="15.75" customHeight="1" x14ac:dyDescent="0.2">
      <c r="B1649" s="11"/>
    </row>
    <row r="1650" spans="2:2" ht="15.75" customHeight="1" x14ac:dyDescent="0.2">
      <c r="B1650" s="11"/>
    </row>
    <row r="1651" spans="2:2" ht="15.75" customHeight="1" x14ac:dyDescent="0.2">
      <c r="B1651" s="11"/>
    </row>
    <row r="1652" spans="2:2" ht="15.75" customHeight="1" x14ac:dyDescent="0.2">
      <c r="B1652" s="11"/>
    </row>
    <row r="1653" spans="2:2" ht="15.75" customHeight="1" x14ac:dyDescent="0.2">
      <c r="B1653" s="11"/>
    </row>
    <row r="1654" spans="2:2" ht="15.75" customHeight="1" x14ac:dyDescent="0.2">
      <c r="B1654" s="11"/>
    </row>
    <row r="1655" spans="2:2" ht="15.75" customHeight="1" x14ac:dyDescent="0.2">
      <c r="B1655" s="11"/>
    </row>
    <row r="1656" spans="2:2" ht="15.75" customHeight="1" x14ac:dyDescent="0.2">
      <c r="B1656" s="11"/>
    </row>
    <row r="1657" spans="2:2" ht="15.75" customHeight="1" x14ac:dyDescent="0.2">
      <c r="B1657" s="11"/>
    </row>
    <row r="1658" spans="2:2" ht="15.75" customHeight="1" x14ac:dyDescent="0.2">
      <c r="B1658" s="11"/>
    </row>
    <row r="1659" spans="2:2" ht="15.75" customHeight="1" x14ac:dyDescent="0.2">
      <c r="B1659" s="11"/>
    </row>
    <row r="1660" spans="2:2" ht="15.75" customHeight="1" x14ac:dyDescent="0.2">
      <c r="B1660" s="11"/>
    </row>
    <row r="1661" spans="2:2" ht="15.75" customHeight="1" x14ac:dyDescent="0.2">
      <c r="B1661" s="11"/>
    </row>
    <row r="1662" spans="2:2" ht="15.75" customHeight="1" x14ac:dyDescent="0.2">
      <c r="B1662" s="11"/>
    </row>
    <row r="1663" spans="2:2" ht="15.75" customHeight="1" x14ac:dyDescent="0.2">
      <c r="B1663" s="11"/>
    </row>
    <row r="1664" spans="2:2" ht="15.75" customHeight="1" x14ac:dyDescent="0.2">
      <c r="B1664" s="11"/>
    </row>
    <row r="1665" spans="2:2" ht="15.75" customHeight="1" x14ac:dyDescent="0.2">
      <c r="B1665" s="11"/>
    </row>
    <row r="1666" spans="2:2" ht="15.75" customHeight="1" x14ac:dyDescent="0.2">
      <c r="B1666" s="11"/>
    </row>
    <row r="1667" spans="2:2" ht="15.75" customHeight="1" x14ac:dyDescent="0.2">
      <c r="B1667" s="11"/>
    </row>
    <row r="1668" spans="2:2" ht="15.75" customHeight="1" x14ac:dyDescent="0.2">
      <c r="B1668" s="11"/>
    </row>
    <row r="1669" spans="2:2" ht="15.75" customHeight="1" x14ac:dyDescent="0.2">
      <c r="B1669" s="11"/>
    </row>
    <row r="1670" spans="2:2" ht="15.75" customHeight="1" x14ac:dyDescent="0.2">
      <c r="B1670" s="11"/>
    </row>
    <row r="1671" spans="2:2" ht="15.75" customHeight="1" x14ac:dyDescent="0.2">
      <c r="B1671" s="11"/>
    </row>
    <row r="1672" spans="2:2" ht="15.75" customHeight="1" x14ac:dyDescent="0.2">
      <c r="B1672" s="11"/>
    </row>
    <row r="1673" spans="2:2" ht="15.75" customHeight="1" x14ac:dyDescent="0.2">
      <c r="B1673" s="11"/>
    </row>
    <row r="1674" spans="2:2" ht="15.75" customHeight="1" x14ac:dyDescent="0.2">
      <c r="B1674" s="11"/>
    </row>
    <row r="1675" spans="2:2" ht="15.75" customHeight="1" x14ac:dyDescent="0.2">
      <c r="B1675" s="11"/>
    </row>
    <row r="1676" spans="2:2" ht="15.75" customHeight="1" x14ac:dyDescent="0.2">
      <c r="B1676" s="11"/>
    </row>
    <row r="1677" spans="2:2" ht="15.75" customHeight="1" x14ac:dyDescent="0.2">
      <c r="B1677" s="11"/>
    </row>
    <row r="1678" spans="2:2" ht="15.75" customHeight="1" x14ac:dyDescent="0.2">
      <c r="B1678" s="11"/>
    </row>
    <row r="1679" spans="2:2" ht="15.75" customHeight="1" x14ac:dyDescent="0.2">
      <c r="B1679" s="11"/>
    </row>
    <row r="1680" spans="2:2" ht="15.75" customHeight="1" x14ac:dyDescent="0.2">
      <c r="B1680" s="11"/>
    </row>
    <row r="1681" spans="2:2" ht="15.75" customHeight="1" x14ac:dyDescent="0.2">
      <c r="B1681" s="11"/>
    </row>
    <row r="1682" spans="2:2" ht="15.75" customHeight="1" x14ac:dyDescent="0.2">
      <c r="B1682" s="11"/>
    </row>
    <row r="1683" spans="2:2" ht="15.75" customHeight="1" x14ac:dyDescent="0.2">
      <c r="B1683" s="11"/>
    </row>
    <row r="1684" spans="2:2" ht="15.75" customHeight="1" x14ac:dyDescent="0.2">
      <c r="B1684" s="11"/>
    </row>
    <row r="1685" spans="2:2" ht="15.75" customHeight="1" x14ac:dyDescent="0.2">
      <c r="B1685" s="11"/>
    </row>
    <row r="1686" spans="2:2" ht="15.75" customHeight="1" x14ac:dyDescent="0.2">
      <c r="B1686" s="11"/>
    </row>
    <row r="1687" spans="2:2" ht="15.75" customHeight="1" x14ac:dyDescent="0.2">
      <c r="B1687" s="11"/>
    </row>
    <row r="1688" spans="2:2" ht="15.75" customHeight="1" x14ac:dyDescent="0.2">
      <c r="B1688" s="11"/>
    </row>
    <row r="1689" spans="2:2" ht="15.75" customHeight="1" x14ac:dyDescent="0.2">
      <c r="B1689" s="11"/>
    </row>
    <row r="1690" spans="2:2" ht="15.75" customHeight="1" x14ac:dyDescent="0.2">
      <c r="B1690" s="11"/>
    </row>
    <row r="1691" spans="2:2" ht="15.75" customHeight="1" x14ac:dyDescent="0.2">
      <c r="B1691" s="11"/>
    </row>
    <row r="1692" spans="2:2" ht="15.75" customHeight="1" x14ac:dyDescent="0.2">
      <c r="B1692" s="11"/>
    </row>
    <row r="1693" spans="2:2" ht="15.75" customHeight="1" x14ac:dyDescent="0.2">
      <c r="B1693" s="11"/>
    </row>
    <row r="1694" spans="2:2" ht="15.75" customHeight="1" x14ac:dyDescent="0.2">
      <c r="B1694" s="11"/>
    </row>
    <row r="1695" spans="2:2" ht="15.75" customHeight="1" x14ac:dyDescent="0.2">
      <c r="B1695" s="11"/>
    </row>
    <row r="1696" spans="2:2" ht="15.75" customHeight="1" x14ac:dyDescent="0.2">
      <c r="B1696" s="11"/>
    </row>
    <row r="1697" spans="2:2" ht="15.75" customHeight="1" x14ac:dyDescent="0.2">
      <c r="B1697" s="11"/>
    </row>
    <row r="1698" spans="2:2" ht="15.75" customHeight="1" x14ac:dyDescent="0.2">
      <c r="B1698" s="11"/>
    </row>
    <row r="1699" spans="2:2" ht="15.75" customHeight="1" x14ac:dyDescent="0.2">
      <c r="B1699" s="11"/>
    </row>
    <row r="1700" spans="2:2" ht="15.75" customHeight="1" x14ac:dyDescent="0.2">
      <c r="B1700" s="11"/>
    </row>
    <row r="1701" spans="2:2" ht="15.75" customHeight="1" x14ac:dyDescent="0.2">
      <c r="B1701" s="11"/>
    </row>
    <row r="1702" spans="2:2" ht="15.75" customHeight="1" x14ac:dyDescent="0.2">
      <c r="B1702" s="11"/>
    </row>
    <row r="1703" spans="2:2" ht="15.75" customHeight="1" x14ac:dyDescent="0.2">
      <c r="B1703" s="11"/>
    </row>
    <row r="1704" spans="2:2" ht="15.75" customHeight="1" x14ac:dyDescent="0.2">
      <c r="B1704" s="11"/>
    </row>
    <row r="1705" spans="2:2" ht="15.75" customHeight="1" x14ac:dyDescent="0.2">
      <c r="B1705" s="11"/>
    </row>
    <row r="1706" spans="2:2" ht="15.75" customHeight="1" x14ac:dyDescent="0.2">
      <c r="B1706" s="11"/>
    </row>
    <row r="1707" spans="2:2" ht="15.75" customHeight="1" x14ac:dyDescent="0.2">
      <c r="B1707" s="11"/>
    </row>
    <row r="1708" spans="2:2" ht="15.75" customHeight="1" x14ac:dyDescent="0.2">
      <c r="B1708" s="11"/>
    </row>
    <row r="1709" spans="2:2" ht="15.75" customHeight="1" x14ac:dyDescent="0.2">
      <c r="B1709" s="11"/>
    </row>
    <row r="1710" spans="2:2" ht="15.75" customHeight="1" x14ac:dyDescent="0.2">
      <c r="B1710" s="11"/>
    </row>
    <row r="1711" spans="2:2" ht="15.75" customHeight="1" x14ac:dyDescent="0.2">
      <c r="B1711" s="11"/>
    </row>
    <row r="1712" spans="2:2" ht="15.75" customHeight="1" x14ac:dyDescent="0.2">
      <c r="B1712" s="11"/>
    </row>
    <row r="1713" spans="2:2" ht="15.75" customHeight="1" x14ac:dyDescent="0.2">
      <c r="B1713" s="11"/>
    </row>
    <row r="1714" spans="2:2" ht="15.75" customHeight="1" x14ac:dyDescent="0.2">
      <c r="B1714" s="11"/>
    </row>
    <row r="1715" spans="2:2" ht="15.75" customHeight="1" x14ac:dyDescent="0.2">
      <c r="B1715" s="11"/>
    </row>
    <row r="1716" spans="2:2" ht="15.75" customHeight="1" x14ac:dyDescent="0.2">
      <c r="B1716" s="11"/>
    </row>
    <row r="1717" spans="2:2" ht="15.75" customHeight="1" x14ac:dyDescent="0.2">
      <c r="B1717" s="11"/>
    </row>
    <row r="1718" spans="2:2" ht="15.75" customHeight="1" x14ac:dyDescent="0.2">
      <c r="B1718" s="11"/>
    </row>
    <row r="1719" spans="2:2" ht="15.75" customHeight="1" x14ac:dyDescent="0.2">
      <c r="B1719" s="11"/>
    </row>
    <row r="1720" spans="2:2" ht="15.75" customHeight="1" x14ac:dyDescent="0.2">
      <c r="B1720" s="11"/>
    </row>
    <row r="1721" spans="2:2" ht="15.75" customHeight="1" x14ac:dyDescent="0.2">
      <c r="B1721" s="11"/>
    </row>
    <row r="1722" spans="2:2" ht="15.75" customHeight="1" x14ac:dyDescent="0.2">
      <c r="B1722" s="11"/>
    </row>
    <row r="1723" spans="2:2" ht="15.75" customHeight="1" x14ac:dyDescent="0.2">
      <c r="B1723" s="11"/>
    </row>
    <row r="1724" spans="2:2" ht="15.75" customHeight="1" x14ac:dyDescent="0.2">
      <c r="B1724" s="11"/>
    </row>
    <row r="1725" spans="2:2" ht="15.75" customHeight="1" x14ac:dyDescent="0.2">
      <c r="B1725" s="11"/>
    </row>
    <row r="1726" spans="2:2" ht="15.75" customHeight="1" x14ac:dyDescent="0.2">
      <c r="B1726" s="11"/>
    </row>
    <row r="1727" spans="2:2" ht="15.75" customHeight="1" x14ac:dyDescent="0.2">
      <c r="B1727" s="11"/>
    </row>
    <row r="1728" spans="2:2" ht="15.75" customHeight="1" x14ac:dyDescent="0.2">
      <c r="B1728" s="11"/>
    </row>
    <row r="1729" spans="2:2" ht="15.75" customHeight="1" x14ac:dyDescent="0.2">
      <c r="B1729" s="11"/>
    </row>
    <row r="1730" spans="2:2" ht="15.75" customHeight="1" x14ac:dyDescent="0.2">
      <c r="B1730" s="11"/>
    </row>
    <row r="1731" spans="2:2" ht="15.75" customHeight="1" x14ac:dyDescent="0.2">
      <c r="B1731" s="11"/>
    </row>
    <row r="1732" spans="2:2" ht="15.75" customHeight="1" x14ac:dyDescent="0.2">
      <c r="B1732" s="11"/>
    </row>
    <row r="1733" spans="2:2" ht="15.75" customHeight="1" x14ac:dyDescent="0.2">
      <c r="B1733" s="11"/>
    </row>
    <row r="1734" spans="2:2" ht="15.75" customHeight="1" x14ac:dyDescent="0.2">
      <c r="B1734" s="11"/>
    </row>
    <row r="1735" spans="2:2" ht="15.75" customHeight="1" x14ac:dyDescent="0.2">
      <c r="B1735" s="11"/>
    </row>
    <row r="1736" spans="2:2" ht="15.75" customHeight="1" x14ac:dyDescent="0.2">
      <c r="B1736" s="11"/>
    </row>
    <row r="1737" spans="2:2" ht="15.75" customHeight="1" x14ac:dyDescent="0.2">
      <c r="B1737" s="11"/>
    </row>
    <row r="1738" spans="2:2" ht="15.75" customHeight="1" x14ac:dyDescent="0.2">
      <c r="B1738" s="11"/>
    </row>
    <row r="1739" spans="2:2" ht="15.75" customHeight="1" x14ac:dyDescent="0.2">
      <c r="B1739" s="11"/>
    </row>
    <row r="1740" spans="2:2" ht="15.75" customHeight="1" x14ac:dyDescent="0.2">
      <c r="B1740" s="11"/>
    </row>
    <row r="1741" spans="2:2" ht="15.75" customHeight="1" x14ac:dyDescent="0.2">
      <c r="B1741" s="11"/>
    </row>
    <row r="1742" spans="2:2" ht="15.75" customHeight="1" x14ac:dyDescent="0.2">
      <c r="B1742" s="11"/>
    </row>
    <row r="1743" spans="2:2" ht="15.75" customHeight="1" x14ac:dyDescent="0.2">
      <c r="B1743" s="11"/>
    </row>
    <row r="1744" spans="2:2" ht="15.75" customHeight="1" x14ac:dyDescent="0.2">
      <c r="B1744" s="11"/>
    </row>
    <row r="1745" spans="2:2" ht="15.75" customHeight="1" x14ac:dyDescent="0.2">
      <c r="B1745" s="11"/>
    </row>
    <row r="1746" spans="2:2" ht="15.75" customHeight="1" x14ac:dyDescent="0.2">
      <c r="B1746" s="11"/>
    </row>
    <row r="1747" spans="2:2" ht="15.75" customHeight="1" x14ac:dyDescent="0.2">
      <c r="B1747" s="11"/>
    </row>
    <row r="1748" spans="2:2" ht="15.75" customHeight="1" x14ac:dyDescent="0.2">
      <c r="B1748" s="11"/>
    </row>
    <row r="1749" spans="2:2" ht="15.75" customHeight="1" x14ac:dyDescent="0.2">
      <c r="B1749" s="11"/>
    </row>
    <row r="1750" spans="2:2" ht="15.75" customHeight="1" x14ac:dyDescent="0.2">
      <c r="B1750" s="11"/>
    </row>
    <row r="1751" spans="2:2" ht="15.75" customHeight="1" x14ac:dyDescent="0.2">
      <c r="B1751" s="11"/>
    </row>
    <row r="1752" spans="2:2" ht="15.75" customHeight="1" x14ac:dyDescent="0.2">
      <c r="B1752" s="11"/>
    </row>
    <row r="1753" spans="2:2" ht="15.75" customHeight="1" x14ac:dyDescent="0.2">
      <c r="B1753" s="11"/>
    </row>
    <row r="1754" spans="2:2" ht="15.75" customHeight="1" x14ac:dyDescent="0.2">
      <c r="B1754" s="11"/>
    </row>
    <row r="1755" spans="2:2" ht="15.75" customHeight="1" x14ac:dyDescent="0.2">
      <c r="B1755" s="11"/>
    </row>
    <row r="1756" spans="2:2" ht="15.75" customHeight="1" x14ac:dyDescent="0.2">
      <c r="B1756" s="11"/>
    </row>
    <row r="1757" spans="2:2" ht="15.75" customHeight="1" x14ac:dyDescent="0.2">
      <c r="B1757" s="11"/>
    </row>
    <row r="1758" spans="2:2" ht="15.75" customHeight="1" x14ac:dyDescent="0.2">
      <c r="B1758" s="11"/>
    </row>
    <row r="1759" spans="2:2" ht="15.75" customHeight="1" x14ac:dyDescent="0.2">
      <c r="B1759" s="11"/>
    </row>
    <row r="1760" spans="2:2" ht="15.75" customHeight="1" x14ac:dyDescent="0.2">
      <c r="B1760" s="11"/>
    </row>
    <row r="1761" spans="2:2" ht="15.75" customHeight="1" x14ac:dyDescent="0.2">
      <c r="B1761" s="11"/>
    </row>
    <row r="1762" spans="2:2" ht="15.75" customHeight="1" x14ac:dyDescent="0.2">
      <c r="B1762" s="11"/>
    </row>
    <row r="1763" spans="2:2" ht="15.75" customHeight="1" x14ac:dyDescent="0.2">
      <c r="B1763" s="11"/>
    </row>
    <row r="1764" spans="2:2" ht="15.75" customHeight="1" x14ac:dyDescent="0.2">
      <c r="B1764" s="11"/>
    </row>
    <row r="1765" spans="2:2" ht="15.75" customHeight="1" x14ac:dyDescent="0.2">
      <c r="B1765" s="11"/>
    </row>
    <row r="1766" spans="2:2" ht="15.75" customHeight="1" x14ac:dyDescent="0.2">
      <c r="B1766" s="11"/>
    </row>
    <row r="1767" spans="2:2" ht="15.75" customHeight="1" x14ac:dyDescent="0.2">
      <c r="B1767" s="11"/>
    </row>
    <row r="1768" spans="2:2" ht="15.75" customHeight="1" x14ac:dyDescent="0.2">
      <c r="B1768" s="11"/>
    </row>
    <row r="1769" spans="2:2" ht="15.75" customHeight="1" x14ac:dyDescent="0.2">
      <c r="B1769" s="11"/>
    </row>
    <row r="1770" spans="2:2" ht="15.75" customHeight="1" x14ac:dyDescent="0.2">
      <c r="B1770" s="11"/>
    </row>
    <row r="1771" spans="2:2" ht="15.75" customHeight="1" x14ac:dyDescent="0.2">
      <c r="B1771" s="11"/>
    </row>
    <row r="1772" spans="2:2" ht="15.75" customHeight="1" x14ac:dyDescent="0.2">
      <c r="B1772" s="11"/>
    </row>
    <row r="1773" spans="2:2" ht="15.75" customHeight="1" x14ac:dyDescent="0.2">
      <c r="B1773" s="11"/>
    </row>
    <row r="1774" spans="2:2" ht="15.75" customHeight="1" x14ac:dyDescent="0.2">
      <c r="B1774" s="11"/>
    </row>
    <row r="1775" spans="2:2" ht="15.75" customHeight="1" x14ac:dyDescent="0.2">
      <c r="B1775" s="11"/>
    </row>
    <row r="1776" spans="2:2" ht="15.75" customHeight="1" x14ac:dyDescent="0.2">
      <c r="B1776" s="11"/>
    </row>
    <row r="1777" spans="2:2" ht="15.75" customHeight="1" x14ac:dyDescent="0.2">
      <c r="B1777" s="11"/>
    </row>
    <row r="1778" spans="2:2" ht="15.75" customHeight="1" x14ac:dyDescent="0.2">
      <c r="B1778" s="11"/>
    </row>
    <row r="1779" spans="2:2" ht="15.75" customHeight="1" x14ac:dyDescent="0.2">
      <c r="B1779" s="11"/>
    </row>
    <row r="1780" spans="2:2" ht="15.75" customHeight="1" x14ac:dyDescent="0.2">
      <c r="B1780" s="11"/>
    </row>
    <row r="1781" spans="2:2" ht="15.75" customHeight="1" x14ac:dyDescent="0.2">
      <c r="B1781" s="11"/>
    </row>
    <row r="1782" spans="2:2" ht="15.75" customHeight="1" x14ac:dyDescent="0.2">
      <c r="B1782" s="11"/>
    </row>
    <row r="1783" spans="2:2" ht="15.75" customHeight="1" x14ac:dyDescent="0.2">
      <c r="B1783" s="11"/>
    </row>
    <row r="1784" spans="2:2" ht="15.75" customHeight="1" x14ac:dyDescent="0.2">
      <c r="B1784" s="11"/>
    </row>
    <row r="1785" spans="2:2" ht="15.75" customHeight="1" x14ac:dyDescent="0.2">
      <c r="B1785" s="11"/>
    </row>
    <row r="1786" spans="2:2" ht="15.75" customHeight="1" x14ac:dyDescent="0.2">
      <c r="B1786" s="11"/>
    </row>
    <row r="1787" spans="2:2" ht="15.75" customHeight="1" x14ac:dyDescent="0.2">
      <c r="B1787" s="11"/>
    </row>
    <row r="1788" spans="2:2" ht="15.75" customHeight="1" x14ac:dyDescent="0.2">
      <c r="B1788" s="11"/>
    </row>
    <row r="1789" spans="2:2" ht="15.75" customHeight="1" x14ac:dyDescent="0.2">
      <c r="B1789" s="11"/>
    </row>
    <row r="1790" spans="2:2" ht="15.75" customHeight="1" x14ac:dyDescent="0.2">
      <c r="B1790" s="11"/>
    </row>
    <row r="1791" spans="2:2" ht="15.75" customHeight="1" x14ac:dyDescent="0.2">
      <c r="B1791" s="11"/>
    </row>
    <row r="1792" spans="2:2" ht="15.75" customHeight="1" x14ac:dyDescent="0.2">
      <c r="B1792" s="11"/>
    </row>
    <row r="1793" spans="2:2" ht="15.75" customHeight="1" x14ac:dyDescent="0.2">
      <c r="B1793" s="11"/>
    </row>
    <row r="1794" spans="2:2" ht="15.75" customHeight="1" x14ac:dyDescent="0.2">
      <c r="B1794" s="11"/>
    </row>
    <row r="1795" spans="2:2" ht="15.75" customHeight="1" x14ac:dyDescent="0.2">
      <c r="B1795" s="11"/>
    </row>
    <row r="1796" spans="2:2" ht="15.75" customHeight="1" x14ac:dyDescent="0.2">
      <c r="B1796" s="11"/>
    </row>
    <row r="1797" spans="2:2" ht="15.75" customHeight="1" x14ac:dyDescent="0.2">
      <c r="B1797" s="11"/>
    </row>
    <row r="1798" spans="2:2" ht="15.75" customHeight="1" x14ac:dyDescent="0.2">
      <c r="B1798" s="11"/>
    </row>
    <row r="1799" spans="2:2" ht="15.75" customHeight="1" x14ac:dyDescent="0.2">
      <c r="B1799" s="11"/>
    </row>
    <row r="1800" spans="2:2" ht="15.75" customHeight="1" x14ac:dyDescent="0.2">
      <c r="B1800" s="11"/>
    </row>
    <row r="1801" spans="2:2" ht="15.75" customHeight="1" x14ac:dyDescent="0.2">
      <c r="B1801" s="11"/>
    </row>
    <row r="1802" spans="2:2" ht="15.75" customHeight="1" x14ac:dyDescent="0.2">
      <c r="B1802" s="11"/>
    </row>
    <row r="1803" spans="2:2" ht="15.75" customHeight="1" x14ac:dyDescent="0.2">
      <c r="B1803" s="11"/>
    </row>
    <row r="1804" spans="2:2" ht="15.75" customHeight="1" x14ac:dyDescent="0.2">
      <c r="B1804" s="11"/>
    </row>
    <row r="1805" spans="2:2" ht="15.75" customHeight="1" x14ac:dyDescent="0.2">
      <c r="B1805" s="11"/>
    </row>
    <row r="1806" spans="2:2" ht="15.75" customHeight="1" x14ac:dyDescent="0.2">
      <c r="B1806" s="11"/>
    </row>
    <row r="1807" spans="2:2" ht="15.75" customHeight="1" x14ac:dyDescent="0.2">
      <c r="B1807" s="11"/>
    </row>
    <row r="1808" spans="2:2" ht="15.75" customHeight="1" x14ac:dyDescent="0.2">
      <c r="B1808" s="11"/>
    </row>
    <row r="1809" spans="2:2" ht="15.75" customHeight="1" x14ac:dyDescent="0.2">
      <c r="B1809" s="11"/>
    </row>
    <row r="1810" spans="2:2" ht="15.75" customHeight="1" x14ac:dyDescent="0.2">
      <c r="B1810" s="11"/>
    </row>
    <row r="1811" spans="2:2" ht="15.75" customHeight="1" x14ac:dyDescent="0.2">
      <c r="B1811" s="11"/>
    </row>
    <row r="1812" spans="2:2" ht="15.75" customHeight="1" x14ac:dyDescent="0.2">
      <c r="B1812" s="11"/>
    </row>
    <row r="1813" spans="2:2" ht="15.75" customHeight="1" x14ac:dyDescent="0.2">
      <c r="B1813" s="11"/>
    </row>
    <row r="1814" spans="2:2" ht="15.75" customHeight="1" x14ac:dyDescent="0.2">
      <c r="B1814" s="11"/>
    </row>
    <row r="1815" spans="2:2" ht="15.75" customHeight="1" x14ac:dyDescent="0.2">
      <c r="B1815" s="11"/>
    </row>
    <row r="1816" spans="2:2" ht="15.75" customHeight="1" x14ac:dyDescent="0.2">
      <c r="B1816" s="11"/>
    </row>
    <row r="1817" spans="2:2" ht="15.75" customHeight="1" x14ac:dyDescent="0.2">
      <c r="B1817" s="11"/>
    </row>
    <row r="1818" spans="2:2" ht="15.75" customHeight="1" x14ac:dyDescent="0.2">
      <c r="B1818" s="11"/>
    </row>
    <row r="1819" spans="2:2" ht="15.75" customHeight="1" x14ac:dyDescent="0.2">
      <c r="B1819" s="11"/>
    </row>
    <row r="1820" spans="2:2" ht="15.75" customHeight="1" x14ac:dyDescent="0.2">
      <c r="B1820" s="11"/>
    </row>
    <row r="1821" spans="2:2" ht="15.75" customHeight="1" x14ac:dyDescent="0.2">
      <c r="B1821" s="11"/>
    </row>
    <row r="1822" spans="2:2" ht="15.75" customHeight="1" x14ac:dyDescent="0.2">
      <c r="B1822" s="11"/>
    </row>
    <row r="1823" spans="2:2" ht="15.75" customHeight="1" x14ac:dyDescent="0.2">
      <c r="B1823" s="11"/>
    </row>
    <row r="1824" spans="2:2" ht="15.75" customHeight="1" x14ac:dyDescent="0.2">
      <c r="B1824" s="11"/>
    </row>
    <row r="1825" spans="2:2" ht="15.75" customHeight="1" x14ac:dyDescent="0.2">
      <c r="B1825" s="11"/>
    </row>
    <row r="1826" spans="2:2" ht="15.75" customHeight="1" x14ac:dyDescent="0.2">
      <c r="B1826" s="11"/>
    </row>
    <row r="1827" spans="2:2" ht="15.75" customHeight="1" x14ac:dyDescent="0.2">
      <c r="B1827" s="11"/>
    </row>
    <row r="1828" spans="2:2" ht="15.75" customHeight="1" x14ac:dyDescent="0.2">
      <c r="B1828" s="11"/>
    </row>
    <row r="1829" spans="2:2" ht="15.75" customHeight="1" x14ac:dyDescent="0.2">
      <c r="B1829" s="11"/>
    </row>
    <row r="1830" spans="2:2" ht="15.75" customHeight="1" x14ac:dyDescent="0.2">
      <c r="B1830" s="11"/>
    </row>
    <row r="1831" spans="2:2" ht="15.75" customHeight="1" x14ac:dyDescent="0.2">
      <c r="B1831" s="11"/>
    </row>
    <row r="1832" spans="2:2" ht="15.75" customHeight="1" x14ac:dyDescent="0.2">
      <c r="B1832" s="11"/>
    </row>
    <row r="1833" spans="2:2" ht="15.75" customHeight="1" x14ac:dyDescent="0.2">
      <c r="B1833" s="11"/>
    </row>
    <row r="1834" spans="2:2" ht="15.75" customHeight="1" x14ac:dyDescent="0.2">
      <c r="B1834" s="11"/>
    </row>
    <row r="1835" spans="2:2" ht="15.75" customHeight="1" x14ac:dyDescent="0.2">
      <c r="B1835" s="11"/>
    </row>
    <row r="1836" spans="2:2" ht="15.75" customHeight="1" x14ac:dyDescent="0.2">
      <c r="B1836" s="11"/>
    </row>
    <row r="1837" spans="2:2" ht="15.75" customHeight="1" x14ac:dyDescent="0.2">
      <c r="B1837" s="11"/>
    </row>
    <row r="1838" spans="2:2" ht="15.75" customHeight="1" x14ac:dyDescent="0.2">
      <c r="B1838" s="11"/>
    </row>
    <row r="1839" spans="2:2" ht="15.75" customHeight="1" x14ac:dyDescent="0.2">
      <c r="B1839" s="11"/>
    </row>
    <row r="1840" spans="2:2" ht="15.75" customHeight="1" x14ac:dyDescent="0.2">
      <c r="B1840" s="11"/>
    </row>
    <row r="1841" spans="2:2" ht="15.75" customHeight="1" x14ac:dyDescent="0.2">
      <c r="B1841" s="11"/>
    </row>
    <row r="1842" spans="2:2" ht="15.75" customHeight="1" x14ac:dyDescent="0.2">
      <c r="B1842" s="11"/>
    </row>
    <row r="1843" spans="2:2" ht="15.75" customHeight="1" x14ac:dyDescent="0.2">
      <c r="B1843" s="11"/>
    </row>
    <row r="1844" spans="2:2" ht="15.75" customHeight="1" x14ac:dyDescent="0.2">
      <c r="B1844" s="11"/>
    </row>
    <row r="1845" spans="2:2" ht="15.75" customHeight="1" x14ac:dyDescent="0.2">
      <c r="B1845" s="11"/>
    </row>
    <row r="1846" spans="2:2" ht="15.75" customHeight="1" x14ac:dyDescent="0.2">
      <c r="B1846" s="11"/>
    </row>
    <row r="1847" spans="2:2" ht="15.75" customHeight="1" x14ac:dyDescent="0.2">
      <c r="B1847" s="11"/>
    </row>
    <row r="1848" spans="2:2" ht="15.75" customHeight="1" x14ac:dyDescent="0.2">
      <c r="B1848" s="11"/>
    </row>
    <row r="1849" spans="2:2" ht="15.75" customHeight="1" x14ac:dyDescent="0.2">
      <c r="B1849" s="11"/>
    </row>
    <row r="1850" spans="2:2" ht="15.75" customHeight="1" x14ac:dyDescent="0.2">
      <c r="B1850" s="11"/>
    </row>
    <row r="1851" spans="2:2" ht="15.75" customHeight="1" x14ac:dyDescent="0.2">
      <c r="B1851" s="11"/>
    </row>
    <row r="1852" spans="2:2" ht="15.75" customHeight="1" x14ac:dyDescent="0.2">
      <c r="B1852" s="11"/>
    </row>
    <row r="1853" spans="2:2" ht="15.75" customHeight="1" x14ac:dyDescent="0.2">
      <c r="B1853" s="11"/>
    </row>
    <row r="1854" spans="2:2" ht="15.75" customHeight="1" x14ac:dyDescent="0.2">
      <c r="B1854" s="11"/>
    </row>
    <row r="1855" spans="2:2" ht="15.75" customHeight="1" x14ac:dyDescent="0.2">
      <c r="B1855" s="11"/>
    </row>
    <row r="1856" spans="2:2" ht="15.75" customHeight="1" x14ac:dyDescent="0.2">
      <c r="B1856" s="11"/>
    </row>
    <row r="1857" spans="2:2" ht="15.75" customHeight="1" x14ac:dyDescent="0.2">
      <c r="B1857" s="11"/>
    </row>
    <row r="1858" spans="2:2" ht="15.75" customHeight="1" x14ac:dyDescent="0.2">
      <c r="B1858" s="11"/>
    </row>
    <row r="1859" spans="2:2" ht="15.75" customHeight="1" x14ac:dyDescent="0.2">
      <c r="B1859" s="11"/>
    </row>
    <row r="1860" spans="2:2" ht="15.75" customHeight="1" x14ac:dyDescent="0.2">
      <c r="B1860" s="11"/>
    </row>
    <row r="1861" spans="2:2" ht="15.75" customHeight="1" x14ac:dyDescent="0.2">
      <c r="B1861" s="11"/>
    </row>
    <row r="1862" spans="2:2" ht="15.75" customHeight="1" x14ac:dyDescent="0.2">
      <c r="B1862" s="11"/>
    </row>
    <row r="1863" spans="2:2" ht="15.75" customHeight="1" x14ac:dyDescent="0.2">
      <c r="B1863" s="11"/>
    </row>
    <row r="1864" spans="2:2" ht="15.75" customHeight="1" x14ac:dyDescent="0.2">
      <c r="B1864" s="11"/>
    </row>
    <row r="1865" spans="2:2" ht="15.75" customHeight="1" x14ac:dyDescent="0.2">
      <c r="B1865" s="11"/>
    </row>
    <row r="1866" spans="2:2" ht="15.75" customHeight="1" x14ac:dyDescent="0.2">
      <c r="B1866" s="11"/>
    </row>
    <row r="1867" spans="2:2" ht="15.75" customHeight="1" x14ac:dyDescent="0.2">
      <c r="B1867" s="11"/>
    </row>
    <row r="1868" spans="2:2" ht="15.75" customHeight="1" x14ac:dyDescent="0.2">
      <c r="B1868" s="11"/>
    </row>
    <row r="1869" spans="2:2" ht="15.75" customHeight="1" x14ac:dyDescent="0.2">
      <c r="B1869" s="11"/>
    </row>
    <row r="1870" spans="2:2" ht="15.75" customHeight="1" x14ac:dyDescent="0.2">
      <c r="B1870" s="11"/>
    </row>
    <row r="1871" spans="2:2" ht="15.75" customHeight="1" x14ac:dyDescent="0.2">
      <c r="B1871" s="11"/>
    </row>
    <row r="1872" spans="2:2" ht="15.75" customHeight="1" x14ac:dyDescent="0.2">
      <c r="B1872" s="11"/>
    </row>
    <row r="1873" spans="2:2" ht="15.75" customHeight="1" x14ac:dyDescent="0.2">
      <c r="B1873" s="11"/>
    </row>
    <row r="1874" spans="2:2" ht="15.75" customHeight="1" x14ac:dyDescent="0.2">
      <c r="B1874" s="11"/>
    </row>
    <row r="1875" spans="2:2" ht="15.75" customHeight="1" x14ac:dyDescent="0.2">
      <c r="B1875" s="11"/>
    </row>
    <row r="1876" spans="2:2" ht="15.75" customHeight="1" x14ac:dyDescent="0.2">
      <c r="B1876" s="11"/>
    </row>
    <row r="1877" spans="2:2" ht="15.75" customHeight="1" x14ac:dyDescent="0.2">
      <c r="B1877" s="11"/>
    </row>
    <row r="1878" spans="2:2" ht="15.75" customHeight="1" x14ac:dyDescent="0.2">
      <c r="B1878" s="11"/>
    </row>
    <row r="1879" spans="2:2" ht="15.75" customHeight="1" x14ac:dyDescent="0.2">
      <c r="B1879" s="11"/>
    </row>
    <row r="1880" spans="2:2" ht="15.75" customHeight="1" x14ac:dyDescent="0.2">
      <c r="B1880" s="11"/>
    </row>
    <row r="1881" spans="2:2" ht="15.75" customHeight="1" x14ac:dyDescent="0.2">
      <c r="B1881" s="11"/>
    </row>
    <row r="1882" spans="2:2" ht="15.75" customHeight="1" x14ac:dyDescent="0.2">
      <c r="B1882" s="11"/>
    </row>
    <row r="1883" spans="2:2" ht="15.75" customHeight="1" x14ac:dyDescent="0.2">
      <c r="B1883" s="11"/>
    </row>
    <row r="1884" spans="2:2" ht="15.75" customHeight="1" x14ac:dyDescent="0.2">
      <c r="B1884" s="11"/>
    </row>
    <row r="1885" spans="2:2" ht="15.75" customHeight="1" x14ac:dyDescent="0.2">
      <c r="B1885" s="11"/>
    </row>
    <row r="1886" spans="2:2" ht="15.75" customHeight="1" x14ac:dyDescent="0.2">
      <c r="B1886" s="11"/>
    </row>
    <row r="1887" spans="2:2" ht="15.75" customHeight="1" x14ac:dyDescent="0.2">
      <c r="B1887" s="11"/>
    </row>
    <row r="1888" spans="2:2" ht="15.75" customHeight="1" x14ac:dyDescent="0.2">
      <c r="B1888" s="11"/>
    </row>
    <row r="1889" spans="2:2" ht="15.75" customHeight="1" x14ac:dyDescent="0.2">
      <c r="B1889" s="11"/>
    </row>
    <row r="1890" spans="2:2" ht="15.75" customHeight="1" x14ac:dyDescent="0.2">
      <c r="B1890" s="11"/>
    </row>
    <row r="1891" spans="2:2" ht="15.75" customHeight="1" x14ac:dyDescent="0.2">
      <c r="B1891" s="11"/>
    </row>
    <row r="1892" spans="2:2" ht="15.75" customHeight="1" x14ac:dyDescent="0.2">
      <c r="B1892" s="11"/>
    </row>
    <row r="1893" spans="2:2" ht="15.75" customHeight="1" x14ac:dyDescent="0.2">
      <c r="B1893" s="11"/>
    </row>
    <row r="1894" spans="2:2" ht="15.75" customHeight="1" x14ac:dyDescent="0.2">
      <c r="B1894" s="11"/>
    </row>
    <row r="1895" spans="2:2" ht="15.75" customHeight="1" x14ac:dyDescent="0.2">
      <c r="B1895" s="11"/>
    </row>
    <row r="1896" spans="2:2" ht="15.75" customHeight="1" x14ac:dyDescent="0.2">
      <c r="B1896" s="11"/>
    </row>
    <row r="1897" spans="2:2" ht="15.75" customHeight="1" x14ac:dyDescent="0.2">
      <c r="B1897" s="11"/>
    </row>
    <row r="1898" spans="2:2" ht="15.75" customHeight="1" x14ac:dyDescent="0.2">
      <c r="B1898" s="11"/>
    </row>
    <row r="1899" spans="2:2" ht="15.75" customHeight="1" x14ac:dyDescent="0.2">
      <c r="B1899" s="11"/>
    </row>
    <row r="1900" spans="2:2" ht="15.75" customHeight="1" x14ac:dyDescent="0.2">
      <c r="B1900" s="11"/>
    </row>
    <row r="1901" spans="2:2" ht="15.75" customHeight="1" x14ac:dyDescent="0.2">
      <c r="B1901" s="11"/>
    </row>
    <row r="1902" spans="2:2" ht="15.75" customHeight="1" x14ac:dyDescent="0.2">
      <c r="B1902" s="11"/>
    </row>
    <row r="1903" spans="2:2" ht="15.75" customHeight="1" x14ac:dyDescent="0.2">
      <c r="B1903" s="11"/>
    </row>
    <row r="1904" spans="2:2" ht="15.75" customHeight="1" x14ac:dyDescent="0.2">
      <c r="B1904" s="11"/>
    </row>
    <row r="1905" spans="2:2" ht="15.75" customHeight="1" x14ac:dyDescent="0.2">
      <c r="B1905" s="11"/>
    </row>
    <row r="1906" spans="2:2" ht="15.75" customHeight="1" x14ac:dyDescent="0.2">
      <c r="B1906" s="11"/>
    </row>
    <row r="1907" spans="2:2" ht="15.75" customHeight="1" x14ac:dyDescent="0.2">
      <c r="B1907" s="11"/>
    </row>
    <row r="1908" spans="2:2" ht="15.75" customHeight="1" x14ac:dyDescent="0.2">
      <c r="B1908" s="11"/>
    </row>
    <row r="1909" spans="2:2" ht="15.75" customHeight="1" x14ac:dyDescent="0.2">
      <c r="B1909" s="11"/>
    </row>
    <row r="1910" spans="2:2" ht="15.75" customHeight="1" x14ac:dyDescent="0.2">
      <c r="B1910" s="11"/>
    </row>
    <row r="1911" spans="2:2" ht="15.75" customHeight="1" x14ac:dyDescent="0.2">
      <c r="B1911" s="11"/>
    </row>
    <row r="1912" spans="2:2" ht="15.75" customHeight="1" x14ac:dyDescent="0.2">
      <c r="B1912" s="11"/>
    </row>
    <row r="1913" spans="2:2" ht="15.75" customHeight="1" x14ac:dyDescent="0.2">
      <c r="B1913" s="11"/>
    </row>
    <row r="1914" spans="2:2" ht="15.75" customHeight="1" x14ac:dyDescent="0.2">
      <c r="B1914" s="11"/>
    </row>
    <row r="1915" spans="2:2" ht="15.75" customHeight="1" x14ac:dyDescent="0.2">
      <c r="B1915" s="11"/>
    </row>
    <row r="1916" spans="2:2" ht="15.75" customHeight="1" x14ac:dyDescent="0.2">
      <c r="B1916" s="11"/>
    </row>
    <row r="1917" spans="2:2" ht="15.75" customHeight="1" x14ac:dyDescent="0.2">
      <c r="B1917" s="11"/>
    </row>
    <row r="1918" spans="2:2" ht="15.75" customHeight="1" x14ac:dyDescent="0.2">
      <c r="B1918" s="11"/>
    </row>
    <row r="1919" spans="2:2" ht="15.75" customHeight="1" x14ac:dyDescent="0.2">
      <c r="B1919" s="11"/>
    </row>
    <row r="1920" spans="2:2" ht="15.75" customHeight="1" x14ac:dyDescent="0.2">
      <c r="B1920" s="11"/>
    </row>
    <row r="1921" spans="2:2" ht="15.75" customHeight="1" x14ac:dyDescent="0.2">
      <c r="B1921" s="11"/>
    </row>
    <row r="1922" spans="2:2" ht="15.75" customHeight="1" x14ac:dyDescent="0.2">
      <c r="B1922" s="11"/>
    </row>
    <row r="1923" spans="2:2" ht="15.75" customHeight="1" x14ac:dyDescent="0.2">
      <c r="B1923" s="11"/>
    </row>
    <row r="1924" spans="2:2" ht="15.75" customHeight="1" x14ac:dyDescent="0.2">
      <c r="B1924" s="11"/>
    </row>
    <row r="1925" spans="2:2" ht="15.75" customHeight="1" x14ac:dyDescent="0.2">
      <c r="B1925" s="11"/>
    </row>
    <row r="1926" spans="2:2" ht="15.75" customHeight="1" x14ac:dyDescent="0.2">
      <c r="B1926" s="11"/>
    </row>
    <row r="1927" spans="2:2" ht="15.75" customHeight="1" x14ac:dyDescent="0.2">
      <c r="B1927" s="11"/>
    </row>
    <row r="1928" spans="2:2" ht="15.75" customHeight="1" x14ac:dyDescent="0.2">
      <c r="B1928" s="11"/>
    </row>
    <row r="1929" spans="2:2" ht="15.75" customHeight="1" x14ac:dyDescent="0.2">
      <c r="B1929" s="11"/>
    </row>
    <row r="1930" spans="2:2" ht="15.75" customHeight="1" x14ac:dyDescent="0.2">
      <c r="B1930" s="11"/>
    </row>
    <row r="1931" spans="2:2" ht="15.75" customHeight="1" x14ac:dyDescent="0.2">
      <c r="B1931" s="11"/>
    </row>
    <row r="1932" spans="2:2" ht="15.75" customHeight="1" x14ac:dyDescent="0.2">
      <c r="B1932" s="11"/>
    </row>
    <row r="1933" spans="2:2" ht="15.75" customHeight="1" x14ac:dyDescent="0.2">
      <c r="B1933" s="11"/>
    </row>
    <row r="1934" spans="2:2" ht="15.75" customHeight="1" x14ac:dyDescent="0.2">
      <c r="B1934" s="11"/>
    </row>
    <row r="1935" spans="2:2" ht="15.75" customHeight="1" x14ac:dyDescent="0.2">
      <c r="B1935" s="11"/>
    </row>
    <row r="1936" spans="2:2" ht="15.75" customHeight="1" x14ac:dyDescent="0.2">
      <c r="B1936" s="11"/>
    </row>
    <row r="1937" spans="2:2" ht="15.75" customHeight="1" x14ac:dyDescent="0.2">
      <c r="B1937" s="11"/>
    </row>
    <row r="1938" spans="2:2" ht="15.75" customHeight="1" x14ac:dyDescent="0.2">
      <c r="B1938" s="11"/>
    </row>
    <row r="1939" spans="2:2" ht="15.75" customHeight="1" x14ac:dyDescent="0.2">
      <c r="B1939" s="11"/>
    </row>
    <row r="1940" spans="2:2" ht="15.75" customHeight="1" x14ac:dyDescent="0.2">
      <c r="B1940" s="11"/>
    </row>
    <row r="1941" spans="2:2" ht="15.75" customHeight="1" x14ac:dyDescent="0.2">
      <c r="B1941" s="11"/>
    </row>
    <row r="1942" spans="2:2" ht="15.75" customHeight="1" x14ac:dyDescent="0.2">
      <c r="B1942" s="11"/>
    </row>
    <row r="1943" spans="2:2" ht="15.75" customHeight="1" x14ac:dyDescent="0.2">
      <c r="B1943" s="11"/>
    </row>
    <row r="1944" spans="2:2" ht="15.75" customHeight="1" x14ac:dyDescent="0.2">
      <c r="B1944" s="11"/>
    </row>
    <row r="1945" spans="2:2" ht="15.75" customHeight="1" x14ac:dyDescent="0.2">
      <c r="B1945" s="11"/>
    </row>
    <row r="1946" spans="2:2" ht="15.75" customHeight="1" x14ac:dyDescent="0.2">
      <c r="B1946" s="11"/>
    </row>
    <row r="1947" spans="2:2" ht="15.75" customHeight="1" x14ac:dyDescent="0.2">
      <c r="B1947" s="11"/>
    </row>
    <row r="1948" spans="2:2" ht="15.75" customHeight="1" x14ac:dyDescent="0.2">
      <c r="B1948" s="11"/>
    </row>
    <row r="1949" spans="2:2" ht="15.75" customHeight="1" x14ac:dyDescent="0.2">
      <c r="B1949" s="11"/>
    </row>
    <row r="1950" spans="2:2" ht="15.75" customHeight="1" x14ac:dyDescent="0.2">
      <c r="B1950" s="11"/>
    </row>
    <row r="1951" spans="2:2" ht="15.75" customHeight="1" x14ac:dyDescent="0.2">
      <c r="B1951" s="11"/>
    </row>
    <row r="1952" spans="2:2" ht="15.75" customHeight="1" x14ac:dyDescent="0.2">
      <c r="B1952" s="11"/>
    </row>
    <row r="1953" spans="2:2" ht="15.75" customHeight="1" x14ac:dyDescent="0.2">
      <c r="B1953" s="11"/>
    </row>
    <row r="1954" spans="2:2" ht="15.75" customHeight="1" x14ac:dyDescent="0.2">
      <c r="B1954" s="11"/>
    </row>
    <row r="1955" spans="2:2" ht="15.75" customHeight="1" x14ac:dyDescent="0.2">
      <c r="B1955" s="11"/>
    </row>
    <row r="1956" spans="2:2" ht="15.75" customHeight="1" x14ac:dyDescent="0.2">
      <c r="B1956" s="11"/>
    </row>
    <row r="1957" spans="2:2" ht="15.75" customHeight="1" x14ac:dyDescent="0.2">
      <c r="B1957" s="11"/>
    </row>
    <row r="1958" spans="2:2" ht="15.75" customHeight="1" x14ac:dyDescent="0.2">
      <c r="B1958" s="11"/>
    </row>
    <row r="1959" spans="2:2" ht="15.75" customHeight="1" x14ac:dyDescent="0.2">
      <c r="B1959" s="11"/>
    </row>
    <row r="1960" spans="2:2" ht="15.75" customHeight="1" x14ac:dyDescent="0.2">
      <c r="B1960" s="11"/>
    </row>
    <row r="1961" spans="2:2" ht="15.75" customHeight="1" x14ac:dyDescent="0.2">
      <c r="B1961" s="11"/>
    </row>
    <row r="1962" spans="2:2" ht="15.75" customHeight="1" x14ac:dyDescent="0.2">
      <c r="B1962" s="11"/>
    </row>
    <row r="1963" spans="2:2" ht="15.75" customHeight="1" x14ac:dyDescent="0.2">
      <c r="B1963" s="11"/>
    </row>
    <row r="1964" spans="2:2" ht="15.75" customHeight="1" x14ac:dyDescent="0.2">
      <c r="B1964" s="11"/>
    </row>
    <row r="1965" spans="2:2" ht="15.75" customHeight="1" x14ac:dyDescent="0.2">
      <c r="B1965" s="11"/>
    </row>
    <row r="1966" spans="2:2" ht="15.75" customHeight="1" x14ac:dyDescent="0.2">
      <c r="B1966" s="11"/>
    </row>
    <row r="1967" spans="2:2" ht="15.75" customHeight="1" x14ac:dyDescent="0.2">
      <c r="B1967" s="11"/>
    </row>
    <row r="1968" spans="2:2" ht="15.75" customHeight="1" x14ac:dyDescent="0.2">
      <c r="B1968" s="11"/>
    </row>
    <row r="1969" spans="2:2" ht="15.75" customHeight="1" x14ac:dyDescent="0.2">
      <c r="B1969" s="11"/>
    </row>
    <row r="1970" spans="2:2" ht="15.75" customHeight="1" x14ac:dyDescent="0.2">
      <c r="B1970" s="11"/>
    </row>
    <row r="1971" spans="2:2" ht="15.75" customHeight="1" x14ac:dyDescent="0.2">
      <c r="B1971" s="11"/>
    </row>
    <row r="1972" spans="2:2" ht="15.75" customHeight="1" x14ac:dyDescent="0.2">
      <c r="B1972" s="11"/>
    </row>
    <row r="1973" spans="2:2" ht="15.75" customHeight="1" x14ac:dyDescent="0.2">
      <c r="B1973" s="11"/>
    </row>
    <row r="1974" spans="2:2" ht="15.75" customHeight="1" x14ac:dyDescent="0.2">
      <c r="B1974" s="11"/>
    </row>
    <row r="1975" spans="2:2" ht="15.75" customHeight="1" x14ac:dyDescent="0.2">
      <c r="B1975" s="11"/>
    </row>
    <row r="1976" spans="2:2" ht="15.75" customHeight="1" x14ac:dyDescent="0.2">
      <c r="B1976" s="11"/>
    </row>
    <row r="1977" spans="2:2" ht="15.75" customHeight="1" x14ac:dyDescent="0.2">
      <c r="B1977" s="11"/>
    </row>
    <row r="1978" spans="2:2" ht="15.75" customHeight="1" x14ac:dyDescent="0.2">
      <c r="B1978" s="11"/>
    </row>
    <row r="1979" spans="2:2" ht="15.75" customHeight="1" x14ac:dyDescent="0.2">
      <c r="B1979" s="11"/>
    </row>
    <row r="1980" spans="2:2" ht="15.75" customHeight="1" x14ac:dyDescent="0.2">
      <c r="B1980" s="11"/>
    </row>
    <row r="1981" spans="2:2" ht="15.75" customHeight="1" x14ac:dyDescent="0.2">
      <c r="B1981" s="11"/>
    </row>
    <row r="1982" spans="2:2" ht="15.75" customHeight="1" x14ac:dyDescent="0.2">
      <c r="B1982" s="11"/>
    </row>
    <row r="1983" spans="2:2" ht="15.75" customHeight="1" x14ac:dyDescent="0.2">
      <c r="B1983" s="11"/>
    </row>
    <row r="1984" spans="2:2" ht="15.75" customHeight="1" x14ac:dyDescent="0.2">
      <c r="B1984" s="11"/>
    </row>
    <row r="1985" spans="2:2" ht="15.75" customHeight="1" x14ac:dyDescent="0.2">
      <c r="B1985" s="11"/>
    </row>
    <row r="1986" spans="2:2" ht="15.75" customHeight="1" x14ac:dyDescent="0.2">
      <c r="B1986" s="11"/>
    </row>
    <row r="1987" spans="2:2" ht="15.75" customHeight="1" x14ac:dyDescent="0.2">
      <c r="B1987" s="11"/>
    </row>
    <row r="1988" spans="2:2" ht="15.75" customHeight="1" x14ac:dyDescent="0.2">
      <c r="B1988" s="11"/>
    </row>
    <row r="1989" spans="2:2" ht="15.75" customHeight="1" x14ac:dyDescent="0.2">
      <c r="B1989" s="11"/>
    </row>
    <row r="1990" spans="2:2" ht="15.75" customHeight="1" x14ac:dyDescent="0.2">
      <c r="B1990" s="11"/>
    </row>
    <row r="1991" spans="2:2" ht="15.75" customHeight="1" x14ac:dyDescent="0.2">
      <c r="B1991" s="11"/>
    </row>
    <row r="1992" spans="2:2" ht="15.75" customHeight="1" x14ac:dyDescent="0.2">
      <c r="B1992" s="11"/>
    </row>
    <row r="1993" spans="2:2" ht="15.75" customHeight="1" x14ac:dyDescent="0.2">
      <c r="B1993" s="11"/>
    </row>
    <row r="1994" spans="2:2" ht="15.75" customHeight="1" x14ac:dyDescent="0.2">
      <c r="B1994" s="11"/>
    </row>
    <row r="1995" spans="2:2" ht="15.75" customHeight="1" x14ac:dyDescent="0.2">
      <c r="B1995" s="11"/>
    </row>
    <row r="1996" spans="2:2" ht="15.75" customHeight="1" x14ac:dyDescent="0.2">
      <c r="B1996" s="11"/>
    </row>
    <row r="1997" spans="2:2" ht="15.75" customHeight="1" x14ac:dyDescent="0.2">
      <c r="B1997" s="11"/>
    </row>
    <row r="1998" spans="2:2" ht="15.75" customHeight="1" x14ac:dyDescent="0.2">
      <c r="B1998" s="11"/>
    </row>
    <row r="1999" spans="2:2" ht="15.75" customHeight="1" x14ac:dyDescent="0.2">
      <c r="B1999" s="11"/>
    </row>
    <row r="2000" spans="2:2" ht="15.75" customHeight="1" x14ac:dyDescent="0.2">
      <c r="B2000" s="11"/>
    </row>
    <row r="2001" spans="2:2" ht="15.75" customHeight="1" x14ac:dyDescent="0.2">
      <c r="B2001" s="11"/>
    </row>
    <row r="2002" spans="2:2" ht="15.75" customHeight="1" x14ac:dyDescent="0.2">
      <c r="B2002" s="11"/>
    </row>
    <row r="2003" spans="2:2" ht="15.75" customHeight="1" x14ac:dyDescent="0.2">
      <c r="B2003" s="11"/>
    </row>
    <row r="2004" spans="2:2" ht="15.75" customHeight="1" x14ac:dyDescent="0.2">
      <c r="B2004" s="11"/>
    </row>
    <row r="2005" spans="2:2" ht="15.75" customHeight="1" x14ac:dyDescent="0.2">
      <c r="B2005" s="11"/>
    </row>
    <row r="2006" spans="2:2" ht="15.75" customHeight="1" x14ac:dyDescent="0.2">
      <c r="B2006" s="11"/>
    </row>
    <row r="2007" spans="2:2" ht="15.75" customHeight="1" x14ac:dyDescent="0.2">
      <c r="B2007" s="11"/>
    </row>
    <row r="2008" spans="2:2" ht="15.75" customHeight="1" x14ac:dyDescent="0.2">
      <c r="B2008" s="11"/>
    </row>
    <row r="2009" spans="2:2" ht="15.75" customHeight="1" x14ac:dyDescent="0.2">
      <c r="B2009" s="11"/>
    </row>
    <row r="2010" spans="2:2" ht="15.75" customHeight="1" x14ac:dyDescent="0.2">
      <c r="B2010" s="11"/>
    </row>
    <row r="2011" spans="2:2" ht="15.75" customHeight="1" x14ac:dyDescent="0.2">
      <c r="B2011" s="11"/>
    </row>
    <row r="2012" spans="2:2" ht="15.75" customHeight="1" x14ac:dyDescent="0.2">
      <c r="B2012" s="11"/>
    </row>
    <row r="2013" spans="2:2" ht="15.75" customHeight="1" x14ac:dyDescent="0.2">
      <c r="B2013" s="11"/>
    </row>
    <row r="2014" spans="2:2" ht="15.75" customHeight="1" x14ac:dyDescent="0.2">
      <c r="B2014" s="11"/>
    </row>
    <row r="2015" spans="2:2" ht="15.75" customHeight="1" x14ac:dyDescent="0.2">
      <c r="B2015" s="11"/>
    </row>
    <row r="2016" spans="2:2" ht="15.75" customHeight="1" x14ac:dyDescent="0.2">
      <c r="B2016" s="11"/>
    </row>
    <row r="2017" spans="2:2" ht="15.75" customHeight="1" x14ac:dyDescent="0.2">
      <c r="B2017" s="11"/>
    </row>
    <row r="2018" spans="2:2" ht="15.75" customHeight="1" x14ac:dyDescent="0.2">
      <c r="B2018" s="11"/>
    </row>
    <row r="2019" spans="2:2" ht="15.75" customHeight="1" x14ac:dyDescent="0.2">
      <c r="B2019" s="11"/>
    </row>
    <row r="2020" spans="2:2" ht="15.75" customHeight="1" x14ac:dyDescent="0.2">
      <c r="B2020" s="11"/>
    </row>
    <row r="2021" spans="2:2" ht="15.75" customHeight="1" x14ac:dyDescent="0.2">
      <c r="B2021" s="11"/>
    </row>
    <row r="2022" spans="2:2" ht="15.75" customHeight="1" x14ac:dyDescent="0.2">
      <c r="B2022" s="11"/>
    </row>
    <row r="2023" spans="2:2" ht="15.75" customHeight="1" x14ac:dyDescent="0.2">
      <c r="B2023" s="11"/>
    </row>
    <row r="2024" spans="2:2" ht="15.75" customHeight="1" x14ac:dyDescent="0.2">
      <c r="B2024" s="11"/>
    </row>
    <row r="2025" spans="2:2" ht="15.75" customHeight="1" x14ac:dyDescent="0.2">
      <c r="B2025" s="11"/>
    </row>
    <row r="2026" spans="2:2" ht="15.75" customHeight="1" x14ac:dyDescent="0.2">
      <c r="B2026" s="11"/>
    </row>
    <row r="2027" spans="2:2" ht="15.75" customHeight="1" x14ac:dyDescent="0.2">
      <c r="B2027" s="11"/>
    </row>
    <row r="2028" spans="2:2" ht="15.75" customHeight="1" x14ac:dyDescent="0.2">
      <c r="B2028" s="11"/>
    </row>
    <row r="2029" spans="2:2" ht="15.75" customHeight="1" x14ac:dyDescent="0.2">
      <c r="B2029" s="11"/>
    </row>
    <row r="2030" spans="2:2" ht="15.75" customHeight="1" x14ac:dyDescent="0.2">
      <c r="B2030" s="11"/>
    </row>
    <row r="2031" spans="2:2" ht="15.75" customHeight="1" x14ac:dyDescent="0.2">
      <c r="B2031" s="11"/>
    </row>
    <row r="2032" spans="2:2" ht="15.75" customHeight="1" x14ac:dyDescent="0.2">
      <c r="B2032" s="11"/>
    </row>
    <row r="2033" spans="2:2" ht="15.75" customHeight="1" x14ac:dyDescent="0.2">
      <c r="B2033" s="11"/>
    </row>
    <row r="2034" spans="2:2" ht="15.75" customHeight="1" x14ac:dyDescent="0.2">
      <c r="B2034" s="11"/>
    </row>
    <row r="2035" spans="2:2" ht="15.75" customHeight="1" x14ac:dyDescent="0.2">
      <c r="B2035" s="11"/>
    </row>
    <row r="2036" spans="2:2" ht="15.75" customHeight="1" x14ac:dyDescent="0.2">
      <c r="B2036" s="11"/>
    </row>
    <row r="2037" spans="2:2" ht="15.75" customHeight="1" x14ac:dyDescent="0.2">
      <c r="B2037" s="11"/>
    </row>
    <row r="2038" spans="2:2" ht="15.75" customHeight="1" x14ac:dyDescent="0.2">
      <c r="B2038" s="11"/>
    </row>
    <row r="2039" spans="2:2" ht="15.75" customHeight="1" x14ac:dyDescent="0.2">
      <c r="B2039" s="11"/>
    </row>
    <row r="2040" spans="2:2" ht="15.75" customHeight="1" x14ac:dyDescent="0.2">
      <c r="B2040" s="11"/>
    </row>
    <row r="2041" spans="2:2" ht="15.75" customHeight="1" x14ac:dyDescent="0.2">
      <c r="B2041" s="11"/>
    </row>
    <row r="2042" spans="2:2" ht="15.75" customHeight="1" x14ac:dyDescent="0.2">
      <c r="B2042" s="11"/>
    </row>
    <row r="2043" spans="2:2" ht="15.75" customHeight="1" x14ac:dyDescent="0.2">
      <c r="B2043" s="11"/>
    </row>
    <row r="2044" spans="2:2" ht="15.75" customHeight="1" x14ac:dyDescent="0.2">
      <c r="B2044" s="11"/>
    </row>
    <row r="2045" spans="2:2" ht="15.75" customHeight="1" x14ac:dyDescent="0.2">
      <c r="B2045" s="11"/>
    </row>
    <row r="2046" spans="2:2" ht="15.75" customHeight="1" x14ac:dyDescent="0.2">
      <c r="B2046" s="11"/>
    </row>
    <row r="2047" spans="2:2" ht="15.75" customHeight="1" x14ac:dyDescent="0.2">
      <c r="B2047" s="11"/>
    </row>
    <row r="2048" spans="2:2" ht="15.75" customHeight="1" x14ac:dyDescent="0.2">
      <c r="B2048" s="11"/>
    </row>
    <row r="2049" spans="2:2" ht="15.75" customHeight="1" x14ac:dyDescent="0.2">
      <c r="B2049" s="11"/>
    </row>
    <row r="2050" spans="2:2" ht="15.75" customHeight="1" x14ac:dyDescent="0.2">
      <c r="B2050" s="11"/>
    </row>
    <row r="2051" spans="2:2" ht="15.75" customHeight="1" x14ac:dyDescent="0.2">
      <c r="B2051" s="11"/>
    </row>
    <row r="2052" spans="2:2" ht="15.75" customHeight="1" x14ac:dyDescent="0.2">
      <c r="B2052" s="11"/>
    </row>
    <row r="2053" spans="2:2" ht="15.75" customHeight="1" x14ac:dyDescent="0.2">
      <c r="B2053" s="11"/>
    </row>
    <row r="2054" spans="2:2" ht="15.75" customHeight="1" x14ac:dyDescent="0.2">
      <c r="B2054" s="11"/>
    </row>
    <row r="2055" spans="2:2" ht="15.75" customHeight="1" x14ac:dyDescent="0.2">
      <c r="B2055" s="11"/>
    </row>
    <row r="2056" spans="2:2" ht="15.75" customHeight="1" x14ac:dyDescent="0.2">
      <c r="B2056" s="11"/>
    </row>
    <row r="2057" spans="2:2" ht="15.75" customHeight="1" x14ac:dyDescent="0.2">
      <c r="B2057" s="11"/>
    </row>
    <row r="2058" spans="2:2" ht="15.75" customHeight="1" x14ac:dyDescent="0.2">
      <c r="B2058" s="11"/>
    </row>
    <row r="2059" spans="2:2" ht="15.75" customHeight="1" x14ac:dyDescent="0.2">
      <c r="B2059" s="11"/>
    </row>
    <row r="2060" spans="2:2" ht="15.75" customHeight="1" x14ac:dyDescent="0.2">
      <c r="B2060" s="11"/>
    </row>
    <row r="2061" spans="2:2" ht="15.75" customHeight="1" x14ac:dyDescent="0.2">
      <c r="B2061" s="11"/>
    </row>
    <row r="2062" spans="2:2" ht="15.75" customHeight="1" x14ac:dyDescent="0.2">
      <c r="B2062" s="11"/>
    </row>
    <row r="2063" spans="2:2" ht="15.75" customHeight="1" x14ac:dyDescent="0.2">
      <c r="B2063" s="11"/>
    </row>
    <row r="2064" spans="2:2" ht="15.75" customHeight="1" x14ac:dyDescent="0.2">
      <c r="B2064" s="11"/>
    </row>
    <row r="2065" spans="2:2" ht="15.75" customHeight="1" x14ac:dyDescent="0.2">
      <c r="B2065" s="11"/>
    </row>
    <row r="2066" spans="2:2" ht="15.75" customHeight="1" x14ac:dyDescent="0.2">
      <c r="B2066" s="11"/>
    </row>
    <row r="2067" spans="2:2" ht="15.75" customHeight="1" x14ac:dyDescent="0.2">
      <c r="B2067" s="11"/>
    </row>
    <row r="2068" spans="2:2" ht="15.75" customHeight="1" x14ac:dyDescent="0.2">
      <c r="B2068" s="11"/>
    </row>
    <row r="2069" spans="2:2" ht="15.75" customHeight="1" x14ac:dyDescent="0.2">
      <c r="B2069" s="11"/>
    </row>
    <row r="2070" spans="2:2" ht="15.75" customHeight="1" x14ac:dyDescent="0.2">
      <c r="B2070" s="11"/>
    </row>
    <row r="2071" spans="2:2" ht="15.75" customHeight="1" x14ac:dyDescent="0.2">
      <c r="B2071" s="11"/>
    </row>
    <row r="2072" spans="2:2" ht="15.75" customHeight="1" x14ac:dyDescent="0.2">
      <c r="B2072" s="11"/>
    </row>
    <row r="2073" spans="2:2" ht="15.75" customHeight="1" x14ac:dyDescent="0.2">
      <c r="B2073" s="11"/>
    </row>
    <row r="2074" spans="2:2" ht="15.75" customHeight="1" x14ac:dyDescent="0.2">
      <c r="B2074" s="11"/>
    </row>
    <row r="2075" spans="2:2" ht="15.75" customHeight="1" x14ac:dyDescent="0.2">
      <c r="B2075" s="11"/>
    </row>
    <row r="2076" spans="2:2" ht="15.75" customHeight="1" x14ac:dyDescent="0.2">
      <c r="B2076" s="11"/>
    </row>
    <row r="2077" spans="2:2" ht="15.75" customHeight="1" x14ac:dyDescent="0.2">
      <c r="B2077" s="11"/>
    </row>
    <row r="2078" spans="2:2" ht="15.75" customHeight="1" x14ac:dyDescent="0.2">
      <c r="B2078" s="11"/>
    </row>
    <row r="2079" spans="2:2" ht="15.75" customHeight="1" x14ac:dyDescent="0.2">
      <c r="B2079" s="11"/>
    </row>
    <row r="2080" spans="2:2" ht="15.75" customHeight="1" x14ac:dyDescent="0.2">
      <c r="B2080" s="11"/>
    </row>
    <row r="2081" spans="2:2" ht="15.75" customHeight="1" x14ac:dyDescent="0.2">
      <c r="B2081" s="11"/>
    </row>
    <row r="2082" spans="2:2" ht="15.75" customHeight="1" x14ac:dyDescent="0.2">
      <c r="B2082" s="11"/>
    </row>
    <row r="2083" spans="2:2" ht="15.75" customHeight="1" x14ac:dyDescent="0.2">
      <c r="B2083" s="11"/>
    </row>
    <row r="2084" spans="2:2" ht="15.75" customHeight="1" x14ac:dyDescent="0.2">
      <c r="B2084" s="11"/>
    </row>
    <row r="2085" spans="2:2" ht="15.75" customHeight="1" x14ac:dyDescent="0.2">
      <c r="B2085" s="11"/>
    </row>
    <row r="2086" spans="2:2" ht="15.75" customHeight="1" x14ac:dyDescent="0.2">
      <c r="B2086" s="11"/>
    </row>
    <row r="2087" spans="2:2" ht="15.75" customHeight="1" x14ac:dyDescent="0.2">
      <c r="B2087" s="11"/>
    </row>
    <row r="2088" spans="2:2" ht="15.75" customHeight="1" x14ac:dyDescent="0.2">
      <c r="B2088" s="11"/>
    </row>
    <row r="2089" spans="2:2" ht="15.75" customHeight="1" x14ac:dyDescent="0.2">
      <c r="B2089" s="11"/>
    </row>
    <row r="2090" spans="2:2" ht="15.75" customHeight="1" x14ac:dyDescent="0.2">
      <c r="B2090" s="11"/>
    </row>
    <row r="2091" spans="2:2" ht="15.75" customHeight="1" x14ac:dyDescent="0.2">
      <c r="B2091" s="11"/>
    </row>
    <row r="2092" spans="2:2" ht="15.75" customHeight="1" x14ac:dyDescent="0.2">
      <c r="B2092" s="11"/>
    </row>
    <row r="2093" spans="2:2" ht="15.75" customHeight="1" x14ac:dyDescent="0.2">
      <c r="B2093" s="11"/>
    </row>
    <row r="2094" spans="2:2" ht="15.75" customHeight="1" x14ac:dyDescent="0.2">
      <c r="B2094" s="11"/>
    </row>
    <row r="2095" spans="2:2" ht="15.75" customHeight="1" x14ac:dyDescent="0.2">
      <c r="B2095" s="11"/>
    </row>
    <row r="2096" spans="2:2" ht="15.75" customHeight="1" x14ac:dyDescent="0.2">
      <c r="B2096" s="11"/>
    </row>
    <row r="2097" spans="2:2" ht="15.75" customHeight="1" x14ac:dyDescent="0.2">
      <c r="B2097" s="11"/>
    </row>
    <row r="2098" spans="2:2" ht="15.75" customHeight="1" x14ac:dyDescent="0.2">
      <c r="B2098" s="11"/>
    </row>
    <row r="2099" spans="2:2" ht="15.75" customHeight="1" x14ac:dyDescent="0.2">
      <c r="B2099" s="11"/>
    </row>
    <row r="2100" spans="2:2" ht="15.75" customHeight="1" x14ac:dyDescent="0.2">
      <c r="B2100" s="11"/>
    </row>
    <row r="2101" spans="2:2" ht="15.75" customHeight="1" x14ac:dyDescent="0.2">
      <c r="B2101" s="11"/>
    </row>
    <row r="2102" spans="2:2" ht="15.75" customHeight="1" x14ac:dyDescent="0.2">
      <c r="B2102" s="11"/>
    </row>
    <row r="2103" spans="2:2" ht="15.75" customHeight="1" x14ac:dyDescent="0.2">
      <c r="B2103" s="11"/>
    </row>
    <row r="2104" spans="2:2" ht="15.75" customHeight="1" x14ac:dyDescent="0.2">
      <c r="B2104" s="11"/>
    </row>
    <row r="2105" spans="2:2" ht="15.75" customHeight="1" x14ac:dyDescent="0.2">
      <c r="B2105" s="11"/>
    </row>
    <row r="2106" spans="2:2" ht="15.75" customHeight="1" x14ac:dyDescent="0.2">
      <c r="B2106" s="11"/>
    </row>
    <row r="2107" spans="2:2" ht="15.75" customHeight="1" x14ac:dyDescent="0.2">
      <c r="B2107" s="11"/>
    </row>
    <row r="2108" spans="2:2" ht="15.75" customHeight="1" x14ac:dyDescent="0.2">
      <c r="B2108" s="11"/>
    </row>
    <row r="2109" spans="2:2" ht="15.75" customHeight="1" x14ac:dyDescent="0.2">
      <c r="B2109" s="11"/>
    </row>
    <row r="2110" spans="2:2" ht="15.75" customHeight="1" x14ac:dyDescent="0.2">
      <c r="B2110" s="11"/>
    </row>
    <row r="2111" spans="2:2" ht="15.75" customHeight="1" x14ac:dyDescent="0.2">
      <c r="B2111" s="11"/>
    </row>
    <row r="2112" spans="2:2" ht="15.75" customHeight="1" x14ac:dyDescent="0.2">
      <c r="B2112" s="11"/>
    </row>
    <row r="2113" spans="2:2" ht="15.75" customHeight="1" x14ac:dyDescent="0.2">
      <c r="B2113" s="11"/>
    </row>
    <row r="2114" spans="2:2" ht="15.75" customHeight="1" x14ac:dyDescent="0.2">
      <c r="B2114" s="11"/>
    </row>
    <row r="2115" spans="2:2" ht="15.75" customHeight="1" x14ac:dyDescent="0.2">
      <c r="B2115" s="11"/>
    </row>
    <row r="2116" spans="2:2" ht="15.75" customHeight="1" x14ac:dyDescent="0.2">
      <c r="B2116" s="11"/>
    </row>
    <row r="2117" spans="2:2" ht="15.75" customHeight="1" x14ac:dyDescent="0.2">
      <c r="B2117" s="11"/>
    </row>
    <row r="2118" spans="2:2" ht="15.75" customHeight="1" x14ac:dyDescent="0.2">
      <c r="B2118" s="11"/>
    </row>
    <row r="2119" spans="2:2" ht="15.75" customHeight="1" x14ac:dyDescent="0.2">
      <c r="B2119" s="11"/>
    </row>
    <row r="2120" spans="2:2" ht="15.75" customHeight="1" x14ac:dyDescent="0.2">
      <c r="B2120" s="11"/>
    </row>
    <row r="2121" spans="2:2" ht="15.75" customHeight="1" x14ac:dyDescent="0.2">
      <c r="B2121" s="11"/>
    </row>
    <row r="2122" spans="2:2" ht="15.75" customHeight="1" x14ac:dyDescent="0.2">
      <c r="B2122" s="11"/>
    </row>
    <row r="2123" spans="2:2" ht="15.75" customHeight="1" x14ac:dyDescent="0.2">
      <c r="B2123" s="11"/>
    </row>
    <row r="2124" spans="2:2" ht="15.75" customHeight="1" x14ac:dyDescent="0.2">
      <c r="B2124" s="11"/>
    </row>
    <row r="2125" spans="2:2" ht="15.75" customHeight="1" x14ac:dyDescent="0.2">
      <c r="B2125" s="11"/>
    </row>
    <row r="2126" spans="2:2" ht="15.75" customHeight="1" x14ac:dyDescent="0.2">
      <c r="B2126" s="11"/>
    </row>
    <row r="2127" spans="2:2" ht="15.75" customHeight="1" x14ac:dyDescent="0.2">
      <c r="B2127" s="11"/>
    </row>
    <row r="2128" spans="2:2" ht="15.75" customHeight="1" x14ac:dyDescent="0.2">
      <c r="B2128" s="11"/>
    </row>
    <row r="2129" spans="2:2" ht="15.75" customHeight="1" x14ac:dyDescent="0.2">
      <c r="B2129" s="11"/>
    </row>
    <row r="2130" spans="2:2" ht="15.75" customHeight="1" x14ac:dyDescent="0.2">
      <c r="B2130" s="11"/>
    </row>
    <row r="2131" spans="2:2" ht="15.75" customHeight="1" x14ac:dyDescent="0.2">
      <c r="B2131" s="11"/>
    </row>
    <row r="2132" spans="2:2" ht="15.75" customHeight="1" x14ac:dyDescent="0.2">
      <c r="B2132" s="11"/>
    </row>
    <row r="2133" spans="2:2" ht="15.75" customHeight="1" x14ac:dyDescent="0.2">
      <c r="B2133" s="11"/>
    </row>
    <row r="2134" spans="2:2" ht="15.75" customHeight="1" x14ac:dyDescent="0.2">
      <c r="B2134" s="11"/>
    </row>
    <row r="2135" spans="2:2" ht="15.75" customHeight="1" x14ac:dyDescent="0.2">
      <c r="B2135" s="11"/>
    </row>
    <row r="2136" spans="2:2" ht="15.75" customHeight="1" x14ac:dyDescent="0.2">
      <c r="B2136" s="11"/>
    </row>
    <row r="2137" spans="2:2" ht="15.75" customHeight="1" x14ac:dyDescent="0.2">
      <c r="B2137" s="11"/>
    </row>
    <row r="2138" spans="2:2" ht="15.75" customHeight="1" x14ac:dyDescent="0.2">
      <c r="B2138" s="11"/>
    </row>
    <row r="2139" spans="2:2" ht="15.75" customHeight="1" x14ac:dyDescent="0.2">
      <c r="B2139" s="11"/>
    </row>
    <row r="2140" spans="2:2" ht="15.75" customHeight="1" x14ac:dyDescent="0.2">
      <c r="B2140" s="11"/>
    </row>
    <row r="2141" spans="2:2" ht="15.75" customHeight="1" x14ac:dyDescent="0.2">
      <c r="B2141" s="11"/>
    </row>
    <row r="2142" spans="2:2" ht="15.75" customHeight="1" x14ac:dyDescent="0.2">
      <c r="B2142" s="11"/>
    </row>
    <row r="2143" spans="2:2" ht="15.75" customHeight="1" x14ac:dyDescent="0.2">
      <c r="B2143" s="11"/>
    </row>
    <row r="2144" spans="2:2" ht="15.75" customHeight="1" x14ac:dyDescent="0.2">
      <c r="B2144" s="11"/>
    </row>
    <row r="2145" spans="2:2" ht="15.75" customHeight="1" x14ac:dyDescent="0.2">
      <c r="B2145" s="11"/>
    </row>
    <row r="2146" spans="2:2" ht="15.75" customHeight="1" x14ac:dyDescent="0.2">
      <c r="B2146" s="11"/>
    </row>
    <row r="2147" spans="2:2" ht="15.75" customHeight="1" x14ac:dyDescent="0.2">
      <c r="B2147" s="11"/>
    </row>
    <row r="2148" spans="2:2" ht="15.75" customHeight="1" x14ac:dyDescent="0.2">
      <c r="B2148" s="11"/>
    </row>
    <row r="2149" spans="2:2" ht="15.75" customHeight="1" x14ac:dyDescent="0.2">
      <c r="B2149" s="11"/>
    </row>
    <row r="2150" spans="2:2" ht="15.75" customHeight="1" x14ac:dyDescent="0.2">
      <c r="B2150" s="11"/>
    </row>
    <row r="2151" spans="2:2" ht="15.75" customHeight="1" x14ac:dyDescent="0.2">
      <c r="B2151" s="11"/>
    </row>
    <row r="2152" spans="2:2" ht="15.75" customHeight="1" x14ac:dyDescent="0.2">
      <c r="B2152" s="11"/>
    </row>
    <row r="2153" spans="2:2" ht="15.75" customHeight="1" x14ac:dyDescent="0.2">
      <c r="B2153" s="11"/>
    </row>
    <row r="2154" spans="2:2" ht="15.75" customHeight="1" x14ac:dyDescent="0.2">
      <c r="B2154" s="11"/>
    </row>
    <row r="2155" spans="2:2" ht="15.75" customHeight="1" x14ac:dyDescent="0.2">
      <c r="B2155" s="11"/>
    </row>
    <row r="2156" spans="2:2" ht="15.75" customHeight="1" x14ac:dyDescent="0.2">
      <c r="B2156" s="11"/>
    </row>
    <row r="2157" spans="2:2" ht="15.75" customHeight="1" x14ac:dyDescent="0.2">
      <c r="B2157" s="11"/>
    </row>
    <row r="2158" spans="2:2" ht="15.75" customHeight="1" x14ac:dyDescent="0.2">
      <c r="B2158" s="11"/>
    </row>
    <row r="2159" spans="2:2" ht="15.75" customHeight="1" x14ac:dyDescent="0.2">
      <c r="B2159" s="11"/>
    </row>
    <row r="2160" spans="2:2" ht="15.75" customHeight="1" x14ac:dyDescent="0.2">
      <c r="B2160" s="11"/>
    </row>
    <row r="2161" spans="2:2" ht="15.75" customHeight="1" x14ac:dyDescent="0.2">
      <c r="B2161" s="11"/>
    </row>
    <row r="2162" spans="2:2" ht="15.75" customHeight="1" x14ac:dyDescent="0.2">
      <c r="B2162" s="11"/>
    </row>
    <row r="2163" spans="2:2" ht="15.75" customHeight="1" x14ac:dyDescent="0.2">
      <c r="B2163" s="11"/>
    </row>
    <row r="2164" spans="2:2" ht="15.75" customHeight="1" x14ac:dyDescent="0.2">
      <c r="B2164" s="11"/>
    </row>
    <row r="2165" spans="2:2" ht="15.75" customHeight="1" x14ac:dyDescent="0.2">
      <c r="B2165" s="11"/>
    </row>
    <row r="2166" spans="2:2" ht="15.75" customHeight="1" x14ac:dyDescent="0.2">
      <c r="B2166" s="11"/>
    </row>
    <row r="2167" spans="2:2" ht="15.75" customHeight="1" x14ac:dyDescent="0.2">
      <c r="B2167" s="11"/>
    </row>
    <row r="2168" spans="2:2" ht="15.75" customHeight="1" x14ac:dyDescent="0.2">
      <c r="B2168" s="11"/>
    </row>
    <row r="2169" spans="2:2" ht="15.75" customHeight="1" x14ac:dyDescent="0.2">
      <c r="B2169" s="11"/>
    </row>
    <row r="2170" spans="2:2" ht="15.75" customHeight="1" x14ac:dyDescent="0.2">
      <c r="B2170" s="11"/>
    </row>
    <row r="2171" spans="2:2" ht="15.75" customHeight="1" x14ac:dyDescent="0.2">
      <c r="B2171" s="11"/>
    </row>
    <row r="2172" spans="2:2" ht="15.75" customHeight="1" x14ac:dyDescent="0.2">
      <c r="B2172" s="11"/>
    </row>
    <row r="2173" spans="2:2" ht="15.75" customHeight="1" x14ac:dyDescent="0.2">
      <c r="B2173" s="11"/>
    </row>
    <row r="2174" spans="2:2" ht="15.75" customHeight="1" x14ac:dyDescent="0.2">
      <c r="B2174" s="11"/>
    </row>
    <row r="2175" spans="2:2" ht="15.75" customHeight="1" x14ac:dyDescent="0.2">
      <c r="B2175" s="11"/>
    </row>
    <row r="2176" spans="2:2" ht="15.75" customHeight="1" x14ac:dyDescent="0.2">
      <c r="B2176" s="11"/>
    </row>
    <row r="2177" spans="2:2" ht="15.75" customHeight="1" x14ac:dyDescent="0.2">
      <c r="B2177" s="11"/>
    </row>
    <row r="2178" spans="2:2" ht="15.75" customHeight="1" x14ac:dyDescent="0.2">
      <c r="B2178" s="11"/>
    </row>
    <row r="2179" spans="2:2" ht="15.75" customHeight="1" x14ac:dyDescent="0.2">
      <c r="B2179" s="11"/>
    </row>
    <row r="2180" spans="2:2" ht="15.75" customHeight="1" x14ac:dyDescent="0.2">
      <c r="B2180" s="11"/>
    </row>
    <row r="2181" spans="2:2" ht="15.75" customHeight="1" x14ac:dyDescent="0.2">
      <c r="B2181" s="11"/>
    </row>
    <row r="2182" spans="2:2" ht="15.75" customHeight="1" x14ac:dyDescent="0.2">
      <c r="B2182" s="11"/>
    </row>
    <row r="2183" spans="2:2" ht="15.75" customHeight="1" x14ac:dyDescent="0.2">
      <c r="B2183" s="11"/>
    </row>
    <row r="2184" spans="2:2" ht="15.75" customHeight="1" x14ac:dyDescent="0.2">
      <c r="B2184" s="11"/>
    </row>
    <row r="2185" spans="2:2" ht="15.75" customHeight="1" x14ac:dyDescent="0.2">
      <c r="B2185" s="11"/>
    </row>
    <row r="2186" spans="2:2" ht="15.75" customHeight="1" x14ac:dyDescent="0.2">
      <c r="B2186" s="11"/>
    </row>
    <row r="2187" spans="2:2" ht="15.75" customHeight="1" x14ac:dyDescent="0.2">
      <c r="B2187" s="11"/>
    </row>
    <row r="2188" spans="2:2" ht="15.75" customHeight="1" x14ac:dyDescent="0.2">
      <c r="B2188" s="11"/>
    </row>
    <row r="2189" spans="2:2" ht="15.75" customHeight="1" x14ac:dyDescent="0.2">
      <c r="B2189" s="11"/>
    </row>
    <row r="2190" spans="2:2" ht="15.75" customHeight="1" x14ac:dyDescent="0.2">
      <c r="B2190" s="11"/>
    </row>
    <row r="2191" spans="2:2" ht="15.75" customHeight="1" x14ac:dyDescent="0.2">
      <c r="B2191" s="11"/>
    </row>
    <row r="2192" spans="2:2" ht="15.75" customHeight="1" x14ac:dyDescent="0.2">
      <c r="B2192" s="11"/>
    </row>
    <row r="2193" spans="2:2" ht="15.75" customHeight="1" x14ac:dyDescent="0.2">
      <c r="B2193" s="11"/>
    </row>
    <row r="2194" spans="2:2" ht="15.75" customHeight="1" x14ac:dyDescent="0.2">
      <c r="B2194" s="11"/>
    </row>
    <row r="2195" spans="2:2" ht="15.75" customHeight="1" x14ac:dyDescent="0.2">
      <c r="B2195" s="11"/>
    </row>
    <row r="2196" spans="2:2" ht="15.75" customHeight="1" x14ac:dyDescent="0.2">
      <c r="B2196" s="11"/>
    </row>
    <row r="2197" spans="2:2" ht="15.75" customHeight="1" x14ac:dyDescent="0.2">
      <c r="B2197" s="11"/>
    </row>
    <row r="2198" spans="2:2" ht="15.75" customHeight="1" x14ac:dyDescent="0.2">
      <c r="B2198" s="11"/>
    </row>
    <row r="2199" spans="2:2" ht="15.75" customHeight="1" x14ac:dyDescent="0.2">
      <c r="B2199" s="11"/>
    </row>
    <row r="2200" spans="2:2" ht="15.75" customHeight="1" x14ac:dyDescent="0.2">
      <c r="B2200" s="11"/>
    </row>
    <row r="2201" spans="2:2" ht="15.75" customHeight="1" x14ac:dyDescent="0.2">
      <c r="B2201" s="11"/>
    </row>
    <row r="2202" spans="2:2" ht="15.75" customHeight="1" x14ac:dyDescent="0.2">
      <c r="B2202" s="11"/>
    </row>
    <row r="2203" spans="2:2" ht="15.75" customHeight="1" x14ac:dyDescent="0.2">
      <c r="B2203" s="11"/>
    </row>
    <row r="2204" spans="2:2" ht="15.75" customHeight="1" x14ac:dyDescent="0.2">
      <c r="B2204" s="11"/>
    </row>
    <row r="2205" spans="2:2" ht="15.75" customHeight="1" x14ac:dyDescent="0.2">
      <c r="B2205" s="11"/>
    </row>
    <row r="2206" spans="2:2" ht="15.75" customHeight="1" x14ac:dyDescent="0.2">
      <c r="B2206" s="11"/>
    </row>
    <row r="2207" spans="2:2" ht="15.75" customHeight="1" x14ac:dyDescent="0.2">
      <c r="B2207" s="11"/>
    </row>
    <row r="2208" spans="2:2" ht="15.75" customHeight="1" x14ac:dyDescent="0.2">
      <c r="B2208" s="11"/>
    </row>
    <row r="2209" spans="2:2" ht="15.75" customHeight="1" x14ac:dyDescent="0.2">
      <c r="B2209" s="11"/>
    </row>
    <row r="2210" spans="2:2" ht="15.75" customHeight="1" x14ac:dyDescent="0.2">
      <c r="B2210" s="11"/>
    </row>
    <row r="2211" spans="2:2" ht="15.75" customHeight="1" x14ac:dyDescent="0.2">
      <c r="B2211" s="11"/>
    </row>
    <row r="2212" spans="2:2" ht="15.75" customHeight="1" x14ac:dyDescent="0.2">
      <c r="B2212" s="11"/>
    </row>
    <row r="2213" spans="2:2" ht="15.75" customHeight="1" x14ac:dyDescent="0.2">
      <c r="B2213" s="11"/>
    </row>
    <row r="2214" spans="2:2" ht="15.75" customHeight="1" x14ac:dyDescent="0.2">
      <c r="B2214" s="11"/>
    </row>
    <row r="2215" spans="2:2" ht="15.75" customHeight="1" x14ac:dyDescent="0.2">
      <c r="B2215" s="11"/>
    </row>
    <row r="2216" spans="2:2" ht="15.75" customHeight="1" x14ac:dyDescent="0.2">
      <c r="B2216" s="11"/>
    </row>
    <row r="2217" spans="2:2" ht="15.75" customHeight="1" x14ac:dyDescent="0.2">
      <c r="B2217" s="11"/>
    </row>
    <row r="2218" spans="2:2" ht="15.75" customHeight="1" x14ac:dyDescent="0.2">
      <c r="B2218" s="11"/>
    </row>
    <row r="2219" spans="2:2" ht="15.75" customHeight="1" x14ac:dyDescent="0.2">
      <c r="B2219" s="11"/>
    </row>
    <row r="2220" spans="2:2" ht="15.75" customHeight="1" x14ac:dyDescent="0.2">
      <c r="B2220" s="11"/>
    </row>
    <row r="2221" spans="2:2" ht="15.75" customHeight="1" x14ac:dyDescent="0.2">
      <c r="B2221" s="11"/>
    </row>
    <row r="2222" spans="2:2" ht="15.75" customHeight="1" x14ac:dyDescent="0.2">
      <c r="B2222" s="11"/>
    </row>
    <row r="2223" spans="2:2" ht="15.75" customHeight="1" x14ac:dyDescent="0.2">
      <c r="B2223" s="11"/>
    </row>
    <row r="2224" spans="2:2" ht="15.75" customHeight="1" x14ac:dyDescent="0.2">
      <c r="B2224" s="11"/>
    </row>
    <row r="2225" spans="2:2" ht="15.75" customHeight="1" x14ac:dyDescent="0.2">
      <c r="B2225" s="11"/>
    </row>
    <row r="2226" spans="2:2" ht="15.75" customHeight="1" x14ac:dyDescent="0.2">
      <c r="B2226" s="11"/>
    </row>
    <row r="2227" spans="2:2" ht="15.75" customHeight="1" x14ac:dyDescent="0.2">
      <c r="B2227" s="11"/>
    </row>
    <row r="2228" spans="2:2" ht="15.75" customHeight="1" x14ac:dyDescent="0.2">
      <c r="B2228" s="11"/>
    </row>
    <row r="2229" spans="2:2" ht="15.75" customHeight="1" x14ac:dyDescent="0.2">
      <c r="B2229" s="11"/>
    </row>
    <row r="2230" spans="2:2" ht="15.75" customHeight="1" x14ac:dyDescent="0.2">
      <c r="B2230" s="11"/>
    </row>
    <row r="2231" spans="2:2" ht="15.75" customHeight="1" x14ac:dyDescent="0.2">
      <c r="B2231" s="11"/>
    </row>
    <row r="2232" spans="2:2" ht="15.75" customHeight="1" x14ac:dyDescent="0.2">
      <c r="B2232" s="11"/>
    </row>
    <row r="2233" spans="2:2" ht="15.75" customHeight="1" x14ac:dyDescent="0.2">
      <c r="B2233" s="11"/>
    </row>
    <row r="2234" spans="2:2" ht="15.75" customHeight="1" x14ac:dyDescent="0.2">
      <c r="B2234" s="11"/>
    </row>
    <row r="2235" spans="2:2" ht="15.75" customHeight="1" x14ac:dyDescent="0.2">
      <c r="B2235" s="11"/>
    </row>
    <row r="2236" spans="2:2" ht="15.75" customHeight="1" x14ac:dyDescent="0.2">
      <c r="B2236" s="11"/>
    </row>
    <row r="2237" spans="2:2" ht="15.75" customHeight="1" x14ac:dyDescent="0.2">
      <c r="B2237" s="11"/>
    </row>
    <row r="2238" spans="2:2" ht="15.75" customHeight="1" x14ac:dyDescent="0.2">
      <c r="B2238" s="11"/>
    </row>
    <row r="2239" spans="2:2" ht="15.75" customHeight="1" x14ac:dyDescent="0.2">
      <c r="B2239" s="11"/>
    </row>
    <row r="2240" spans="2:2" ht="15.75" customHeight="1" x14ac:dyDescent="0.2">
      <c r="B2240" s="11"/>
    </row>
    <row r="2241" spans="2:2" ht="15.75" customHeight="1" x14ac:dyDescent="0.2">
      <c r="B2241" s="11"/>
    </row>
    <row r="2242" spans="2:2" ht="15.75" customHeight="1" x14ac:dyDescent="0.2">
      <c r="B2242" s="11"/>
    </row>
    <row r="2243" spans="2:2" ht="15.75" customHeight="1" x14ac:dyDescent="0.2">
      <c r="B2243" s="11"/>
    </row>
    <row r="2244" spans="2:2" ht="15.75" customHeight="1" x14ac:dyDescent="0.2">
      <c r="B2244" s="11"/>
    </row>
    <row r="2245" spans="2:2" ht="15.75" customHeight="1" x14ac:dyDescent="0.2">
      <c r="B2245" s="11"/>
    </row>
    <row r="2246" spans="2:2" ht="15.75" customHeight="1" x14ac:dyDescent="0.2">
      <c r="B2246" s="11"/>
    </row>
    <row r="2247" spans="2:2" ht="15.75" customHeight="1" x14ac:dyDescent="0.2">
      <c r="B2247" s="11"/>
    </row>
    <row r="2248" spans="2:2" ht="15.75" customHeight="1" x14ac:dyDescent="0.2">
      <c r="B2248" s="11"/>
    </row>
    <row r="2249" spans="2:2" ht="15.75" customHeight="1" x14ac:dyDescent="0.2">
      <c r="B2249" s="11"/>
    </row>
    <row r="2250" spans="2:2" ht="15.75" customHeight="1" x14ac:dyDescent="0.2">
      <c r="B2250" s="11"/>
    </row>
    <row r="2251" spans="2:2" ht="15.75" customHeight="1" x14ac:dyDescent="0.2">
      <c r="B2251" s="11"/>
    </row>
    <row r="2252" spans="2:2" ht="15.75" customHeight="1" x14ac:dyDescent="0.2">
      <c r="B2252" s="11"/>
    </row>
    <row r="2253" spans="2:2" ht="15.75" customHeight="1" x14ac:dyDescent="0.2">
      <c r="B2253" s="11"/>
    </row>
    <row r="2254" spans="2:2" ht="15.75" customHeight="1" x14ac:dyDescent="0.2">
      <c r="B2254" s="11"/>
    </row>
    <row r="2255" spans="2:2" ht="15.75" customHeight="1" x14ac:dyDescent="0.2">
      <c r="B2255" s="11"/>
    </row>
    <row r="2256" spans="2:2" ht="15.75" customHeight="1" x14ac:dyDescent="0.2">
      <c r="B2256" s="11"/>
    </row>
    <row r="2257" spans="2:2" ht="15.75" customHeight="1" x14ac:dyDescent="0.2">
      <c r="B2257" s="11"/>
    </row>
    <row r="2258" spans="2:2" ht="15.75" customHeight="1" x14ac:dyDescent="0.2">
      <c r="B2258" s="11"/>
    </row>
    <row r="2259" spans="2:2" ht="15.75" customHeight="1" x14ac:dyDescent="0.2">
      <c r="B2259" s="11"/>
    </row>
    <row r="2260" spans="2:2" ht="15.75" customHeight="1" x14ac:dyDescent="0.2">
      <c r="B2260" s="11"/>
    </row>
    <row r="2261" spans="2:2" ht="15.75" customHeight="1" x14ac:dyDescent="0.2">
      <c r="B2261" s="11"/>
    </row>
    <row r="2262" spans="2:2" ht="15.75" customHeight="1" x14ac:dyDescent="0.2">
      <c r="B2262" s="11"/>
    </row>
    <row r="2263" spans="2:2" ht="15.75" customHeight="1" x14ac:dyDescent="0.2">
      <c r="B2263" s="11"/>
    </row>
    <row r="2264" spans="2:2" ht="15.75" customHeight="1" x14ac:dyDescent="0.2">
      <c r="B2264" s="11"/>
    </row>
    <row r="2265" spans="2:2" ht="15.75" customHeight="1" x14ac:dyDescent="0.2">
      <c r="B2265" s="11"/>
    </row>
    <row r="2266" spans="2:2" ht="15.75" customHeight="1" x14ac:dyDescent="0.2">
      <c r="B2266" s="11"/>
    </row>
    <row r="2267" spans="2:2" ht="15.75" customHeight="1" x14ac:dyDescent="0.2">
      <c r="B2267" s="11"/>
    </row>
    <row r="2268" spans="2:2" ht="15.75" customHeight="1" x14ac:dyDescent="0.2">
      <c r="B2268" s="11"/>
    </row>
    <row r="2269" spans="2:2" ht="15.75" customHeight="1" x14ac:dyDescent="0.2">
      <c r="B2269" s="11"/>
    </row>
    <row r="2270" spans="2:2" ht="15.75" customHeight="1" x14ac:dyDescent="0.2">
      <c r="B2270" s="11"/>
    </row>
    <row r="2271" spans="2:2" ht="15.75" customHeight="1" x14ac:dyDescent="0.2">
      <c r="B2271" s="11"/>
    </row>
    <row r="2272" spans="2:2" ht="15.75" customHeight="1" x14ac:dyDescent="0.2">
      <c r="B2272" s="11"/>
    </row>
    <row r="2273" spans="2:2" ht="15.75" customHeight="1" x14ac:dyDescent="0.2">
      <c r="B2273" s="11"/>
    </row>
    <row r="2274" spans="2:2" ht="15.75" customHeight="1" x14ac:dyDescent="0.2">
      <c r="B2274" s="11"/>
    </row>
    <row r="2275" spans="2:2" ht="15.75" customHeight="1" x14ac:dyDescent="0.2">
      <c r="B2275" s="11"/>
    </row>
    <row r="2276" spans="2:2" ht="15.75" customHeight="1" x14ac:dyDescent="0.2">
      <c r="B2276" s="11"/>
    </row>
    <row r="2277" spans="2:2" ht="15.75" customHeight="1" x14ac:dyDescent="0.2">
      <c r="B2277" s="11"/>
    </row>
    <row r="2278" spans="2:2" ht="15.75" customHeight="1" x14ac:dyDescent="0.2">
      <c r="B2278" s="11"/>
    </row>
    <row r="2279" spans="2:2" ht="15.75" customHeight="1" x14ac:dyDescent="0.2">
      <c r="B2279" s="11"/>
    </row>
    <row r="2280" spans="2:2" ht="15.75" customHeight="1" x14ac:dyDescent="0.2">
      <c r="B2280" s="11"/>
    </row>
    <row r="2281" spans="2:2" ht="15.75" customHeight="1" x14ac:dyDescent="0.2">
      <c r="B2281" s="11"/>
    </row>
    <row r="2282" spans="2:2" ht="15.75" customHeight="1" x14ac:dyDescent="0.2">
      <c r="B2282" s="11"/>
    </row>
    <row r="2283" spans="2:2" ht="15.75" customHeight="1" x14ac:dyDescent="0.2">
      <c r="B2283" s="11"/>
    </row>
    <row r="2284" spans="2:2" ht="15.75" customHeight="1" x14ac:dyDescent="0.2">
      <c r="B2284" s="11"/>
    </row>
    <row r="2285" spans="2:2" ht="15.75" customHeight="1" x14ac:dyDescent="0.2">
      <c r="B2285" s="11"/>
    </row>
    <row r="2286" spans="2:2" ht="15.75" customHeight="1" x14ac:dyDescent="0.2">
      <c r="B2286" s="11"/>
    </row>
    <row r="2287" spans="2:2" ht="15.75" customHeight="1" x14ac:dyDescent="0.2">
      <c r="B2287" s="11"/>
    </row>
    <row r="2288" spans="2:2" ht="15.75" customHeight="1" x14ac:dyDescent="0.2">
      <c r="B2288" s="11"/>
    </row>
    <row r="2289" spans="2:2" ht="15.75" customHeight="1" x14ac:dyDescent="0.2">
      <c r="B2289" s="11"/>
    </row>
    <row r="2290" spans="2:2" ht="15.75" customHeight="1" x14ac:dyDescent="0.2">
      <c r="B2290" s="11"/>
    </row>
    <row r="2291" spans="2:2" ht="15.75" customHeight="1" x14ac:dyDescent="0.2">
      <c r="B2291" s="11"/>
    </row>
    <row r="2292" spans="2:2" ht="15.75" customHeight="1" x14ac:dyDescent="0.2">
      <c r="B2292" s="11"/>
    </row>
    <row r="2293" spans="2:2" ht="15.75" customHeight="1" x14ac:dyDescent="0.2">
      <c r="B2293" s="11"/>
    </row>
    <row r="2294" spans="2:2" ht="15.75" customHeight="1" x14ac:dyDescent="0.2">
      <c r="B2294" s="11"/>
    </row>
    <row r="2295" spans="2:2" ht="15.75" customHeight="1" x14ac:dyDescent="0.2">
      <c r="B2295" s="11"/>
    </row>
    <row r="2296" spans="2:2" ht="15.75" customHeight="1" x14ac:dyDescent="0.2">
      <c r="B2296" s="11"/>
    </row>
    <row r="2297" spans="2:2" ht="15.75" customHeight="1" x14ac:dyDescent="0.2">
      <c r="B2297" s="11"/>
    </row>
    <row r="2298" spans="2:2" ht="15.75" customHeight="1" x14ac:dyDescent="0.2">
      <c r="B2298" s="11"/>
    </row>
    <row r="2299" spans="2:2" ht="15.75" customHeight="1" x14ac:dyDescent="0.2">
      <c r="B2299" s="11"/>
    </row>
    <row r="2300" spans="2:2" ht="15.75" customHeight="1" x14ac:dyDescent="0.2">
      <c r="B2300" s="11"/>
    </row>
    <row r="2301" spans="2:2" ht="15.75" customHeight="1" x14ac:dyDescent="0.2">
      <c r="B2301" s="11"/>
    </row>
    <row r="2302" spans="2:2" ht="15.75" customHeight="1" x14ac:dyDescent="0.2">
      <c r="B2302" s="11"/>
    </row>
    <row r="2303" spans="2:2" ht="15.75" customHeight="1" x14ac:dyDescent="0.2">
      <c r="B2303" s="11"/>
    </row>
    <row r="2304" spans="2:2" ht="15.75" customHeight="1" x14ac:dyDescent="0.2">
      <c r="B2304" s="11"/>
    </row>
    <row r="2305" spans="2:2" ht="15.75" customHeight="1" x14ac:dyDescent="0.2">
      <c r="B2305" s="11"/>
    </row>
    <row r="2306" spans="2:2" ht="15.75" customHeight="1" x14ac:dyDescent="0.2">
      <c r="B2306" s="11"/>
    </row>
    <row r="2307" spans="2:2" ht="15.75" customHeight="1" x14ac:dyDescent="0.2">
      <c r="B2307" s="11"/>
    </row>
    <row r="2308" spans="2:2" ht="15.75" customHeight="1" x14ac:dyDescent="0.2">
      <c r="B2308" s="11"/>
    </row>
    <row r="2309" spans="2:2" ht="15.75" customHeight="1" x14ac:dyDescent="0.2">
      <c r="B2309" s="11"/>
    </row>
    <row r="2310" spans="2:2" ht="15.75" customHeight="1" x14ac:dyDescent="0.2">
      <c r="B2310" s="11"/>
    </row>
    <row r="2311" spans="2:2" ht="15.75" customHeight="1" x14ac:dyDescent="0.2">
      <c r="B2311" s="11"/>
    </row>
    <row r="2312" spans="2:2" ht="15.75" customHeight="1" x14ac:dyDescent="0.2">
      <c r="B2312" s="11"/>
    </row>
    <row r="2313" spans="2:2" ht="15.75" customHeight="1" x14ac:dyDescent="0.2">
      <c r="B2313" s="11"/>
    </row>
    <row r="2314" spans="2:2" ht="15.75" customHeight="1" x14ac:dyDescent="0.2">
      <c r="B2314" s="11"/>
    </row>
    <row r="2315" spans="2:2" ht="15.75" customHeight="1" x14ac:dyDescent="0.2">
      <c r="B2315" s="11"/>
    </row>
    <row r="2316" spans="2:2" ht="15.75" customHeight="1" x14ac:dyDescent="0.2">
      <c r="B2316" s="11"/>
    </row>
    <row r="2317" spans="2:2" ht="15.75" customHeight="1" x14ac:dyDescent="0.2">
      <c r="B2317" s="11"/>
    </row>
    <row r="2318" spans="2:2" ht="15.75" customHeight="1" x14ac:dyDescent="0.2">
      <c r="B2318" s="11"/>
    </row>
    <row r="2319" spans="2:2" ht="15.75" customHeight="1" x14ac:dyDescent="0.2">
      <c r="B2319" s="11"/>
    </row>
    <row r="2320" spans="2:2" ht="15.75" customHeight="1" x14ac:dyDescent="0.2">
      <c r="B2320" s="11"/>
    </row>
    <row r="2321" spans="2:2" ht="15.75" customHeight="1" x14ac:dyDescent="0.2">
      <c r="B2321" s="11"/>
    </row>
    <row r="2322" spans="2:2" ht="15.75" customHeight="1" x14ac:dyDescent="0.2">
      <c r="B2322" s="11"/>
    </row>
    <row r="2323" spans="2:2" ht="15.75" customHeight="1" x14ac:dyDescent="0.2">
      <c r="B2323" s="11"/>
    </row>
    <row r="2324" spans="2:2" ht="15.75" customHeight="1" x14ac:dyDescent="0.2">
      <c r="B2324" s="11"/>
    </row>
    <row r="2325" spans="2:2" ht="15.75" customHeight="1" x14ac:dyDescent="0.2">
      <c r="B2325" s="11"/>
    </row>
    <row r="2326" spans="2:2" ht="15.75" customHeight="1" x14ac:dyDescent="0.2">
      <c r="B2326" s="11"/>
    </row>
    <row r="2327" spans="2:2" ht="15.75" customHeight="1" x14ac:dyDescent="0.2">
      <c r="B2327" s="11"/>
    </row>
    <row r="2328" spans="2:2" ht="15.75" customHeight="1" x14ac:dyDescent="0.2">
      <c r="B2328" s="11"/>
    </row>
    <row r="2329" spans="2:2" ht="15.75" customHeight="1" x14ac:dyDescent="0.2">
      <c r="B2329" s="11"/>
    </row>
    <row r="2330" spans="2:2" ht="15.75" customHeight="1" x14ac:dyDescent="0.2">
      <c r="B2330" s="11"/>
    </row>
    <row r="2331" spans="2:2" ht="15.75" customHeight="1" x14ac:dyDescent="0.2">
      <c r="B2331" s="11"/>
    </row>
    <row r="2332" spans="2:2" ht="15.75" customHeight="1" x14ac:dyDescent="0.2">
      <c r="B2332" s="11"/>
    </row>
    <row r="2333" spans="2:2" ht="15.75" customHeight="1" x14ac:dyDescent="0.2">
      <c r="B2333" s="11"/>
    </row>
    <row r="2334" spans="2:2" ht="15.75" customHeight="1" x14ac:dyDescent="0.2">
      <c r="B2334" s="11"/>
    </row>
    <row r="2335" spans="2:2" ht="15.75" customHeight="1" x14ac:dyDescent="0.2">
      <c r="B2335" s="11"/>
    </row>
    <row r="2336" spans="2:2" ht="15.75" customHeight="1" x14ac:dyDescent="0.2">
      <c r="B2336" s="11"/>
    </row>
    <row r="2337" spans="2:2" ht="15.75" customHeight="1" x14ac:dyDescent="0.2">
      <c r="B2337" s="11"/>
    </row>
    <row r="2338" spans="2:2" ht="15.75" customHeight="1" x14ac:dyDescent="0.2">
      <c r="B2338" s="11"/>
    </row>
    <row r="2339" spans="2:2" ht="15.75" customHeight="1" x14ac:dyDescent="0.2">
      <c r="B2339" s="11"/>
    </row>
    <row r="2340" spans="2:2" ht="15.75" customHeight="1" x14ac:dyDescent="0.2">
      <c r="B2340" s="11"/>
    </row>
    <row r="2341" spans="2:2" ht="15.75" customHeight="1" x14ac:dyDescent="0.2">
      <c r="B2341" s="11"/>
    </row>
    <row r="2342" spans="2:2" ht="15.75" customHeight="1" x14ac:dyDescent="0.2">
      <c r="B2342" s="11"/>
    </row>
    <row r="2343" spans="2:2" ht="15.75" customHeight="1" x14ac:dyDescent="0.2">
      <c r="B2343" s="11"/>
    </row>
    <row r="2344" spans="2:2" ht="15.75" customHeight="1" x14ac:dyDescent="0.2">
      <c r="B2344" s="11"/>
    </row>
    <row r="2345" spans="2:2" ht="15.75" customHeight="1" x14ac:dyDescent="0.2">
      <c r="B2345" s="11"/>
    </row>
    <row r="2346" spans="2:2" ht="15.75" customHeight="1" x14ac:dyDescent="0.2">
      <c r="B2346" s="11"/>
    </row>
    <row r="2347" spans="2:2" ht="15.75" customHeight="1" x14ac:dyDescent="0.2">
      <c r="B2347" s="11"/>
    </row>
    <row r="2348" spans="2:2" ht="15.75" customHeight="1" x14ac:dyDescent="0.2">
      <c r="B2348" s="11"/>
    </row>
    <row r="2349" spans="2:2" ht="15.75" customHeight="1" x14ac:dyDescent="0.2">
      <c r="B2349" s="11"/>
    </row>
    <row r="2350" spans="2:2" ht="15.75" customHeight="1" x14ac:dyDescent="0.2">
      <c r="B2350" s="11"/>
    </row>
    <row r="2351" spans="2:2" ht="15.75" customHeight="1" x14ac:dyDescent="0.2">
      <c r="B2351" s="11"/>
    </row>
    <row r="2352" spans="2:2" ht="15.75" customHeight="1" x14ac:dyDescent="0.2">
      <c r="B2352" s="11"/>
    </row>
    <row r="2353" spans="2:2" ht="15.75" customHeight="1" x14ac:dyDescent="0.2">
      <c r="B2353" s="11"/>
    </row>
    <row r="2354" spans="2:2" ht="15.75" customHeight="1" x14ac:dyDescent="0.2">
      <c r="B2354" s="11"/>
    </row>
    <row r="2355" spans="2:2" ht="15.75" customHeight="1" x14ac:dyDescent="0.2">
      <c r="B2355" s="11"/>
    </row>
    <row r="2356" spans="2:2" ht="15.75" customHeight="1" x14ac:dyDescent="0.2">
      <c r="B2356" s="11"/>
    </row>
    <row r="2357" spans="2:2" ht="15.75" customHeight="1" x14ac:dyDescent="0.2">
      <c r="B2357" s="11"/>
    </row>
    <row r="2358" spans="2:2" ht="15.75" customHeight="1" x14ac:dyDescent="0.2">
      <c r="B2358" s="11"/>
    </row>
    <row r="2359" spans="2:2" ht="15.75" customHeight="1" x14ac:dyDescent="0.2">
      <c r="B2359" s="11"/>
    </row>
    <row r="2360" spans="2:2" ht="15.75" customHeight="1" x14ac:dyDescent="0.2">
      <c r="B2360" s="11"/>
    </row>
    <row r="2361" spans="2:2" ht="15.75" customHeight="1" x14ac:dyDescent="0.2">
      <c r="B2361" s="11"/>
    </row>
    <row r="2362" spans="2:2" ht="15.75" customHeight="1" x14ac:dyDescent="0.2">
      <c r="B2362" s="11"/>
    </row>
    <row r="2363" spans="2:2" ht="15.75" customHeight="1" x14ac:dyDescent="0.2">
      <c r="B2363" s="11"/>
    </row>
    <row r="2364" spans="2:2" ht="15.75" customHeight="1" x14ac:dyDescent="0.2">
      <c r="B2364" s="11"/>
    </row>
    <row r="2365" spans="2:2" ht="15.75" customHeight="1" x14ac:dyDescent="0.2">
      <c r="B2365" s="11"/>
    </row>
    <row r="2366" spans="2:2" ht="15.75" customHeight="1" x14ac:dyDescent="0.2">
      <c r="B2366" s="11"/>
    </row>
    <row r="2367" spans="2:2" ht="15.75" customHeight="1" x14ac:dyDescent="0.2">
      <c r="B2367" s="11"/>
    </row>
    <row r="2368" spans="2:2" ht="15.75" customHeight="1" x14ac:dyDescent="0.2">
      <c r="B2368" s="11"/>
    </row>
    <row r="2369" spans="2:2" ht="15.75" customHeight="1" x14ac:dyDescent="0.2">
      <c r="B2369" s="11"/>
    </row>
    <row r="2370" spans="2:2" ht="15.75" customHeight="1" x14ac:dyDescent="0.2">
      <c r="B2370" s="11"/>
    </row>
    <row r="2371" spans="2:2" ht="15.75" customHeight="1" x14ac:dyDescent="0.2">
      <c r="B2371" s="11"/>
    </row>
    <row r="2372" spans="2:2" ht="15.75" customHeight="1" x14ac:dyDescent="0.2">
      <c r="B2372" s="11"/>
    </row>
    <row r="2373" spans="2:2" ht="15.75" customHeight="1" x14ac:dyDescent="0.2">
      <c r="B2373" s="11"/>
    </row>
    <row r="2374" spans="2:2" ht="15.75" customHeight="1" x14ac:dyDescent="0.2">
      <c r="B2374" s="11"/>
    </row>
    <row r="2375" spans="2:2" ht="15.75" customHeight="1" x14ac:dyDescent="0.2">
      <c r="B2375" s="11"/>
    </row>
    <row r="2376" spans="2:2" ht="15.75" customHeight="1" x14ac:dyDescent="0.2">
      <c r="B2376" s="11"/>
    </row>
    <row r="2377" spans="2:2" ht="15.75" customHeight="1" x14ac:dyDescent="0.2">
      <c r="B2377" s="11"/>
    </row>
    <row r="2378" spans="2:2" ht="15.75" customHeight="1" x14ac:dyDescent="0.2">
      <c r="B2378" s="11"/>
    </row>
    <row r="2379" spans="2:2" ht="15.75" customHeight="1" x14ac:dyDescent="0.2">
      <c r="B2379" s="11"/>
    </row>
    <row r="2380" spans="2:2" ht="15.75" customHeight="1" x14ac:dyDescent="0.2">
      <c r="B2380" s="11"/>
    </row>
    <row r="2381" spans="2:2" ht="15.75" customHeight="1" x14ac:dyDescent="0.2">
      <c r="B2381" s="11"/>
    </row>
    <row r="2382" spans="2:2" ht="15.75" customHeight="1" x14ac:dyDescent="0.2">
      <c r="B2382" s="11"/>
    </row>
    <row r="2383" spans="2:2" ht="15.75" customHeight="1" x14ac:dyDescent="0.2">
      <c r="B2383" s="11"/>
    </row>
    <row r="2384" spans="2:2" ht="15.75" customHeight="1" x14ac:dyDescent="0.2">
      <c r="B2384" s="11"/>
    </row>
    <row r="2385" spans="2:2" ht="15.75" customHeight="1" x14ac:dyDescent="0.2">
      <c r="B2385" s="11"/>
    </row>
    <row r="2386" spans="2:2" ht="15.75" customHeight="1" x14ac:dyDescent="0.2">
      <c r="B2386" s="11"/>
    </row>
    <row r="2387" spans="2:2" ht="15.75" customHeight="1" x14ac:dyDescent="0.2">
      <c r="B2387" s="11"/>
    </row>
    <row r="2388" spans="2:2" ht="15.75" customHeight="1" x14ac:dyDescent="0.2">
      <c r="B2388" s="11"/>
    </row>
    <row r="2389" spans="2:2" ht="15.75" customHeight="1" x14ac:dyDescent="0.2">
      <c r="B2389" s="11"/>
    </row>
    <row r="2390" spans="2:2" ht="15.75" customHeight="1" x14ac:dyDescent="0.2">
      <c r="B2390" s="11"/>
    </row>
    <row r="2391" spans="2:2" ht="15.75" customHeight="1" x14ac:dyDescent="0.2">
      <c r="B2391" s="11"/>
    </row>
    <row r="2392" spans="2:2" ht="15.75" customHeight="1" x14ac:dyDescent="0.2">
      <c r="B2392" s="11"/>
    </row>
    <row r="2393" spans="2:2" ht="15.75" customHeight="1" x14ac:dyDescent="0.2">
      <c r="B2393" s="11"/>
    </row>
    <row r="2394" spans="2:2" ht="15.75" customHeight="1" x14ac:dyDescent="0.2">
      <c r="B2394" s="11"/>
    </row>
    <row r="2395" spans="2:2" ht="15.75" customHeight="1" x14ac:dyDescent="0.2">
      <c r="B2395" s="11"/>
    </row>
    <row r="2396" spans="2:2" ht="15.75" customHeight="1" x14ac:dyDescent="0.2">
      <c r="B2396" s="11"/>
    </row>
    <row r="2397" spans="2:2" ht="15.75" customHeight="1" x14ac:dyDescent="0.2">
      <c r="B2397" s="11"/>
    </row>
    <row r="2398" spans="2:2" ht="15.75" customHeight="1" x14ac:dyDescent="0.2">
      <c r="B2398" s="11"/>
    </row>
    <row r="2399" spans="2:2" ht="15.75" customHeight="1" x14ac:dyDescent="0.2">
      <c r="B2399" s="11"/>
    </row>
    <row r="2400" spans="2:2" ht="15.75" customHeight="1" x14ac:dyDescent="0.2">
      <c r="B2400" s="11"/>
    </row>
    <row r="2401" spans="2:2" ht="15.75" customHeight="1" x14ac:dyDescent="0.2">
      <c r="B2401" s="11"/>
    </row>
    <row r="2402" spans="2:2" ht="15.75" customHeight="1" x14ac:dyDescent="0.2">
      <c r="B2402" s="11"/>
    </row>
    <row r="2403" spans="2:2" ht="15.75" customHeight="1" x14ac:dyDescent="0.2">
      <c r="B2403" s="11"/>
    </row>
    <row r="2404" spans="2:2" ht="15.75" customHeight="1" x14ac:dyDescent="0.2">
      <c r="B2404" s="11"/>
    </row>
    <row r="2405" spans="2:2" ht="15.75" customHeight="1" x14ac:dyDescent="0.2">
      <c r="B2405" s="11"/>
    </row>
    <row r="2406" spans="2:2" ht="15.75" customHeight="1" x14ac:dyDescent="0.2">
      <c r="B2406" s="11"/>
    </row>
    <row r="2407" spans="2:2" ht="15.75" customHeight="1" x14ac:dyDescent="0.2">
      <c r="B2407" s="11"/>
    </row>
    <row r="2408" spans="2:2" ht="15.75" customHeight="1" x14ac:dyDescent="0.2">
      <c r="B2408" s="11"/>
    </row>
    <row r="2409" spans="2:2" ht="15.75" customHeight="1" x14ac:dyDescent="0.2">
      <c r="B2409" s="11"/>
    </row>
    <row r="2410" spans="2:2" ht="15.75" customHeight="1" x14ac:dyDescent="0.2">
      <c r="B2410" s="11"/>
    </row>
    <row r="2411" spans="2:2" ht="15.75" customHeight="1" x14ac:dyDescent="0.2">
      <c r="B2411" s="11"/>
    </row>
    <row r="2412" spans="2:2" ht="15.75" customHeight="1" x14ac:dyDescent="0.2">
      <c r="B2412" s="11"/>
    </row>
    <row r="2413" spans="2:2" ht="15.75" customHeight="1" x14ac:dyDescent="0.2">
      <c r="B2413" s="11"/>
    </row>
    <row r="2414" spans="2:2" ht="15.75" customHeight="1" x14ac:dyDescent="0.2">
      <c r="B2414" s="11"/>
    </row>
    <row r="2415" spans="2:2" ht="15.75" customHeight="1" x14ac:dyDescent="0.2">
      <c r="B2415" s="11"/>
    </row>
    <row r="2416" spans="2:2" ht="15.75" customHeight="1" x14ac:dyDescent="0.2">
      <c r="B2416" s="11"/>
    </row>
    <row r="2417" spans="2:2" ht="15.75" customHeight="1" x14ac:dyDescent="0.2">
      <c r="B2417" s="11"/>
    </row>
    <row r="2418" spans="2:2" ht="15.75" customHeight="1" x14ac:dyDescent="0.2">
      <c r="B2418" s="11"/>
    </row>
    <row r="2419" spans="2:2" ht="15.75" customHeight="1" x14ac:dyDescent="0.2">
      <c r="B2419" s="11"/>
    </row>
    <row r="2420" spans="2:2" ht="15.75" customHeight="1" x14ac:dyDescent="0.2">
      <c r="B2420" s="11"/>
    </row>
    <row r="2421" spans="2:2" ht="15.75" customHeight="1" x14ac:dyDescent="0.2">
      <c r="B2421" s="11"/>
    </row>
    <row r="2422" spans="2:2" ht="15.75" customHeight="1" x14ac:dyDescent="0.2">
      <c r="B2422" s="11"/>
    </row>
    <row r="2423" spans="2:2" ht="15.75" customHeight="1" x14ac:dyDescent="0.2">
      <c r="B2423" s="11"/>
    </row>
    <row r="2424" spans="2:2" ht="15.75" customHeight="1" x14ac:dyDescent="0.2">
      <c r="B2424" s="11"/>
    </row>
    <row r="2425" spans="2:2" ht="15.75" customHeight="1" x14ac:dyDescent="0.2">
      <c r="B2425" s="11"/>
    </row>
    <row r="2426" spans="2:2" ht="15.75" customHeight="1" x14ac:dyDescent="0.2">
      <c r="B2426" s="11"/>
    </row>
    <row r="2427" spans="2:2" ht="15.75" customHeight="1" x14ac:dyDescent="0.2">
      <c r="B2427" s="11"/>
    </row>
    <row r="2428" spans="2:2" ht="15.75" customHeight="1" x14ac:dyDescent="0.2">
      <c r="B2428" s="11"/>
    </row>
    <row r="2429" spans="2:2" ht="15.75" customHeight="1" x14ac:dyDescent="0.2">
      <c r="B2429" s="11"/>
    </row>
    <row r="2430" spans="2:2" ht="15.75" customHeight="1" x14ac:dyDescent="0.2">
      <c r="B2430" s="11"/>
    </row>
    <row r="2431" spans="2:2" ht="15.75" customHeight="1" x14ac:dyDescent="0.2">
      <c r="B2431" s="11"/>
    </row>
    <row r="2432" spans="2:2" ht="15.75" customHeight="1" x14ac:dyDescent="0.2">
      <c r="B2432" s="11"/>
    </row>
    <row r="2433" spans="2:2" ht="15.75" customHeight="1" x14ac:dyDescent="0.2">
      <c r="B2433" s="11"/>
    </row>
    <row r="2434" spans="2:2" ht="15.75" customHeight="1" x14ac:dyDescent="0.2">
      <c r="B2434" s="11"/>
    </row>
    <row r="2435" spans="2:2" ht="15.75" customHeight="1" x14ac:dyDescent="0.2">
      <c r="B2435" s="11"/>
    </row>
    <row r="2436" spans="2:2" ht="15.75" customHeight="1" x14ac:dyDescent="0.2">
      <c r="B2436" s="11"/>
    </row>
    <row r="2437" spans="2:2" ht="15.75" customHeight="1" x14ac:dyDescent="0.2">
      <c r="B2437" s="11"/>
    </row>
    <row r="2438" spans="2:2" ht="15.75" customHeight="1" x14ac:dyDescent="0.2">
      <c r="B2438" s="11"/>
    </row>
    <row r="2439" spans="2:2" ht="15.75" customHeight="1" x14ac:dyDescent="0.2">
      <c r="B2439" s="11"/>
    </row>
    <row r="2440" spans="2:2" ht="15.75" customHeight="1" x14ac:dyDescent="0.2">
      <c r="B2440" s="11"/>
    </row>
    <row r="2441" spans="2:2" ht="15.75" customHeight="1" x14ac:dyDescent="0.2">
      <c r="B2441" s="11"/>
    </row>
    <row r="2442" spans="2:2" ht="15.75" customHeight="1" x14ac:dyDescent="0.2">
      <c r="B2442" s="11"/>
    </row>
    <row r="2443" spans="2:2" ht="15.75" customHeight="1" x14ac:dyDescent="0.2">
      <c r="B2443" s="11"/>
    </row>
    <row r="2444" spans="2:2" ht="15.75" customHeight="1" x14ac:dyDescent="0.2">
      <c r="B2444" s="11"/>
    </row>
    <row r="2445" spans="2:2" ht="15.75" customHeight="1" x14ac:dyDescent="0.2">
      <c r="B2445" s="11"/>
    </row>
    <row r="2446" spans="2:2" ht="15.75" customHeight="1" x14ac:dyDescent="0.2">
      <c r="B2446" s="11"/>
    </row>
    <row r="2447" spans="2:2" ht="15.75" customHeight="1" x14ac:dyDescent="0.2">
      <c r="B2447" s="11"/>
    </row>
    <row r="2448" spans="2:2" ht="15.75" customHeight="1" x14ac:dyDescent="0.2">
      <c r="B2448" s="11"/>
    </row>
    <row r="2449" spans="2:2" ht="15.75" customHeight="1" x14ac:dyDescent="0.2">
      <c r="B2449" s="11"/>
    </row>
    <row r="2450" spans="2:2" ht="15.75" customHeight="1" x14ac:dyDescent="0.2">
      <c r="B2450" s="11"/>
    </row>
    <row r="2451" spans="2:2" ht="15.75" customHeight="1" x14ac:dyDescent="0.2">
      <c r="B2451" s="11"/>
    </row>
    <row r="2452" spans="2:2" ht="15.75" customHeight="1" x14ac:dyDescent="0.2">
      <c r="B2452" s="11"/>
    </row>
    <row r="2453" spans="2:2" ht="15.75" customHeight="1" x14ac:dyDescent="0.2">
      <c r="B2453" s="11"/>
    </row>
    <row r="2454" spans="2:2" ht="15.75" customHeight="1" x14ac:dyDescent="0.2">
      <c r="B2454" s="11"/>
    </row>
    <row r="2455" spans="2:2" ht="15.75" customHeight="1" x14ac:dyDescent="0.2">
      <c r="B2455" s="11"/>
    </row>
    <row r="2456" spans="2:2" ht="15.75" customHeight="1" x14ac:dyDescent="0.2">
      <c r="B2456" s="11"/>
    </row>
    <row r="2457" spans="2:2" ht="15.75" customHeight="1" x14ac:dyDescent="0.2">
      <c r="B2457" s="11"/>
    </row>
    <row r="2458" spans="2:2" ht="15.75" customHeight="1" x14ac:dyDescent="0.2">
      <c r="B2458" s="11"/>
    </row>
    <row r="2459" spans="2:2" ht="15.75" customHeight="1" x14ac:dyDescent="0.2">
      <c r="B2459" s="11"/>
    </row>
    <row r="2460" spans="2:2" ht="15.75" customHeight="1" x14ac:dyDescent="0.2">
      <c r="B2460" s="11"/>
    </row>
    <row r="2461" spans="2:2" ht="15.75" customHeight="1" x14ac:dyDescent="0.2">
      <c r="B2461" s="11"/>
    </row>
    <row r="2462" spans="2:2" ht="15.75" customHeight="1" x14ac:dyDescent="0.2">
      <c r="B2462" s="11"/>
    </row>
    <row r="2463" spans="2:2" ht="15.75" customHeight="1" x14ac:dyDescent="0.2">
      <c r="B2463" s="11"/>
    </row>
    <row r="2464" spans="2:2" ht="15.75" customHeight="1" x14ac:dyDescent="0.2">
      <c r="B2464" s="11"/>
    </row>
    <row r="2465" spans="2:2" ht="15.75" customHeight="1" x14ac:dyDescent="0.2">
      <c r="B2465" s="11"/>
    </row>
    <row r="2466" spans="2:2" ht="15.75" customHeight="1" x14ac:dyDescent="0.2">
      <c r="B2466" s="11"/>
    </row>
    <row r="2467" spans="2:2" ht="15.75" customHeight="1" x14ac:dyDescent="0.2">
      <c r="B2467" s="11"/>
    </row>
    <row r="2468" spans="2:2" ht="15.75" customHeight="1" x14ac:dyDescent="0.2">
      <c r="B2468" s="11"/>
    </row>
    <row r="2469" spans="2:2" ht="15.75" customHeight="1" x14ac:dyDescent="0.2">
      <c r="B2469" s="11"/>
    </row>
    <row r="2470" spans="2:2" ht="15.75" customHeight="1" x14ac:dyDescent="0.2">
      <c r="B2470" s="11"/>
    </row>
    <row r="2471" spans="2:2" ht="15.75" customHeight="1" x14ac:dyDescent="0.2">
      <c r="B2471" s="11"/>
    </row>
    <row r="2472" spans="2:2" ht="15.75" customHeight="1" x14ac:dyDescent="0.2">
      <c r="B2472" s="11"/>
    </row>
    <row r="2473" spans="2:2" ht="15.75" customHeight="1" x14ac:dyDescent="0.2">
      <c r="B2473" s="11"/>
    </row>
    <row r="2474" spans="2:2" ht="15.75" customHeight="1" x14ac:dyDescent="0.2">
      <c r="B2474" s="11"/>
    </row>
    <row r="2475" spans="2:2" ht="15.75" customHeight="1" x14ac:dyDescent="0.2">
      <c r="B2475" s="11"/>
    </row>
    <row r="2476" spans="2:2" ht="15.75" customHeight="1" x14ac:dyDescent="0.2">
      <c r="B2476" s="11"/>
    </row>
    <row r="2477" spans="2:2" ht="15.75" customHeight="1" x14ac:dyDescent="0.2">
      <c r="B2477" s="11"/>
    </row>
    <row r="2478" spans="2:2" ht="15.75" customHeight="1" x14ac:dyDescent="0.2">
      <c r="B2478" s="11"/>
    </row>
    <row r="2479" spans="2:2" ht="15.75" customHeight="1" x14ac:dyDescent="0.2">
      <c r="B2479" s="11"/>
    </row>
    <row r="2480" spans="2:2" ht="15.75" customHeight="1" x14ac:dyDescent="0.2">
      <c r="B2480" s="11"/>
    </row>
    <row r="2481" spans="2:2" ht="15.75" customHeight="1" x14ac:dyDescent="0.2">
      <c r="B2481" s="11"/>
    </row>
    <row r="2482" spans="2:2" ht="15.75" customHeight="1" x14ac:dyDescent="0.2">
      <c r="B2482" s="11"/>
    </row>
    <row r="2483" spans="2:2" ht="15.75" customHeight="1" x14ac:dyDescent="0.2">
      <c r="B2483" s="11"/>
    </row>
    <row r="2484" spans="2:2" ht="15.75" customHeight="1" x14ac:dyDescent="0.2">
      <c r="B2484" s="11"/>
    </row>
    <row r="2485" spans="2:2" ht="15.75" customHeight="1" x14ac:dyDescent="0.2">
      <c r="B2485" s="11"/>
    </row>
    <row r="2486" spans="2:2" ht="15.75" customHeight="1" x14ac:dyDescent="0.2">
      <c r="B2486" s="11"/>
    </row>
    <row r="2487" spans="2:2" ht="15.75" customHeight="1" x14ac:dyDescent="0.2">
      <c r="B2487" s="11"/>
    </row>
    <row r="2488" spans="2:2" ht="15.75" customHeight="1" x14ac:dyDescent="0.2">
      <c r="B2488" s="11"/>
    </row>
    <row r="2489" spans="2:2" ht="15.75" customHeight="1" x14ac:dyDescent="0.2">
      <c r="B2489" s="11"/>
    </row>
    <row r="2490" spans="2:2" ht="15.75" customHeight="1" x14ac:dyDescent="0.2">
      <c r="B2490" s="11"/>
    </row>
    <row r="2491" spans="2:2" ht="15.75" customHeight="1" x14ac:dyDescent="0.2">
      <c r="B2491" s="11"/>
    </row>
    <row r="2492" spans="2:2" ht="15.75" customHeight="1" x14ac:dyDescent="0.2">
      <c r="B2492" s="11"/>
    </row>
    <row r="2493" spans="2:2" ht="15.75" customHeight="1" x14ac:dyDescent="0.2">
      <c r="B2493" s="11"/>
    </row>
    <row r="2494" spans="2:2" ht="15.75" customHeight="1" x14ac:dyDescent="0.2">
      <c r="B2494" s="11"/>
    </row>
    <row r="2495" spans="2:2" ht="15.75" customHeight="1" x14ac:dyDescent="0.2">
      <c r="B2495" s="11"/>
    </row>
    <row r="2496" spans="2:2" ht="15.75" customHeight="1" x14ac:dyDescent="0.2">
      <c r="B2496" s="11"/>
    </row>
    <row r="2497" spans="2:2" ht="15.75" customHeight="1" x14ac:dyDescent="0.2">
      <c r="B2497" s="11"/>
    </row>
    <row r="2498" spans="2:2" ht="15.75" customHeight="1" x14ac:dyDescent="0.2">
      <c r="B2498" s="11"/>
    </row>
    <row r="2499" spans="2:2" ht="15.75" customHeight="1" x14ac:dyDescent="0.2">
      <c r="B2499" s="11"/>
    </row>
    <row r="2500" spans="2:2" ht="15.75" customHeight="1" x14ac:dyDescent="0.2">
      <c r="B2500" s="11"/>
    </row>
    <row r="2501" spans="2:2" ht="15.75" customHeight="1" x14ac:dyDescent="0.2">
      <c r="B2501" s="11"/>
    </row>
    <row r="2502" spans="2:2" ht="15.75" customHeight="1" x14ac:dyDescent="0.2">
      <c r="B2502" s="11"/>
    </row>
    <row r="2503" spans="2:2" ht="15.75" customHeight="1" x14ac:dyDescent="0.2">
      <c r="B2503" s="11"/>
    </row>
    <row r="2504" spans="2:2" ht="15.75" customHeight="1" x14ac:dyDescent="0.2">
      <c r="B2504" s="11"/>
    </row>
    <row r="2505" spans="2:2" ht="15.75" customHeight="1" x14ac:dyDescent="0.2">
      <c r="B2505" s="11"/>
    </row>
    <row r="2506" spans="2:2" ht="15.75" customHeight="1" x14ac:dyDescent="0.2">
      <c r="B2506" s="11"/>
    </row>
    <row r="2507" spans="2:2" ht="15.75" customHeight="1" x14ac:dyDescent="0.2">
      <c r="B2507" s="11"/>
    </row>
    <row r="2508" spans="2:2" ht="15.75" customHeight="1" x14ac:dyDescent="0.2">
      <c r="B2508" s="11"/>
    </row>
    <row r="2509" spans="2:2" ht="15.75" customHeight="1" x14ac:dyDescent="0.2">
      <c r="B2509" s="11"/>
    </row>
    <row r="2510" spans="2:2" ht="15.75" customHeight="1" x14ac:dyDescent="0.2">
      <c r="B2510" s="11"/>
    </row>
    <row r="2511" spans="2:2" ht="15.75" customHeight="1" x14ac:dyDescent="0.2">
      <c r="B2511" s="11"/>
    </row>
    <row r="2512" spans="2:2" ht="15.75" customHeight="1" x14ac:dyDescent="0.2">
      <c r="B2512" s="11"/>
    </row>
    <row r="2513" spans="2:2" ht="15.75" customHeight="1" x14ac:dyDescent="0.2">
      <c r="B2513" s="11"/>
    </row>
    <row r="2514" spans="2:2" ht="15.75" customHeight="1" x14ac:dyDescent="0.2">
      <c r="B2514" s="11"/>
    </row>
    <row r="2515" spans="2:2" ht="15.75" customHeight="1" x14ac:dyDescent="0.2">
      <c r="B2515" s="11"/>
    </row>
    <row r="2516" spans="2:2" ht="15.75" customHeight="1" x14ac:dyDescent="0.2">
      <c r="B2516" s="11"/>
    </row>
    <row r="2517" spans="2:2" ht="15.75" customHeight="1" x14ac:dyDescent="0.2">
      <c r="B2517" s="11"/>
    </row>
    <row r="2518" spans="2:2" ht="15.75" customHeight="1" x14ac:dyDescent="0.2">
      <c r="B2518" s="11"/>
    </row>
    <row r="2519" spans="2:2" ht="15.75" customHeight="1" x14ac:dyDescent="0.2">
      <c r="B2519" s="11"/>
    </row>
    <row r="2520" spans="2:2" ht="15.75" customHeight="1" x14ac:dyDescent="0.2">
      <c r="B2520" s="11"/>
    </row>
    <row r="2521" spans="2:2" ht="15.75" customHeight="1" x14ac:dyDescent="0.2">
      <c r="B2521" s="11"/>
    </row>
    <row r="2522" spans="2:2" ht="15.75" customHeight="1" x14ac:dyDescent="0.2">
      <c r="B2522" s="11"/>
    </row>
    <row r="2523" spans="2:2" ht="15.75" customHeight="1" x14ac:dyDescent="0.2">
      <c r="B2523" s="11"/>
    </row>
    <row r="2524" spans="2:2" ht="15.75" customHeight="1" x14ac:dyDescent="0.2">
      <c r="B2524" s="11"/>
    </row>
    <row r="2525" spans="2:2" ht="15.75" customHeight="1" x14ac:dyDescent="0.2">
      <c r="B2525" s="11"/>
    </row>
    <row r="2526" spans="2:2" ht="15.75" customHeight="1" x14ac:dyDescent="0.2">
      <c r="B2526" s="11"/>
    </row>
    <row r="2527" spans="2:2" ht="15.75" customHeight="1" x14ac:dyDescent="0.2">
      <c r="B2527" s="11"/>
    </row>
    <row r="2528" spans="2:2" ht="15.75" customHeight="1" x14ac:dyDescent="0.2">
      <c r="B2528" s="11"/>
    </row>
    <row r="2529" spans="2:2" ht="15.75" customHeight="1" x14ac:dyDescent="0.2">
      <c r="B2529" s="11"/>
    </row>
    <row r="2530" spans="2:2" ht="15.75" customHeight="1" x14ac:dyDescent="0.2">
      <c r="B2530" s="11"/>
    </row>
    <row r="2531" spans="2:2" ht="15.75" customHeight="1" x14ac:dyDescent="0.2">
      <c r="B2531" s="11"/>
    </row>
    <row r="2532" spans="2:2" ht="15.75" customHeight="1" x14ac:dyDescent="0.2">
      <c r="B2532" s="11"/>
    </row>
    <row r="2533" spans="2:2" ht="15.75" customHeight="1" x14ac:dyDescent="0.2">
      <c r="B2533" s="11"/>
    </row>
    <row r="2534" spans="2:2" ht="15.75" customHeight="1" x14ac:dyDescent="0.2">
      <c r="B2534" s="11"/>
    </row>
    <row r="2535" spans="2:2" ht="15.75" customHeight="1" x14ac:dyDescent="0.2">
      <c r="B2535" s="11"/>
    </row>
    <row r="2536" spans="2:2" ht="15.75" customHeight="1" x14ac:dyDescent="0.2">
      <c r="B2536" s="11"/>
    </row>
    <row r="2537" spans="2:2" ht="15.75" customHeight="1" x14ac:dyDescent="0.2">
      <c r="B2537" s="11"/>
    </row>
    <row r="2538" spans="2:2" ht="15.75" customHeight="1" x14ac:dyDescent="0.2">
      <c r="B2538" s="11"/>
    </row>
    <row r="2539" spans="2:2" ht="15.75" customHeight="1" x14ac:dyDescent="0.2">
      <c r="B2539" s="11"/>
    </row>
    <row r="2540" spans="2:2" ht="15.75" customHeight="1" x14ac:dyDescent="0.2">
      <c r="B2540" s="11"/>
    </row>
    <row r="2541" spans="2:2" ht="15.75" customHeight="1" x14ac:dyDescent="0.2">
      <c r="B2541" s="11"/>
    </row>
    <row r="2542" spans="2:2" ht="15.75" customHeight="1" x14ac:dyDescent="0.2">
      <c r="B2542" s="11"/>
    </row>
    <row r="2543" spans="2:2" ht="15.75" customHeight="1" x14ac:dyDescent="0.2">
      <c r="B2543" s="11"/>
    </row>
    <row r="2544" spans="2:2" ht="15.75" customHeight="1" x14ac:dyDescent="0.2">
      <c r="B2544" s="11"/>
    </row>
    <row r="2545" spans="2:2" ht="15.75" customHeight="1" x14ac:dyDescent="0.2">
      <c r="B2545" s="11"/>
    </row>
    <row r="2546" spans="2:2" ht="15.75" customHeight="1" x14ac:dyDescent="0.2">
      <c r="B2546" s="11"/>
    </row>
    <row r="2547" spans="2:2" ht="15.75" customHeight="1" x14ac:dyDescent="0.2">
      <c r="B2547" s="11"/>
    </row>
    <row r="2548" spans="2:2" ht="15.75" customHeight="1" x14ac:dyDescent="0.2">
      <c r="B2548" s="11"/>
    </row>
    <row r="2549" spans="2:2" ht="15.75" customHeight="1" x14ac:dyDescent="0.2">
      <c r="B2549" s="11"/>
    </row>
    <row r="2550" spans="2:2" ht="15.75" customHeight="1" x14ac:dyDescent="0.2">
      <c r="B2550" s="11"/>
    </row>
    <row r="2551" spans="2:2" ht="15.75" customHeight="1" x14ac:dyDescent="0.2">
      <c r="B2551" s="11"/>
    </row>
    <row r="2552" spans="2:2" ht="15.75" customHeight="1" x14ac:dyDescent="0.2">
      <c r="B2552" s="11"/>
    </row>
    <row r="2553" spans="2:2" ht="15.75" customHeight="1" x14ac:dyDescent="0.2">
      <c r="B2553" s="11"/>
    </row>
    <row r="2554" spans="2:2" ht="15.75" customHeight="1" x14ac:dyDescent="0.2">
      <c r="B2554" s="11"/>
    </row>
    <row r="2555" spans="2:2" ht="15.75" customHeight="1" x14ac:dyDescent="0.2">
      <c r="B2555" s="11"/>
    </row>
    <row r="2556" spans="2:2" ht="15.75" customHeight="1" x14ac:dyDescent="0.2">
      <c r="B2556" s="11"/>
    </row>
    <row r="2557" spans="2:2" ht="15.75" customHeight="1" x14ac:dyDescent="0.2">
      <c r="B2557" s="11"/>
    </row>
    <row r="2558" spans="2:2" ht="15.75" customHeight="1" x14ac:dyDescent="0.2">
      <c r="B2558" s="11"/>
    </row>
    <row r="2559" spans="2:2" ht="15.75" customHeight="1" x14ac:dyDescent="0.2">
      <c r="B2559" s="11"/>
    </row>
    <row r="2560" spans="2:2" ht="15.75" customHeight="1" x14ac:dyDescent="0.2">
      <c r="B2560" s="11"/>
    </row>
    <row r="2561" spans="2:2" ht="15.75" customHeight="1" x14ac:dyDescent="0.2">
      <c r="B2561" s="11"/>
    </row>
    <row r="2562" spans="2:2" ht="15.75" customHeight="1" x14ac:dyDescent="0.2">
      <c r="B2562" s="11"/>
    </row>
    <row r="2563" spans="2:2" ht="15.75" customHeight="1" x14ac:dyDescent="0.2">
      <c r="B2563" s="11"/>
    </row>
    <row r="2564" spans="2:2" ht="15.75" customHeight="1" x14ac:dyDescent="0.2">
      <c r="B2564" s="11"/>
    </row>
    <row r="2565" spans="2:2" ht="15.75" customHeight="1" x14ac:dyDescent="0.2">
      <c r="B2565" s="11"/>
    </row>
    <row r="2566" spans="2:2" ht="15.75" customHeight="1" x14ac:dyDescent="0.2">
      <c r="B2566" s="11"/>
    </row>
    <row r="2567" spans="2:2" ht="15.75" customHeight="1" x14ac:dyDescent="0.2">
      <c r="B2567" s="11"/>
    </row>
    <row r="2568" spans="2:2" ht="15.75" customHeight="1" x14ac:dyDescent="0.2">
      <c r="B2568" s="11"/>
    </row>
    <row r="2569" spans="2:2" ht="15.75" customHeight="1" x14ac:dyDescent="0.2">
      <c r="B2569" s="11"/>
    </row>
    <row r="2570" spans="2:2" ht="15.75" customHeight="1" x14ac:dyDescent="0.2">
      <c r="B2570" s="11"/>
    </row>
    <row r="2571" spans="2:2" ht="15.75" customHeight="1" x14ac:dyDescent="0.2">
      <c r="B2571" s="11"/>
    </row>
    <row r="2572" spans="2:2" ht="15.75" customHeight="1" x14ac:dyDescent="0.2">
      <c r="B2572" s="11"/>
    </row>
    <row r="2573" spans="2:2" ht="15.75" customHeight="1" x14ac:dyDescent="0.2">
      <c r="B2573" s="11"/>
    </row>
    <row r="2574" spans="2:2" ht="15.75" customHeight="1" x14ac:dyDescent="0.2">
      <c r="B2574" s="11"/>
    </row>
    <row r="2575" spans="2:2" ht="15.75" customHeight="1" x14ac:dyDescent="0.2">
      <c r="B2575" s="11"/>
    </row>
    <row r="2576" spans="2:2" ht="15.75" customHeight="1" x14ac:dyDescent="0.2">
      <c r="B2576" s="11"/>
    </row>
    <row r="2577" spans="2:2" ht="15.75" customHeight="1" x14ac:dyDescent="0.2">
      <c r="B2577" s="11"/>
    </row>
    <row r="2578" spans="2:2" ht="15.75" customHeight="1" x14ac:dyDescent="0.2">
      <c r="B2578" s="11"/>
    </row>
    <row r="2579" spans="2:2" ht="15.75" customHeight="1" x14ac:dyDescent="0.2">
      <c r="B2579" s="11"/>
    </row>
    <row r="2580" spans="2:2" ht="15.75" customHeight="1" x14ac:dyDescent="0.2">
      <c r="B2580" s="11"/>
    </row>
    <row r="2581" spans="2:2" ht="15.75" customHeight="1" x14ac:dyDescent="0.2">
      <c r="B2581" s="11"/>
    </row>
    <row r="2582" spans="2:2" ht="15.75" customHeight="1" x14ac:dyDescent="0.2">
      <c r="B2582" s="11"/>
    </row>
    <row r="2583" spans="2:2" ht="15.75" customHeight="1" x14ac:dyDescent="0.2">
      <c r="B2583" s="11"/>
    </row>
    <row r="2584" spans="2:2" ht="15.75" customHeight="1" x14ac:dyDescent="0.2">
      <c r="B2584" s="11"/>
    </row>
    <row r="2585" spans="2:2" ht="15.75" customHeight="1" x14ac:dyDescent="0.2">
      <c r="B2585" s="11"/>
    </row>
    <row r="2586" spans="2:2" ht="15.75" customHeight="1" x14ac:dyDescent="0.2">
      <c r="B2586" s="11"/>
    </row>
    <row r="2587" spans="2:2" ht="15.75" customHeight="1" x14ac:dyDescent="0.2">
      <c r="B2587" s="11"/>
    </row>
    <row r="2588" spans="2:2" ht="15.75" customHeight="1" x14ac:dyDescent="0.2">
      <c r="B2588" s="11"/>
    </row>
    <row r="2589" spans="2:2" ht="15.75" customHeight="1" x14ac:dyDescent="0.2">
      <c r="B2589" s="11"/>
    </row>
    <row r="2590" spans="2:2" ht="15.75" customHeight="1" x14ac:dyDescent="0.2">
      <c r="B2590" s="11"/>
    </row>
    <row r="2591" spans="2:2" ht="15.75" customHeight="1" x14ac:dyDescent="0.2">
      <c r="B2591" s="11"/>
    </row>
    <row r="2592" spans="2:2" ht="15.75" customHeight="1" x14ac:dyDescent="0.2">
      <c r="B2592" s="11"/>
    </row>
    <row r="2593" spans="2:2" ht="15.75" customHeight="1" x14ac:dyDescent="0.2">
      <c r="B2593" s="11"/>
    </row>
    <row r="2594" spans="2:2" ht="15.75" customHeight="1" x14ac:dyDescent="0.2">
      <c r="B2594" s="11"/>
    </row>
    <row r="2595" spans="2:2" ht="15.75" customHeight="1" x14ac:dyDescent="0.2">
      <c r="B2595" s="11"/>
    </row>
    <row r="2596" spans="2:2" ht="15.75" customHeight="1" x14ac:dyDescent="0.2">
      <c r="B2596" s="11"/>
    </row>
    <row r="2597" spans="2:2" ht="15.75" customHeight="1" x14ac:dyDescent="0.2">
      <c r="B2597" s="11"/>
    </row>
    <row r="2598" spans="2:2" ht="15.75" customHeight="1" x14ac:dyDescent="0.2">
      <c r="B2598" s="11"/>
    </row>
    <row r="2599" spans="2:2" ht="15.75" customHeight="1" x14ac:dyDescent="0.2">
      <c r="B2599" s="11"/>
    </row>
    <row r="2600" spans="2:2" ht="15.75" customHeight="1" x14ac:dyDescent="0.2">
      <c r="B2600" s="11"/>
    </row>
    <row r="2601" spans="2:2" ht="15.75" customHeight="1" x14ac:dyDescent="0.2">
      <c r="B2601" s="11"/>
    </row>
    <row r="2602" spans="2:2" ht="15.75" customHeight="1" x14ac:dyDescent="0.2">
      <c r="B2602" s="11"/>
    </row>
    <row r="2603" spans="2:2" ht="15.75" customHeight="1" x14ac:dyDescent="0.2">
      <c r="B2603" s="11"/>
    </row>
    <row r="2604" spans="2:2" ht="15.75" customHeight="1" x14ac:dyDescent="0.2">
      <c r="B2604" s="11"/>
    </row>
    <row r="2605" spans="2:2" ht="15.75" customHeight="1" x14ac:dyDescent="0.2">
      <c r="B2605" s="11"/>
    </row>
    <row r="2606" spans="2:2" ht="15.75" customHeight="1" x14ac:dyDescent="0.2">
      <c r="B2606" s="11"/>
    </row>
    <row r="2607" spans="2:2" ht="15.75" customHeight="1" x14ac:dyDescent="0.2">
      <c r="B2607" s="11"/>
    </row>
    <row r="2608" spans="2:2" ht="15.75" customHeight="1" x14ac:dyDescent="0.2">
      <c r="B2608" s="11"/>
    </row>
    <row r="2609" spans="2:2" ht="15.75" customHeight="1" x14ac:dyDescent="0.2">
      <c r="B2609" s="11"/>
    </row>
    <row r="2610" spans="2:2" ht="15.75" customHeight="1" x14ac:dyDescent="0.2">
      <c r="B2610" s="11"/>
    </row>
    <row r="2611" spans="2:2" ht="15.75" customHeight="1" x14ac:dyDescent="0.2">
      <c r="B2611" s="11"/>
    </row>
    <row r="2612" spans="2:2" ht="15.75" customHeight="1" x14ac:dyDescent="0.2">
      <c r="B2612" s="11"/>
    </row>
    <row r="2613" spans="2:2" ht="15.75" customHeight="1" x14ac:dyDescent="0.2">
      <c r="B2613" s="11"/>
    </row>
    <row r="2614" spans="2:2" ht="15.75" customHeight="1" x14ac:dyDescent="0.2">
      <c r="B2614" s="11"/>
    </row>
    <row r="2615" spans="2:2" ht="15.75" customHeight="1" x14ac:dyDescent="0.2">
      <c r="B2615" s="11"/>
    </row>
    <row r="2616" spans="2:2" ht="15.75" customHeight="1" x14ac:dyDescent="0.2">
      <c r="B2616" s="11"/>
    </row>
    <row r="2617" spans="2:2" ht="15.75" customHeight="1" x14ac:dyDescent="0.2">
      <c r="B2617" s="11"/>
    </row>
    <row r="2618" spans="2:2" ht="15.75" customHeight="1" x14ac:dyDescent="0.2">
      <c r="B2618" s="11"/>
    </row>
    <row r="2619" spans="2:2" ht="15.75" customHeight="1" x14ac:dyDescent="0.2">
      <c r="B2619" s="11"/>
    </row>
    <row r="2620" spans="2:2" ht="15.75" customHeight="1" x14ac:dyDescent="0.2">
      <c r="B2620" s="11"/>
    </row>
    <row r="2621" spans="2:2" ht="15.75" customHeight="1" x14ac:dyDescent="0.2">
      <c r="B2621" s="11"/>
    </row>
    <row r="2622" spans="2:2" ht="15.75" customHeight="1" x14ac:dyDescent="0.2">
      <c r="B2622" s="11"/>
    </row>
    <row r="2623" spans="2:2" ht="15.75" customHeight="1" x14ac:dyDescent="0.2">
      <c r="B2623" s="11"/>
    </row>
    <row r="2624" spans="2:2" ht="15.75" customHeight="1" x14ac:dyDescent="0.2">
      <c r="B2624" s="11"/>
    </row>
    <row r="2625" spans="2:2" ht="15.75" customHeight="1" x14ac:dyDescent="0.2">
      <c r="B2625" s="11"/>
    </row>
    <row r="2626" spans="2:2" ht="15.75" customHeight="1" x14ac:dyDescent="0.2">
      <c r="B2626" s="11"/>
    </row>
    <row r="2627" spans="2:2" ht="15.75" customHeight="1" x14ac:dyDescent="0.2">
      <c r="B2627" s="11"/>
    </row>
    <row r="2628" spans="2:2" ht="15.75" customHeight="1" x14ac:dyDescent="0.2">
      <c r="B2628" s="11"/>
    </row>
    <row r="2629" spans="2:2" ht="15.75" customHeight="1" x14ac:dyDescent="0.2">
      <c r="B2629" s="11"/>
    </row>
    <row r="2630" spans="2:2" ht="15.75" customHeight="1" x14ac:dyDescent="0.2">
      <c r="B2630" s="11"/>
    </row>
    <row r="2631" spans="2:2" ht="15.75" customHeight="1" x14ac:dyDescent="0.2">
      <c r="B2631" s="11"/>
    </row>
    <row r="2632" spans="2:2" ht="15.75" customHeight="1" x14ac:dyDescent="0.2">
      <c r="B2632" s="11"/>
    </row>
    <row r="2633" spans="2:2" ht="15.75" customHeight="1" x14ac:dyDescent="0.2">
      <c r="B2633" s="11"/>
    </row>
    <row r="2634" spans="2:2" ht="15.75" customHeight="1" x14ac:dyDescent="0.2">
      <c r="B2634" s="11"/>
    </row>
    <row r="2635" spans="2:2" ht="15.75" customHeight="1" x14ac:dyDescent="0.2">
      <c r="B2635" s="11"/>
    </row>
    <row r="2636" spans="2:2" ht="15.75" customHeight="1" x14ac:dyDescent="0.2">
      <c r="B2636" s="11"/>
    </row>
    <row r="2637" spans="2:2" ht="15.75" customHeight="1" x14ac:dyDescent="0.2">
      <c r="B2637" s="11"/>
    </row>
    <row r="2638" spans="2:2" ht="15.75" customHeight="1" x14ac:dyDescent="0.2">
      <c r="B2638" s="11"/>
    </row>
    <row r="2639" spans="2:2" ht="15.75" customHeight="1" x14ac:dyDescent="0.2">
      <c r="B2639" s="11"/>
    </row>
    <row r="2640" spans="2:2" ht="15.75" customHeight="1" x14ac:dyDescent="0.2">
      <c r="B2640" s="11"/>
    </row>
    <row r="2641" spans="2:2" ht="15.75" customHeight="1" x14ac:dyDescent="0.2">
      <c r="B2641" s="11"/>
    </row>
    <row r="2642" spans="2:2" ht="15.75" customHeight="1" x14ac:dyDescent="0.2">
      <c r="B2642" s="11"/>
    </row>
    <row r="2643" spans="2:2" ht="15.75" customHeight="1" x14ac:dyDescent="0.2">
      <c r="B2643" s="11"/>
    </row>
    <row r="2644" spans="2:2" ht="15.75" customHeight="1" x14ac:dyDescent="0.2">
      <c r="B2644" s="11"/>
    </row>
    <row r="2645" spans="2:2" ht="15.75" customHeight="1" x14ac:dyDescent="0.2">
      <c r="B2645" s="11"/>
    </row>
    <row r="2646" spans="2:2" ht="15.75" customHeight="1" x14ac:dyDescent="0.2">
      <c r="B2646" s="11"/>
    </row>
    <row r="2647" spans="2:2" ht="15.75" customHeight="1" x14ac:dyDescent="0.2">
      <c r="B2647" s="11"/>
    </row>
    <row r="2648" spans="2:2" ht="15.75" customHeight="1" x14ac:dyDescent="0.2">
      <c r="B2648" s="11"/>
    </row>
    <row r="2649" spans="2:2" ht="15.75" customHeight="1" x14ac:dyDescent="0.2">
      <c r="B2649" s="11"/>
    </row>
    <row r="2650" spans="2:2" ht="15.75" customHeight="1" x14ac:dyDescent="0.2">
      <c r="B2650" s="11"/>
    </row>
    <row r="2651" spans="2:2" ht="15.75" customHeight="1" x14ac:dyDescent="0.2">
      <c r="B2651" s="11"/>
    </row>
    <row r="2652" spans="2:2" ht="15.75" customHeight="1" x14ac:dyDescent="0.2">
      <c r="B2652" s="11"/>
    </row>
    <row r="2653" spans="2:2" ht="15.75" customHeight="1" x14ac:dyDescent="0.2">
      <c r="B2653" s="11"/>
    </row>
    <row r="2654" spans="2:2" ht="15.75" customHeight="1" x14ac:dyDescent="0.2">
      <c r="B2654" s="11"/>
    </row>
    <row r="2655" spans="2:2" ht="15.75" customHeight="1" x14ac:dyDescent="0.2">
      <c r="B2655" s="11"/>
    </row>
    <row r="2656" spans="2:2" ht="15.75" customHeight="1" x14ac:dyDescent="0.2">
      <c r="B2656" s="11"/>
    </row>
    <row r="2657" spans="2:2" ht="15.75" customHeight="1" x14ac:dyDescent="0.2">
      <c r="B2657" s="11"/>
    </row>
    <row r="2658" spans="2:2" ht="15.75" customHeight="1" x14ac:dyDescent="0.2">
      <c r="B2658" s="11"/>
    </row>
    <row r="2659" spans="2:2" ht="15.75" customHeight="1" x14ac:dyDescent="0.2">
      <c r="B2659" s="11"/>
    </row>
    <row r="2660" spans="2:2" ht="15.75" customHeight="1" x14ac:dyDescent="0.2">
      <c r="B2660" s="11"/>
    </row>
    <row r="2661" spans="2:2" ht="15.75" customHeight="1" x14ac:dyDescent="0.2">
      <c r="B2661" s="11"/>
    </row>
    <row r="2662" spans="2:2" ht="15.75" customHeight="1" x14ac:dyDescent="0.2">
      <c r="B2662" s="11"/>
    </row>
    <row r="2663" spans="2:2" ht="15.75" customHeight="1" x14ac:dyDescent="0.2">
      <c r="B2663" s="11"/>
    </row>
    <row r="2664" spans="2:2" ht="15.75" customHeight="1" x14ac:dyDescent="0.2">
      <c r="B2664" s="11"/>
    </row>
    <row r="2665" spans="2:2" ht="15.75" customHeight="1" x14ac:dyDescent="0.2">
      <c r="B2665" s="11"/>
    </row>
    <row r="2666" spans="2:2" ht="15.75" customHeight="1" x14ac:dyDescent="0.2">
      <c r="B2666" s="11"/>
    </row>
    <row r="2667" spans="2:2" ht="15.75" customHeight="1" x14ac:dyDescent="0.2">
      <c r="B2667" s="11"/>
    </row>
    <row r="2668" spans="2:2" ht="15.75" customHeight="1" x14ac:dyDescent="0.2">
      <c r="B2668" s="11"/>
    </row>
    <row r="2669" spans="2:2" ht="15.75" customHeight="1" x14ac:dyDescent="0.2">
      <c r="B2669" s="11"/>
    </row>
    <row r="2670" spans="2:2" ht="15.75" customHeight="1" x14ac:dyDescent="0.2">
      <c r="B2670" s="11"/>
    </row>
    <row r="2671" spans="2:2" ht="15.75" customHeight="1" x14ac:dyDescent="0.2">
      <c r="B2671" s="11"/>
    </row>
    <row r="2672" spans="2:2" ht="15.75" customHeight="1" x14ac:dyDescent="0.2">
      <c r="B2672" s="11"/>
    </row>
    <row r="2673" spans="2:2" ht="15.75" customHeight="1" x14ac:dyDescent="0.2">
      <c r="B2673" s="11"/>
    </row>
    <row r="2674" spans="2:2" ht="15.75" customHeight="1" x14ac:dyDescent="0.2">
      <c r="B2674" s="11"/>
    </row>
    <row r="2675" spans="2:2" ht="15.75" customHeight="1" x14ac:dyDescent="0.2">
      <c r="B2675" s="11"/>
    </row>
    <row r="2676" spans="2:2" ht="15.75" customHeight="1" x14ac:dyDescent="0.2">
      <c r="B2676" s="11"/>
    </row>
    <row r="2677" spans="2:2" ht="15.75" customHeight="1" x14ac:dyDescent="0.2">
      <c r="B2677" s="11"/>
    </row>
    <row r="2678" spans="2:2" ht="15.75" customHeight="1" x14ac:dyDescent="0.2">
      <c r="B2678" s="11"/>
    </row>
    <row r="2679" spans="2:2" ht="15.75" customHeight="1" x14ac:dyDescent="0.2">
      <c r="B2679" s="11"/>
    </row>
    <row r="2680" spans="2:2" ht="15.75" customHeight="1" x14ac:dyDescent="0.2">
      <c r="B2680" s="11"/>
    </row>
    <row r="2681" spans="2:2" ht="15.75" customHeight="1" x14ac:dyDescent="0.2">
      <c r="B2681" s="11"/>
    </row>
    <row r="2682" spans="2:2" ht="15.75" customHeight="1" x14ac:dyDescent="0.2">
      <c r="B2682" s="11"/>
    </row>
    <row r="2683" spans="2:2" ht="15.75" customHeight="1" x14ac:dyDescent="0.2">
      <c r="B2683" s="11"/>
    </row>
    <row r="2684" spans="2:2" ht="15.75" customHeight="1" x14ac:dyDescent="0.2">
      <c r="B2684" s="11"/>
    </row>
    <row r="2685" spans="2:2" ht="15.75" customHeight="1" x14ac:dyDescent="0.2">
      <c r="B2685" s="11"/>
    </row>
    <row r="2686" spans="2:2" ht="15.75" customHeight="1" x14ac:dyDescent="0.2">
      <c r="B2686" s="11"/>
    </row>
    <row r="2687" spans="2:2" ht="15.75" customHeight="1" x14ac:dyDescent="0.2">
      <c r="B2687" s="11"/>
    </row>
    <row r="2688" spans="2:2" ht="15.75" customHeight="1" x14ac:dyDescent="0.2">
      <c r="B2688" s="11"/>
    </row>
    <row r="2689" spans="2:2" ht="15.75" customHeight="1" x14ac:dyDescent="0.2">
      <c r="B2689" s="11"/>
    </row>
    <row r="2690" spans="2:2" ht="15.75" customHeight="1" x14ac:dyDescent="0.2">
      <c r="B2690" s="11"/>
    </row>
    <row r="2691" spans="2:2" ht="15.75" customHeight="1" x14ac:dyDescent="0.2">
      <c r="B2691" s="11"/>
    </row>
    <row r="2692" spans="2:2" ht="15.75" customHeight="1" x14ac:dyDescent="0.2">
      <c r="B2692" s="11"/>
    </row>
    <row r="2693" spans="2:2" ht="15.75" customHeight="1" x14ac:dyDescent="0.2">
      <c r="B2693" s="11"/>
    </row>
    <row r="2694" spans="2:2" ht="15.75" customHeight="1" x14ac:dyDescent="0.2">
      <c r="B2694" s="11"/>
    </row>
    <row r="2695" spans="2:2" ht="15.75" customHeight="1" x14ac:dyDescent="0.2">
      <c r="B2695" s="11"/>
    </row>
    <row r="2696" spans="2:2" ht="15.75" customHeight="1" x14ac:dyDescent="0.2">
      <c r="B2696" s="11"/>
    </row>
    <row r="2697" spans="2:2" ht="15.75" customHeight="1" x14ac:dyDescent="0.2">
      <c r="B2697" s="11"/>
    </row>
    <row r="2698" spans="2:2" ht="15.75" customHeight="1" x14ac:dyDescent="0.2">
      <c r="B2698" s="11"/>
    </row>
    <row r="2699" spans="2:2" ht="15.75" customHeight="1" x14ac:dyDescent="0.2">
      <c r="B2699" s="11"/>
    </row>
    <row r="2700" spans="2:2" ht="15.75" customHeight="1" x14ac:dyDescent="0.2">
      <c r="B2700" s="11"/>
    </row>
    <row r="2701" spans="2:2" ht="15.75" customHeight="1" x14ac:dyDescent="0.2">
      <c r="B2701" s="11"/>
    </row>
    <row r="2702" spans="2:2" ht="15.75" customHeight="1" x14ac:dyDescent="0.2">
      <c r="B2702" s="11"/>
    </row>
    <row r="2703" spans="2:2" ht="15.75" customHeight="1" x14ac:dyDescent="0.2">
      <c r="B2703" s="11"/>
    </row>
    <row r="2704" spans="2:2" ht="15.75" customHeight="1" x14ac:dyDescent="0.2">
      <c r="B2704" s="11"/>
    </row>
    <row r="2705" spans="2:2" ht="15.75" customHeight="1" x14ac:dyDescent="0.2">
      <c r="B2705" s="11"/>
    </row>
    <row r="2706" spans="2:2" ht="15.75" customHeight="1" x14ac:dyDescent="0.2">
      <c r="B2706" s="11"/>
    </row>
    <row r="2707" spans="2:2" ht="15.75" customHeight="1" x14ac:dyDescent="0.2">
      <c r="B2707" s="11"/>
    </row>
    <row r="2708" spans="2:2" ht="15.75" customHeight="1" x14ac:dyDescent="0.2">
      <c r="B2708" s="11"/>
    </row>
    <row r="2709" spans="2:2" ht="15.75" customHeight="1" x14ac:dyDescent="0.2">
      <c r="B2709" s="11"/>
    </row>
    <row r="2710" spans="2:2" ht="15.75" customHeight="1" x14ac:dyDescent="0.2">
      <c r="B2710" s="11"/>
    </row>
    <row r="2711" spans="2:2" ht="15.75" customHeight="1" x14ac:dyDescent="0.2">
      <c r="B2711" s="11"/>
    </row>
    <row r="2712" spans="2:2" ht="15.75" customHeight="1" x14ac:dyDescent="0.2">
      <c r="B2712" s="11"/>
    </row>
    <row r="2713" spans="2:2" ht="15.75" customHeight="1" x14ac:dyDescent="0.2">
      <c r="B2713" s="11"/>
    </row>
    <row r="2714" spans="2:2" ht="15.75" customHeight="1" x14ac:dyDescent="0.2">
      <c r="B2714" s="11"/>
    </row>
    <row r="2715" spans="2:2" ht="15.75" customHeight="1" x14ac:dyDescent="0.2">
      <c r="B2715" s="11"/>
    </row>
    <row r="2716" spans="2:2" ht="15.75" customHeight="1" x14ac:dyDescent="0.2">
      <c r="B2716" s="11"/>
    </row>
    <row r="2717" spans="2:2" ht="15.75" customHeight="1" x14ac:dyDescent="0.2">
      <c r="B2717" s="11"/>
    </row>
    <row r="2718" spans="2:2" ht="15.75" customHeight="1" x14ac:dyDescent="0.2">
      <c r="B2718" s="11"/>
    </row>
    <row r="2719" spans="2:2" ht="15.75" customHeight="1" x14ac:dyDescent="0.2">
      <c r="B2719" s="11"/>
    </row>
    <row r="2720" spans="2:2" ht="15.75" customHeight="1" x14ac:dyDescent="0.2">
      <c r="B2720" s="11"/>
    </row>
    <row r="2721" spans="2:2" ht="15.75" customHeight="1" x14ac:dyDescent="0.2">
      <c r="B2721" s="11"/>
    </row>
    <row r="2722" spans="2:2" ht="15.75" customHeight="1" x14ac:dyDescent="0.2">
      <c r="B2722" s="11"/>
    </row>
    <row r="2723" spans="2:2" ht="15.75" customHeight="1" x14ac:dyDescent="0.2">
      <c r="B2723" s="11"/>
    </row>
    <row r="2724" spans="2:2" ht="15.75" customHeight="1" x14ac:dyDescent="0.2">
      <c r="B2724" s="11"/>
    </row>
    <row r="2725" spans="2:2" ht="15.75" customHeight="1" x14ac:dyDescent="0.2">
      <c r="B2725" s="11"/>
    </row>
    <row r="2726" spans="2:2" ht="15.75" customHeight="1" x14ac:dyDescent="0.2">
      <c r="B2726" s="11"/>
    </row>
    <row r="2727" spans="2:2" ht="15.75" customHeight="1" x14ac:dyDescent="0.2">
      <c r="B2727" s="11"/>
    </row>
    <row r="2728" spans="2:2" ht="15.75" customHeight="1" x14ac:dyDescent="0.2">
      <c r="B2728" s="11"/>
    </row>
    <row r="2729" spans="2:2" ht="15.75" customHeight="1" x14ac:dyDescent="0.2">
      <c r="B2729" s="11"/>
    </row>
    <row r="2730" spans="2:2" ht="15.75" customHeight="1" x14ac:dyDescent="0.2">
      <c r="B2730" s="11"/>
    </row>
    <row r="2731" spans="2:2" ht="15.75" customHeight="1" x14ac:dyDescent="0.2">
      <c r="B2731" s="11"/>
    </row>
    <row r="2732" spans="2:2" ht="15.75" customHeight="1" x14ac:dyDescent="0.2">
      <c r="B2732" s="11"/>
    </row>
    <row r="2733" spans="2:2" ht="15.75" customHeight="1" x14ac:dyDescent="0.2">
      <c r="B2733" s="11"/>
    </row>
    <row r="2734" spans="2:2" ht="15.75" customHeight="1" x14ac:dyDescent="0.2">
      <c r="B2734" s="11"/>
    </row>
    <row r="2735" spans="2:2" ht="15.75" customHeight="1" x14ac:dyDescent="0.2">
      <c r="B2735" s="11"/>
    </row>
    <row r="2736" spans="2:2" ht="15.75" customHeight="1" x14ac:dyDescent="0.2">
      <c r="B2736" s="11"/>
    </row>
    <row r="2737" spans="2:2" ht="15.75" customHeight="1" x14ac:dyDescent="0.2">
      <c r="B2737" s="11"/>
    </row>
    <row r="2738" spans="2:2" ht="15.75" customHeight="1" x14ac:dyDescent="0.2">
      <c r="B2738" s="11"/>
    </row>
    <row r="2739" spans="2:2" ht="15.75" customHeight="1" x14ac:dyDescent="0.2">
      <c r="B2739" s="11"/>
    </row>
    <row r="2740" spans="2:2" ht="15.75" customHeight="1" x14ac:dyDescent="0.2">
      <c r="B2740" s="11"/>
    </row>
    <row r="2741" spans="2:2" ht="15.75" customHeight="1" x14ac:dyDescent="0.2">
      <c r="B2741" s="11"/>
    </row>
    <row r="2742" spans="2:2" ht="15.75" customHeight="1" x14ac:dyDescent="0.2">
      <c r="B2742" s="11"/>
    </row>
    <row r="2743" spans="2:2" ht="15.75" customHeight="1" x14ac:dyDescent="0.2">
      <c r="B2743" s="11"/>
    </row>
    <row r="2744" spans="2:2" ht="15.75" customHeight="1" x14ac:dyDescent="0.2">
      <c r="B2744" s="11"/>
    </row>
    <row r="2745" spans="2:2" ht="15.75" customHeight="1" x14ac:dyDescent="0.2">
      <c r="B2745" s="11"/>
    </row>
    <row r="2746" spans="2:2" ht="15.75" customHeight="1" x14ac:dyDescent="0.2">
      <c r="B2746" s="11"/>
    </row>
    <row r="2747" spans="2:2" ht="15.75" customHeight="1" x14ac:dyDescent="0.2">
      <c r="B2747" s="11"/>
    </row>
    <row r="2748" spans="2:2" ht="15.75" customHeight="1" x14ac:dyDescent="0.2">
      <c r="B2748" s="11"/>
    </row>
    <row r="2749" spans="2:2" ht="15.75" customHeight="1" x14ac:dyDescent="0.2">
      <c r="B2749" s="11"/>
    </row>
    <row r="2750" spans="2:2" ht="15.75" customHeight="1" x14ac:dyDescent="0.2">
      <c r="B2750" s="11"/>
    </row>
    <row r="2751" spans="2:2" ht="15.75" customHeight="1" x14ac:dyDescent="0.2">
      <c r="B2751" s="11"/>
    </row>
    <row r="2752" spans="2:2" ht="15.75" customHeight="1" x14ac:dyDescent="0.2">
      <c r="B2752" s="11"/>
    </row>
    <row r="2753" spans="2:2" ht="15.75" customHeight="1" x14ac:dyDescent="0.2">
      <c r="B2753" s="11"/>
    </row>
    <row r="2754" spans="2:2" ht="15.75" customHeight="1" x14ac:dyDescent="0.2">
      <c r="B2754" s="11"/>
    </row>
    <row r="2755" spans="2:2" ht="15.75" customHeight="1" x14ac:dyDescent="0.2">
      <c r="B2755" s="11"/>
    </row>
    <row r="2756" spans="2:2" ht="15.75" customHeight="1" x14ac:dyDescent="0.2">
      <c r="B2756" s="11"/>
    </row>
    <row r="2757" spans="2:2" ht="15.75" customHeight="1" x14ac:dyDescent="0.2">
      <c r="B2757" s="11"/>
    </row>
    <row r="2758" spans="2:2" ht="15.75" customHeight="1" x14ac:dyDescent="0.2">
      <c r="B2758" s="11"/>
    </row>
    <row r="2759" spans="2:2" ht="15.75" customHeight="1" x14ac:dyDescent="0.2">
      <c r="B2759" s="11"/>
    </row>
    <row r="2760" spans="2:2" ht="15.75" customHeight="1" x14ac:dyDescent="0.2">
      <c r="B2760" s="11"/>
    </row>
    <row r="2761" spans="2:2" ht="15.75" customHeight="1" x14ac:dyDescent="0.2">
      <c r="B2761" s="11"/>
    </row>
    <row r="2762" spans="2:2" ht="15.75" customHeight="1" x14ac:dyDescent="0.2">
      <c r="B2762" s="11"/>
    </row>
    <row r="2763" spans="2:2" ht="15.75" customHeight="1" x14ac:dyDescent="0.2">
      <c r="B2763" s="11"/>
    </row>
    <row r="2764" spans="2:2" ht="15.75" customHeight="1" x14ac:dyDescent="0.2">
      <c r="B2764" s="11"/>
    </row>
    <row r="2765" spans="2:2" ht="15.75" customHeight="1" x14ac:dyDescent="0.2">
      <c r="B2765" s="11"/>
    </row>
    <row r="2766" spans="2:2" ht="15.75" customHeight="1" x14ac:dyDescent="0.2">
      <c r="B2766" s="11"/>
    </row>
    <row r="2767" spans="2:2" ht="15.75" customHeight="1" x14ac:dyDescent="0.2">
      <c r="B2767" s="11"/>
    </row>
    <row r="2768" spans="2:2" ht="15.75" customHeight="1" x14ac:dyDescent="0.2">
      <c r="B2768" s="11"/>
    </row>
    <row r="2769" spans="2:2" ht="15.75" customHeight="1" x14ac:dyDescent="0.2">
      <c r="B2769" s="11"/>
    </row>
    <row r="2770" spans="2:2" ht="15.75" customHeight="1" x14ac:dyDescent="0.2">
      <c r="B2770" s="11"/>
    </row>
    <row r="2771" spans="2:2" ht="15.75" customHeight="1" x14ac:dyDescent="0.2">
      <c r="B2771" s="11"/>
    </row>
    <row r="2772" spans="2:2" ht="15.75" customHeight="1" x14ac:dyDescent="0.2">
      <c r="B2772" s="11"/>
    </row>
    <row r="2773" spans="2:2" ht="15.75" customHeight="1" x14ac:dyDescent="0.2">
      <c r="B2773" s="11"/>
    </row>
    <row r="2774" spans="2:2" ht="15.75" customHeight="1" x14ac:dyDescent="0.2">
      <c r="B2774" s="11"/>
    </row>
    <row r="2775" spans="2:2" ht="15.75" customHeight="1" x14ac:dyDescent="0.2">
      <c r="B2775" s="11"/>
    </row>
    <row r="2776" spans="2:2" ht="15.75" customHeight="1" x14ac:dyDescent="0.2">
      <c r="B2776" s="11"/>
    </row>
    <row r="2777" spans="2:2" ht="15.75" customHeight="1" x14ac:dyDescent="0.2">
      <c r="B2777" s="11"/>
    </row>
    <row r="2778" spans="2:2" ht="15.75" customHeight="1" x14ac:dyDescent="0.2">
      <c r="B2778" s="11"/>
    </row>
    <row r="2779" spans="2:2" ht="15.75" customHeight="1" x14ac:dyDescent="0.2">
      <c r="B2779" s="11"/>
    </row>
    <row r="2780" spans="2:2" ht="15.75" customHeight="1" x14ac:dyDescent="0.2">
      <c r="B2780" s="11"/>
    </row>
    <row r="2781" spans="2:2" ht="15.75" customHeight="1" x14ac:dyDescent="0.2">
      <c r="B2781" s="11"/>
    </row>
    <row r="2782" spans="2:2" ht="15.75" customHeight="1" x14ac:dyDescent="0.2">
      <c r="B2782" s="11"/>
    </row>
    <row r="2783" spans="2:2" ht="15.75" customHeight="1" x14ac:dyDescent="0.2">
      <c r="B2783" s="11"/>
    </row>
    <row r="2784" spans="2:2" ht="15.75" customHeight="1" x14ac:dyDescent="0.2">
      <c r="B2784" s="11"/>
    </row>
    <row r="2785" spans="2:2" ht="15.75" customHeight="1" x14ac:dyDescent="0.2">
      <c r="B2785" s="11"/>
    </row>
    <row r="2786" spans="2:2" ht="15.75" customHeight="1" x14ac:dyDescent="0.2">
      <c r="B2786" s="11"/>
    </row>
    <row r="2787" spans="2:2" ht="15.75" customHeight="1" x14ac:dyDescent="0.2">
      <c r="B2787" s="11"/>
    </row>
    <row r="2788" spans="2:2" ht="15.75" customHeight="1" x14ac:dyDescent="0.2">
      <c r="B2788" s="11"/>
    </row>
    <row r="2789" spans="2:2" ht="15.75" customHeight="1" x14ac:dyDescent="0.2">
      <c r="B2789" s="11"/>
    </row>
    <row r="2790" spans="2:2" ht="15.75" customHeight="1" x14ac:dyDescent="0.2">
      <c r="B2790" s="11"/>
    </row>
    <row r="2791" spans="2:2" ht="15.75" customHeight="1" x14ac:dyDescent="0.2">
      <c r="B2791" s="11"/>
    </row>
    <row r="2792" spans="2:2" ht="15.75" customHeight="1" x14ac:dyDescent="0.2">
      <c r="B2792" s="11"/>
    </row>
    <row r="2793" spans="2:2" ht="15.75" customHeight="1" x14ac:dyDescent="0.2">
      <c r="B2793" s="11"/>
    </row>
    <row r="2794" spans="2:2" ht="15.75" customHeight="1" x14ac:dyDescent="0.2">
      <c r="B2794" s="11"/>
    </row>
    <row r="2795" spans="2:2" ht="15.75" customHeight="1" x14ac:dyDescent="0.2">
      <c r="B2795" s="11"/>
    </row>
    <row r="2796" spans="2:2" ht="15.75" customHeight="1" x14ac:dyDescent="0.2">
      <c r="B2796" s="11"/>
    </row>
    <row r="2797" spans="2:2" ht="15.75" customHeight="1" x14ac:dyDescent="0.2">
      <c r="B2797" s="11"/>
    </row>
    <row r="2798" spans="2:2" ht="15.75" customHeight="1" x14ac:dyDescent="0.2">
      <c r="B2798" s="11"/>
    </row>
    <row r="2799" spans="2:2" ht="15.75" customHeight="1" x14ac:dyDescent="0.2">
      <c r="B2799" s="11"/>
    </row>
    <row r="2800" spans="2:2" ht="15.75" customHeight="1" x14ac:dyDescent="0.2">
      <c r="B2800" s="11"/>
    </row>
    <row r="2801" spans="2:2" ht="15.75" customHeight="1" x14ac:dyDescent="0.2">
      <c r="B2801" s="11"/>
    </row>
    <row r="2802" spans="2:2" ht="15.75" customHeight="1" x14ac:dyDescent="0.2">
      <c r="B2802" s="11"/>
    </row>
    <row r="2803" spans="2:2" ht="15.75" customHeight="1" x14ac:dyDescent="0.2">
      <c r="B2803" s="11"/>
    </row>
    <row r="2804" spans="2:2" ht="15.75" customHeight="1" x14ac:dyDescent="0.2">
      <c r="B2804" s="11"/>
    </row>
    <row r="2805" spans="2:2" ht="15.75" customHeight="1" x14ac:dyDescent="0.2">
      <c r="B2805" s="11"/>
    </row>
    <row r="2806" spans="2:2" ht="15.75" customHeight="1" x14ac:dyDescent="0.2">
      <c r="B2806" s="11"/>
    </row>
    <row r="2807" spans="2:2" ht="15.75" customHeight="1" x14ac:dyDescent="0.2">
      <c r="B2807" s="11"/>
    </row>
    <row r="2808" spans="2:2" ht="15.75" customHeight="1" x14ac:dyDescent="0.2">
      <c r="B2808" s="11"/>
    </row>
    <row r="2809" spans="2:2" ht="15.75" customHeight="1" x14ac:dyDescent="0.2">
      <c r="B2809" s="11"/>
    </row>
    <row r="2810" spans="2:2" ht="15.75" customHeight="1" x14ac:dyDescent="0.2">
      <c r="B2810" s="11"/>
    </row>
    <row r="2811" spans="2:2" ht="15.75" customHeight="1" x14ac:dyDescent="0.2">
      <c r="B2811" s="11"/>
    </row>
    <row r="2812" spans="2:2" ht="15.75" customHeight="1" x14ac:dyDescent="0.2">
      <c r="B2812" s="11"/>
    </row>
    <row r="2813" spans="2:2" ht="15.75" customHeight="1" x14ac:dyDescent="0.2">
      <c r="B2813" s="11"/>
    </row>
    <row r="2814" spans="2:2" ht="15.75" customHeight="1" x14ac:dyDescent="0.2">
      <c r="B2814" s="11"/>
    </row>
    <row r="2815" spans="2:2" ht="15.75" customHeight="1" x14ac:dyDescent="0.2">
      <c r="B2815" s="11"/>
    </row>
    <row r="2816" spans="2:2" ht="15.75" customHeight="1" x14ac:dyDescent="0.2">
      <c r="B2816" s="11"/>
    </row>
    <row r="2817" spans="2:2" ht="15.75" customHeight="1" x14ac:dyDescent="0.2">
      <c r="B2817" s="11"/>
    </row>
    <row r="2818" spans="2:2" ht="15.75" customHeight="1" x14ac:dyDescent="0.2">
      <c r="B2818" s="11"/>
    </row>
    <row r="2819" spans="2:2" ht="15.75" customHeight="1" x14ac:dyDescent="0.2">
      <c r="B2819" s="11"/>
    </row>
    <row r="2820" spans="2:2" ht="15.75" customHeight="1" x14ac:dyDescent="0.2">
      <c r="B2820" s="11"/>
    </row>
    <row r="2821" spans="2:2" ht="15.75" customHeight="1" x14ac:dyDescent="0.2">
      <c r="B2821" s="11"/>
    </row>
    <row r="2822" spans="2:2" ht="15.75" customHeight="1" x14ac:dyDescent="0.2">
      <c r="B2822" s="11"/>
    </row>
    <row r="2823" spans="2:2" ht="15.75" customHeight="1" x14ac:dyDescent="0.2">
      <c r="B2823" s="11"/>
    </row>
    <row r="2824" spans="2:2" ht="15.75" customHeight="1" x14ac:dyDescent="0.2">
      <c r="B2824" s="11"/>
    </row>
    <row r="2825" spans="2:2" ht="15.75" customHeight="1" x14ac:dyDescent="0.2">
      <c r="B2825" s="11"/>
    </row>
    <row r="2826" spans="2:2" ht="15.75" customHeight="1" x14ac:dyDescent="0.2">
      <c r="B2826" s="11"/>
    </row>
    <row r="2827" spans="2:2" ht="15.75" customHeight="1" x14ac:dyDescent="0.2">
      <c r="B2827" s="11"/>
    </row>
    <row r="2828" spans="2:2" ht="15.75" customHeight="1" x14ac:dyDescent="0.2">
      <c r="B2828" s="11"/>
    </row>
    <row r="2829" spans="2:2" ht="15.75" customHeight="1" x14ac:dyDescent="0.2">
      <c r="B2829" s="11"/>
    </row>
    <row r="2830" spans="2:2" ht="15.75" customHeight="1" x14ac:dyDescent="0.2">
      <c r="B2830" s="11"/>
    </row>
    <row r="2831" spans="2:2" ht="15.75" customHeight="1" x14ac:dyDescent="0.2">
      <c r="B2831" s="11"/>
    </row>
    <row r="2832" spans="2:2" ht="15.75" customHeight="1" x14ac:dyDescent="0.2">
      <c r="B2832" s="11"/>
    </row>
    <row r="2833" spans="2:2" ht="15.75" customHeight="1" x14ac:dyDescent="0.2">
      <c r="B2833" s="11"/>
    </row>
    <row r="2834" spans="2:2" ht="15.75" customHeight="1" x14ac:dyDescent="0.2">
      <c r="B2834" s="11"/>
    </row>
    <row r="2835" spans="2:2" ht="15.75" customHeight="1" x14ac:dyDescent="0.2">
      <c r="B2835" s="11"/>
    </row>
    <row r="2836" spans="2:2" ht="15.75" customHeight="1" x14ac:dyDescent="0.2">
      <c r="B2836" s="11"/>
    </row>
    <row r="2837" spans="2:2" ht="15.75" customHeight="1" x14ac:dyDescent="0.2">
      <c r="B2837" s="11"/>
    </row>
    <row r="2838" spans="2:2" ht="15.75" customHeight="1" x14ac:dyDescent="0.2">
      <c r="B2838" s="11"/>
    </row>
    <row r="2839" spans="2:2" ht="15.75" customHeight="1" x14ac:dyDescent="0.2">
      <c r="B2839" s="11"/>
    </row>
    <row r="2840" spans="2:2" ht="15.75" customHeight="1" x14ac:dyDescent="0.2">
      <c r="B2840" s="11"/>
    </row>
    <row r="2841" spans="2:2" ht="15.75" customHeight="1" x14ac:dyDescent="0.2">
      <c r="B2841" s="11"/>
    </row>
    <row r="2842" spans="2:2" ht="15.75" customHeight="1" x14ac:dyDescent="0.2">
      <c r="B2842" s="11"/>
    </row>
    <row r="2843" spans="2:2" ht="15.75" customHeight="1" x14ac:dyDescent="0.2">
      <c r="B2843" s="11"/>
    </row>
    <row r="2844" spans="2:2" ht="15.75" customHeight="1" x14ac:dyDescent="0.2">
      <c r="B2844" s="11"/>
    </row>
    <row r="2845" spans="2:2" ht="15.75" customHeight="1" x14ac:dyDescent="0.2">
      <c r="B2845" s="11"/>
    </row>
    <row r="2846" spans="2:2" ht="15.75" customHeight="1" x14ac:dyDescent="0.2">
      <c r="B2846" s="11"/>
    </row>
    <row r="2847" spans="2:2" ht="15.75" customHeight="1" x14ac:dyDescent="0.2">
      <c r="B2847" s="11"/>
    </row>
    <row r="2848" spans="2:2" ht="15.75" customHeight="1" x14ac:dyDescent="0.2">
      <c r="B2848" s="11"/>
    </row>
    <row r="2849" spans="2:2" ht="15.75" customHeight="1" x14ac:dyDescent="0.2">
      <c r="B2849" s="11"/>
    </row>
    <row r="2850" spans="2:2" ht="15.75" customHeight="1" x14ac:dyDescent="0.2">
      <c r="B2850" s="11"/>
    </row>
    <row r="2851" spans="2:2" ht="15.75" customHeight="1" x14ac:dyDescent="0.2">
      <c r="B2851" s="11"/>
    </row>
    <row r="2852" spans="2:2" ht="15.75" customHeight="1" x14ac:dyDescent="0.2">
      <c r="B2852" s="11"/>
    </row>
    <row r="2853" spans="2:2" ht="15.75" customHeight="1" x14ac:dyDescent="0.2">
      <c r="B2853" s="11"/>
    </row>
    <row r="2854" spans="2:2" ht="15.75" customHeight="1" x14ac:dyDescent="0.2">
      <c r="B2854" s="11"/>
    </row>
    <row r="2855" spans="2:2" ht="15.75" customHeight="1" x14ac:dyDescent="0.2">
      <c r="B2855" s="11"/>
    </row>
    <row r="2856" spans="2:2" ht="15.75" customHeight="1" x14ac:dyDescent="0.2">
      <c r="B2856" s="11"/>
    </row>
    <row r="2857" spans="2:2" ht="15.75" customHeight="1" x14ac:dyDescent="0.2">
      <c r="B2857" s="11"/>
    </row>
    <row r="2858" spans="2:2" ht="15.75" customHeight="1" x14ac:dyDescent="0.2">
      <c r="B2858" s="11"/>
    </row>
    <row r="2859" spans="2:2" ht="15.75" customHeight="1" x14ac:dyDescent="0.2">
      <c r="B2859" s="11"/>
    </row>
    <row r="2860" spans="2:2" ht="15.75" customHeight="1" x14ac:dyDescent="0.2">
      <c r="B2860" s="11"/>
    </row>
    <row r="2861" spans="2:2" ht="15.75" customHeight="1" x14ac:dyDescent="0.2">
      <c r="B2861" s="11"/>
    </row>
    <row r="2862" spans="2:2" ht="15.75" customHeight="1" x14ac:dyDescent="0.2">
      <c r="B2862" s="11"/>
    </row>
    <row r="2863" spans="2:2" ht="15.75" customHeight="1" x14ac:dyDescent="0.2">
      <c r="B2863" s="11"/>
    </row>
    <row r="2864" spans="2:2" ht="15.75" customHeight="1" x14ac:dyDescent="0.2">
      <c r="B2864" s="11"/>
    </row>
    <row r="2865" spans="2:2" ht="15.75" customHeight="1" x14ac:dyDescent="0.2">
      <c r="B2865" s="11"/>
    </row>
    <row r="2866" spans="2:2" ht="15.75" customHeight="1" x14ac:dyDescent="0.2">
      <c r="B2866" s="11"/>
    </row>
    <row r="2867" spans="2:2" ht="15.75" customHeight="1" x14ac:dyDescent="0.2">
      <c r="B2867" s="11"/>
    </row>
    <row r="2868" spans="2:2" ht="15.75" customHeight="1" x14ac:dyDescent="0.2">
      <c r="B2868" s="11"/>
    </row>
    <row r="2869" spans="2:2" ht="15.75" customHeight="1" x14ac:dyDescent="0.2">
      <c r="B2869" s="11"/>
    </row>
    <row r="2870" spans="2:2" ht="15.75" customHeight="1" x14ac:dyDescent="0.2">
      <c r="B2870" s="11"/>
    </row>
    <row r="2871" spans="2:2" ht="15.75" customHeight="1" x14ac:dyDescent="0.2">
      <c r="B2871" s="11"/>
    </row>
    <row r="2872" spans="2:2" ht="15.75" customHeight="1" x14ac:dyDescent="0.2">
      <c r="B2872" s="11"/>
    </row>
    <row r="2873" spans="2:2" ht="15.75" customHeight="1" x14ac:dyDescent="0.2">
      <c r="B2873" s="11"/>
    </row>
    <row r="2874" spans="2:2" ht="15.75" customHeight="1" x14ac:dyDescent="0.2">
      <c r="B2874" s="11"/>
    </row>
    <row r="2875" spans="2:2" ht="15.75" customHeight="1" x14ac:dyDescent="0.2">
      <c r="B2875" s="11"/>
    </row>
    <row r="2876" spans="2:2" ht="15.75" customHeight="1" x14ac:dyDescent="0.2">
      <c r="B2876" s="11"/>
    </row>
    <row r="2877" spans="2:2" ht="15.75" customHeight="1" x14ac:dyDescent="0.2">
      <c r="B2877" s="11"/>
    </row>
    <row r="2878" spans="2:2" ht="15.75" customHeight="1" x14ac:dyDescent="0.2">
      <c r="B2878" s="11"/>
    </row>
    <row r="2879" spans="2:2" ht="15.75" customHeight="1" x14ac:dyDescent="0.2">
      <c r="B2879" s="11"/>
    </row>
    <row r="2880" spans="2:2" ht="15.75" customHeight="1" x14ac:dyDescent="0.2">
      <c r="B2880" s="11"/>
    </row>
    <row r="2881" spans="2:2" ht="15.75" customHeight="1" x14ac:dyDescent="0.2">
      <c r="B2881" s="11"/>
    </row>
    <row r="2882" spans="2:2" ht="15.75" customHeight="1" x14ac:dyDescent="0.2">
      <c r="B2882" s="11"/>
    </row>
    <row r="2883" spans="2:2" ht="15.75" customHeight="1" x14ac:dyDescent="0.2">
      <c r="B2883" s="11"/>
    </row>
    <row r="2884" spans="2:2" ht="15.75" customHeight="1" x14ac:dyDescent="0.2">
      <c r="B2884" s="11"/>
    </row>
    <row r="2885" spans="2:2" ht="15.75" customHeight="1" x14ac:dyDescent="0.2">
      <c r="B2885" s="11"/>
    </row>
    <row r="2886" spans="2:2" ht="15.75" customHeight="1" x14ac:dyDescent="0.2">
      <c r="B2886" s="11"/>
    </row>
    <row r="2887" spans="2:2" ht="15.75" customHeight="1" x14ac:dyDescent="0.2">
      <c r="B2887" s="11"/>
    </row>
    <row r="2888" spans="2:2" ht="15.75" customHeight="1" x14ac:dyDescent="0.2">
      <c r="B2888" s="11"/>
    </row>
    <row r="2889" spans="2:2" ht="15.75" customHeight="1" x14ac:dyDescent="0.2">
      <c r="B2889" s="11"/>
    </row>
    <row r="2890" spans="2:2" ht="15.75" customHeight="1" x14ac:dyDescent="0.2">
      <c r="B2890" s="11"/>
    </row>
    <row r="2891" spans="2:2" ht="15.75" customHeight="1" x14ac:dyDescent="0.2">
      <c r="B2891" s="11"/>
    </row>
    <row r="2892" spans="2:2" ht="15.75" customHeight="1" x14ac:dyDescent="0.2">
      <c r="B2892" s="11"/>
    </row>
    <row r="2893" spans="2:2" ht="15.75" customHeight="1" x14ac:dyDescent="0.2">
      <c r="B2893" s="11"/>
    </row>
    <row r="2894" spans="2:2" ht="15.75" customHeight="1" x14ac:dyDescent="0.2">
      <c r="B2894" s="11"/>
    </row>
    <row r="2895" spans="2:2" ht="15.75" customHeight="1" x14ac:dyDescent="0.2">
      <c r="B2895" s="11"/>
    </row>
    <row r="2896" spans="2:2" ht="15.75" customHeight="1" x14ac:dyDescent="0.2">
      <c r="B2896" s="11"/>
    </row>
    <row r="2897" spans="2:2" ht="15.75" customHeight="1" x14ac:dyDescent="0.2">
      <c r="B2897" s="11"/>
    </row>
    <row r="2898" spans="2:2" ht="15.75" customHeight="1" x14ac:dyDescent="0.2">
      <c r="B2898" s="11"/>
    </row>
    <row r="2899" spans="2:2" ht="15.75" customHeight="1" x14ac:dyDescent="0.2">
      <c r="B2899" s="11"/>
    </row>
    <row r="2900" spans="2:2" ht="15.75" customHeight="1" x14ac:dyDescent="0.2">
      <c r="B2900" s="11"/>
    </row>
    <row r="2901" spans="2:2" ht="15.75" customHeight="1" x14ac:dyDescent="0.2">
      <c r="B2901" s="11"/>
    </row>
    <row r="2902" spans="2:2" ht="15.75" customHeight="1" x14ac:dyDescent="0.2">
      <c r="B2902" s="11"/>
    </row>
    <row r="2903" spans="2:2" ht="15.75" customHeight="1" x14ac:dyDescent="0.2">
      <c r="B2903" s="11"/>
    </row>
    <row r="2904" spans="2:2" ht="15.75" customHeight="1" x14ac:dyDescent="0.2">
      <c r="B2904" s="11"/>
    </row>
    <row r="2905" spans="2:2" ht="15.75" customHeight="1" x14ac:dyDescent="0.2">
      <c r="B2905" s="11"/>
    </row>
    <row r="2906" spans="2:2" ht="15.75" customHeight="1" x14ac:dyDescent="0.2">
      <c r="B2906" s="11"/>
    </row>
    <row r="2907" spans="2:2" ht="15.75" customHeight="1" x14ac:dyDescent="0.2">
      <c r="B2907" s="11"/>
    </row>
    <row r="2908" spans="2:2" ht="15.75" customHeight="1" x14ac:dyDescent="0.2">
      <c r="B2908" s="11"/>
    </row>
    <row r="2909" spans="2:2" ht="15.75" customHeight="1" x14ac:dyDescent="0.2">
      <c r="B2909" s="11"/>
    </row>
    <row r="2910" spans="2:2" ht="15.75" customHeight="1" x14ac:dyDescent="0.2">
      <c r="B2910" s="11"/>
    </row>
    <row r="2911" spans="2:2" ht="15.75" customHeight="1" x14ac:dyDescent="0.2">
      <c r="B2911" s="11"/>
    </row>
    <row r="2912" spans="2:2" ht="15.75" customHeight="1" x14ac:dyDescent="0.2">
      <c r="B2912" s="11"/>
    </row>
    <row r="2913" spans="2:2" ht="15.75" customHeight="1" x14ac:dyDescent="0.2">
      <c r="B2913" s="11"/>
    </row>
    <row r="2914" spans="2:2" ht="15.75" customHeight="1" x14ac:dyDescent="0.2">
      <c r="B2914" s="11"/>
    </row>
    <row r="2915" spans="2:2" ht="15.75" customHeight="1" x14ac:dyDescent="0.2">
      <c r="B2915" s="11"/>
    </row>
    <row r="2916" spans="2:2" ht="15.75" customHeight="1" x14ac:dyDescent="0.2">
      <c r="B2916" s="11"/>
    </row>
    <row r="2917" spans="2:2" ht="15.75" customHeight="1" x14ac:dyDescent="0.2">
      <c r="B2917" s="11"/>
    </row>
    <row r="2918" spans="2:2" ht="15.75" customHeight="1" x14ac:dyDescent="0.2">
      <c r="B2918" s="11"/>
    </row>
    <row r="2919" spans="2:2" ht="15.75" customHeight="1" x14ac:dyDescent="0.2">
      <c r="B2919" s="11"/>
    </row>
    <row r="2920" spans="2:2" ht="15.75" customHeight="1" x14ac:dyDescent="0.2">
      <c r="B2920" s="11"/>
    </row>
    <row r="2921" spans="2:2" ht="15.75" customHeight="1" x14ac:dyDescent="0.2">
      <c r="B2921" s="11"/>
    </row>
    <row r="2922" spans="2:2" ht="15.75" customHeight="1" x14ac:dyDescent="0.2">
      <c r="B2922" s="11"/>
    </row>
    <row r="2923" spans="2:2" ht="15.75" customHeight="1" x14ac:dyDescent="0.2">
      <c r="B2923" s="11"/>
    </row>
    <row r="2924" spans="2:2" ht="15.75" customHeight="1" x14ac:dyDescent="0.2">
      <c r="B2924" s="11"/>
    </row>
    <row r="2925" spans="2:2" ht="15.75" customHeight="1" x14ac:dyDescent="0.2">
      <c r="B2925" s="11"/>
    </row>
    <row r="2926" spans="2:2" ht="15.75" customHeight="1" x14ac:dyDescent="0.2">
      <c r="B2926" s="11"/>
    </row>
    <row r="2927" spans="2:2" ht="15.75" customHeight="1" x14ac:dyDescent="0.2">
      <c r="B2927" s="11"/>
    </row>
    <row r="2928" spans="2:2" ht="15.75" customHeight="1" x14ac:dyDescent="0.2">
      <c r="B2928" s="11"/>
    </row>
    <row r="2929" spans="2:2" ht="15.75" customHeight="1" x14ac:dyDescent="0.2">
      <c r="B2929" s="11"/>
    </row>
    <row r="2930" spans="2:2" ht="15.75" customHeight="1" x14ac:dyDescent="0.2">
      <c r="B2930" s="11"/>
    </row>
    <row r="2931" spans="2:2" ht="15.75" customHeight="1" x14ac:dyDescent="0.2">
      <c r="B2931" s="11"/>
    </row>
    <row r="2932" spans="2:2" ht="15.75" customHeight="1" x14ac:dyDescent="0.2">
      <c r="B2932" s="11"/>
    </row>
    <row r="2933" spans="2:2" ht="15.75" customHeight="1" x14ac:dyDescent="0.2">
      <c r="B2933" s="11"/>
    </row>
    <row r="2934" spans="2:2" ht="15.75" customHeight="1" x14ac:dyDescent="0.2">
      <c r="B2934" s="11"/>
    </row>
    <row r="2935" spans="2:2" ht="15.75" customHeight="1" x14ac:dyDescent="0.2">
      <c r="B2935" s="11"/>
    </row>
    <row r="2936" spans="2:2" ht="15.75" customHeight="1" x14ac:dyDescent="0.2">
      <c r="B2936" s="11"/>
    </row>
    <row r="2937" spans="2:2" ht="15.75" customHeight="1" x14ac:dyDescent="0.2">
      <c r="B2937" s="11"/>
    </row>
    <row r="2938" spans="2:2" ht="15.75" customHeight="1" x14ac:dyDescent="0.2">
      <c r="B2938" s="11"/>
    </row>
    <row r="2939" spans="2:2" ht="15.75" customHeight="1" x14ac:dyDescent="0.2">
      <c r="B2939" s="11"/>
    </row>
    <row r="2940" spans="2:2" ht="15.75" customHeight="1" x14ac:dyDescent="0.2">
      <c r="B2940" s="11"/>
    </row>
    <row r="2941" spans="2:2" ht="15.75" customHeight="1" x14ac:dyDescent="0.2">
      <c r="B2941" s="11"/>
    </row>
    <row r="2942" spans="2:2" ht="15.75" customHeight="1" x14ac:dyDescent="0.2">
      <c r="B2942" s="11"/>
    </row>
    <row r="2943" spans="2:2" ht="15.75" customHeight="1" x14ac:dyDescent="0.2">
      <c r="B2943" s="11"/>
    </row>
    <row r="2944" spans="2:2" ht="15.75" customHeight="1" x14ac:dyDescent="0.2">
      <c r="B2944" s="11"/>
    </row>
    <row r="2945" spans="2:2" ht="15.75" customHeight="1" x14ac:dyDescent="0.2">
      <c r="B2945" s="11"/>
    </row>
    <row r="2946" spans="2:2" ht="15.75" customHeight="1" x14ac:dyDescent="0.2">
      <c r="B2946" s="11"/>
    </row>
    <row r="2947" spans="2:2" ht="15.75" customHeight="1" x14ac:dyDescent="0.2">
      <c r="B2947" s="11"/>
    </row>
    <row r="2948" spans="2:2" ht="15.75" customHeight="1" x14ac:dyDescent="0.2">
      <c r="B2948" s="11"/>
    </row>
    <row r="2949" spans="2:2" ht="15.75" customHeight="1" x14ac:dyDescent="0.2">
      <c r="B2949" s="11"/>
    </row>
    <row r="2950" spans="2:2" ht="15.75" customHeight="1" x14ac:dyDescent="0.2">
      <c r="B2950" s="11"/>
    </row>
    <row r="2951" spans="2:2" ht="15.75" customHeight="1" x14ac:dyDescent="0.2">
      <c r="B2951" s="11"/>
    </row>
    <row r="2952" spans="2:2" ht="15.75" customHeight="1" x14ac:dyDescent="0.2">
      <c r="B2952" s="11"/>
    </row>
    <row r="2953" spans="2:2" ht="15.75" customHeight="1" x14ac:dyDescent="0.2">
      <c r="B2953" s="11"/>
    </row>
    <row r="2954" spans="2:2" ht="15.75" customHeight="1" x14ac:dyDescent="0.2">
      <c r="B2954" s="11"/>
    </row>
    <row r="2955" spans="2:2" ht="15.75" customHeight="1" x14ac:dyDescent="0.2">
      <c r="B2955" s="11"/>
    </row>
    <row r="2956" spans="2:2" ht="15.75" customHeight="1" x14ac:dyDescent="0.2">
      <c r="B2956" s="11"/>
    </row>
    <row r="2957" spans="2:2" ht="15.75" customHeight="1" x14ac:dyDescent="0.2">
      <c r="B2957" s="11"/>
    </row>
    <row r="2958" spans="2:2" ht="15.75" customHeight="1" x14ac:dyDescent="0.2">
      <c r="B2958" s="11"/>
    </row>
    <row r="2959" spans="2:2" ht="15.75" customHeight="1" x14ac:dyDescent="0.2">
      <c r="B2959" s="11"/>
    </row>
    <row r="2960" spans="2:2" ht="15.75" customHeight="1" x14ac:dyDescent="0.2">
      <c r="B2960" s="11"/>
    </row>
    <row r="2961" spans="2:2" ht="15.75" customHeight="1" x14ac:dyDescent="0.2">
      <c r="B2961" s="11"/>
    </row>
    <row r="2962" spans="2:2" ht="15.75" customHeight="1" x14ac:dyDescent="0.2">
      <c r="B2962" s="11"/>
    </row>
    <row r="2963" spans="2:2" ht="15.75" customHeight="1" x14ac:dyDescent="0.2">
      <c r="B2963" s="11"/>
    </row>
    <row r="2964" spans="2:2" ht="15.75" customHeight="1" x14ac:dyDescent="0.2">
      <c r="B2964" s="11"/>
    </row>
    <row r="2965" spans="2:2" ht="15.75" customHeight="1" x14ac:dyDescent="0.2">
      <c r="B2965" s="11"/>
    </row>
    <row r="2966" spans="2:2" ht="15.75" customHeight="1" x14ac:dyDescent="0.2">
      <c r="B2966" s="11"/>
    </row>
    <row r="2967" spans="2:2" ht="15.75" customHeight="1" x14ac:dyDescent="0.2">
      <c r="B2967" s="11"/>
    </row>
    <row r="2968" spans="2:2" ht="15.75" customHeight="1" x14ac:dyDescent="0.2">
      <c r="B2968" s="11"/>
    </row>
    <row r="2969" spans="2:2" ht="15.75" customHeight="1" x14ac:dyDescent="0.2">
      <c r="B2969" s="11"/>
    </row>
    <row r="2970" spans="2:2" ht="15.75" customHeight="1" x14ac:dyDescent="0.2">
      <c r="B2970" s="11"/>
    </row>
    <row r="2971" spans="2:2" ht="15.75" customHeight="1" x14ac:dyDescent="0.2">
      <c r="B2971" s="11"/>
    </row>
    <row r="2972" spans="2:2" ht="15.75" customHeight="1" x14ac:dyDescent="0.2">
      <c r="B2972" s="11"/>
    </row>
    <row r="2973" spans="2:2" ht="15.75" customHeight="1" x14ac:dyDescent="0.2">
      <c r="B2973" s="11"/>
    </row>
    <row r="2974" spans="2:2" ht="15.75" customHeight="1" x14ac:dyDescent="0.2">
      <c r="B2974" s="11"/>
    </row>
    <row r="2975" spans="2:2" ht="15.75" customHeight="1" x14ac:dyDescent="0.2">
      <c r="B2975" s="11"/>
    </row>
    <row r="2976" spans="2:2" ht="15.75" customHeight="1" x14ac:dyDescent="0.2">
      <c r="B2976" s="11"/>
    </row>
    <row r="2977" spans="2:2" ht="15.75" customHeight="1" x14ac:dyDescent="0.2">
      <c r="B2977" s="11"/>
    </row>
    <row r="2978" spans="2:2" ht="15.75" customHeight="1" x14ac:dyDescent="0.2">
      <c r="B2978" s="11"/>
    </row>
    <row r="2979" spans="2:2" ht="15.75" customHeight="1" x14ac:dyDescent="0.2">
      <c r="B2979" s="11"/>
    </row>
    <row r="2980" spans="2:2" ht="15.75" customHeight="1" x14ac:dyDescent="0.2">
      <c r="B2980" s="11"/>
    </row>
    <row r="2981" spans="2:2" ht="15.75" customHeight="1" x14ac:dyDescent="0.2">
      <c r="B2981" s="11"/>
    </row>
    <row r="2982" spans="2:2" ht="15.75" customHeight="1" x14ac:dyDescent="0.2">
      <c r="B2982" s="11"/>
    </row>
    <row r="2983" spans="2:2" ht="15.75" customHeight="1" x14ac:dyDescent="0.2">
      <c r="B2983" s="11"/>
    </row>
    <row r="2984" spans="2:2" ht="15.75" customHeight="1" x14ac:dyDescent="0.2">
      <c r="B2984" s="11"/>
    </row>
    <row r="2985" spans="2:2" ht="15.75" customHeight="1" x14ac:dyDescent="0.2">
      <c r="B2985" s="11"/>
    </row>
    <row r="2986" spans="2:2" ht="15.75" customHeight="1" x14ac:dyDescent="0.2">
      <c r="B2986" s="11"/>
    </row>
    <row r="2987" spans="2:2" ht="15.75" customHeight="1" x14ac:dyDescent="0.2">
      <c r="B2987" s="11"/>
    </row>
    <row r="2988" spans="2:2" ht="15.75" customHeight="1" x14ac:dyDescent="0.2">
      <c r="B2988" s="11"/>
    </row>
    <row r="2989" spans="2:2" ht="15.75" customHeight="1" x14ac:dyDescent="0.2">
      <c r="B2989" s="11"/>
    </row>
    <row r="2990" spans="2:2" ht="15.75" customHeight="1" x14ac:dyDescent="0.2">
      <c r="B2990" s="11"/>
    </row>
    <row r="2991" spans="2:2" ht="15.75" customHeight="1" x14ac:dyDescent="0.2">
      <c r="B2991" s="11"/>
    </row>
    <row r="2992" spans="2:2" ht="15.75" customHeight="1" x14ac:dyDescent="0.2">
      <c r="B2992" s="11"/>
    </row>
    <row r="2993" spans="2:2" ht="15.75" customHeight="1" x14ac:dyDescent="0.2">
      <c r="B2993" s="11"/>
    </row>
    <row r="2994" spans="2:2" ht="15.75" customHeight="1" x14ac:dyDescent="0.2">
      <c r="B2994" s="11"/>
    </row>
    <row r="2995" spans="2:2" ht="15.75" customHeight="1" x14ac:dyDescent="0.2">
      <c r="B2995" s="11"/>
    </row>
    <row r="2996" spans="2:2" ht="15.75" customHeight="1" x14ac:dyDescent="0.2">
      <c r="B2996" s="11"/>
    </row>
    <row r="2997" spans="2:2" ht="15.75" customHeight="1" x14ac:dyDescent="0.2">
      <c r="B2997" s="11"/>
    </row>
    <row r="2998" spans="2:2" ht="15.75" customHeight="1" x14ac:dyDescent="0.2">
      <c r="B2998" s="11"/>
    </row>
    <row r="2999" spans="2:2" ht="15.75" customHeight="1" x14ac:dyDescent="0.2">
      <c r="B2999" s="11"/>
    </row>
    <row r="3000" spans="2:2" ht="15.75" customHeight="1" x14ac:dyDescent="0.2">
      <c r="B3000" s="11"/>
    </row>
    <row r="3001" spans="2:2" ht="15.75" customHeight="1" x14ac:dyDescent="0.2">
      <c r="B3001" s="11"/>
    </row>
    <row r="3002" spans="2:2" ht="15.75" customHeight="1" x14ac:dyDescent="0.2">
      <c r="B3002" s="11"/>
    </row>
    <row r="3003" spans="2:2" ht="15.75" customHeight="1" x14ac:dyDescent="0.2">
      <c r="B3003" s="11"/>
    </row>
    <row r="3004" spans="2:2" ht="15.75" customHeight="1" x14ac:dyDescent="0.2">
      <c r="B3004" s="11"/>
    </row>
    <row r="3005" spans="2:2" ht="15.75" customHeight="1" x14ac:dyDescent="0.2">
      <c r="B3005" s="11"/>
    </row>
    <row r="3006" spans="2:2" ht="15.75" customHeight="1" x14ac:dyDescent="0.2">
      <c r="B3006" s="11"/>
    </row>
    <row r="3007" spans="2:2" ht="15.75" customHeight="1" x14ac:dyDescent="0.2">
      <c r="B3007" s="11"/>
    </row>
    <row r="3008" spans="2:2" ht="15.75" customHeight="1" x14ac:dyDescent="0.2">
      <c r="B3008" s="11"/>
    </row>
    <row r="3009" spans="2:2" ht="15.75" customHeight="1" x14ac:dyDescent="0.2">
      <c r="B3009" s="11"/>
    </row>
    <row r="3010" spans="2:2" ht="15.75" customHeight="1" x14ac:dyDescent="0.2">
      <c r="B3010" s="11"/>
    </row>
    <row r="3011" spans="2:2" ht="15.75" customHeight="1" x14ac:dyDescent="0.2">
      <c r="B3011" s="11"/>
    </row>
    <row r="3012" spans="2:2" ht="15.75" customHeight="1" x14ac:dyDescent="0.2">
      <c r="B3012" s="11"/>
    </row>
    <row r="3013" spans="2:2" ht="15.75" customHeight="1" x14ac:dyDescent="0.2">
      <c r="B3013" s="11"/>
    </row>
    <row r="3014" spans="2:2" ht="15.75" customHeight="1" x14ac:dyDescent="0.2">
      <c r="B3014" s="11"/>
    </row>
    <row r="3015" spans="2:2" ht="15.75" customHeight="1" x14ac:dyDescent="0.2">
      <c r="B3015" s="11"/>
    </row>
    <row r="3016" spans="2:2" ht="15.75" customHeight="1" x14ac:dyDescent="0.2">
      <c r="B3016" s="11"/>
    </row>
    <row r="3017" spans="2:2" ht="15.75" customHeight="1" x14ac:dyDescent="0.2">
      <c r="B3017" s="11"/>
    </row>
    <row r="3018" spans="2:2" ht="15.75" customHeight="1" x14ac:dyDescent="0.2">
      <c r="B3018" s="11"/>
    </row>
    <row r="3019" spans="2:2" ht="15.75" customHeight="1" x14ac:dyDescent="0.2">
      <c r="B3019" s="11"/>
    </row>
    <row r="3020" spans="2:2" ht="15.75" customHeight="1" x14ac:dyDescent="0.2">
      <c r="B3020" s="11"/>
    </row>
    <row r="3021" spans="2:2" ht="15.75" customHeight="1" x14ac:dyDescent="0.2">
      <c r="B3021" s="11"/>
    </row>
    <row r="3022" spans="2:2" ht="15.75" customHeight="1" x14ac:dyDescent="0.2">
      <c r="B3022" s="11"/>
    </row>
    <row r="3023" spans="2:2" ht="15.75" customHeight="1" x14ac:dyDescent="0.2">
      <c r="B3023" s="11"/>
    </row>
    <row r="3024" spans="2:2" ht="15.75" customHeight="1" x14ac:dyDescent="0.2">
      <c r="B3024" s="11"/>
    </row>
    <row r="3025" spans="2:2" ht="15.75" customHeight="1" x14ac:dyDescent="0.2">
      <c r="B3025" s="11"/>
    </row>
    <row r="3026" spans="2:2" ht="15.75" customHeight="1" x14ac:dyDescent="0.2">
      <c r="B3026" s="11"/>
    </row>
    <row r="3027" spans="2:2" ht="15.75" customHeight="1" x14ac:dyDescent="0.2">
      <c r="B3027" s="11"/>
    </row>
    <row r="3028" spans="2:2" ht="15.75" customHeight="1" x14ac:dyDescent="0.2">
      <c r="B3028" s="11"/>
    </row>
    <row r="3029" spans="2:2" ht="15.75" customHeight="1" x14ac:dyDescent="0.2">
      <c r="B3029" s="11"/>
    </row>
    <row r="3030" spans="2:2" ht="15.75" customHeight="1" x14ac:dyDescent="0.2">
      <c r="B3030" s="11"/>
    </row>
    <row r="3031" spans="2:2" ht="15.75" customHeight="1" x14ac:dyDescent="0.2">
      <c r="B3031" s="11"/>
    </row>
    <row r="3032" spans="2:2" ht="15.75" customHeight="1" x14ac:dyDescent="0.2">
      <c r="B3032" s="11"/>
    </row>
    <row r="3033" spans="2:2" ht="15.75" customHeight="1" x14ac:dyDescent="0.2">
      <c r="B3033" s="11"/>
    </row>
    <row r="3034" spans="2:2" ht="15.75" customHeight="1" x14ac:dyDescent="0.2">
      <c r="B3034" s="11"/>
    </row>
    <row r="3035" spans="2:2" ht="15.75" customHeight="1" x14ac:dyDescent="0.2">
      <c r="B3035" s="11"/>
    </row>
    <row r="3036" spans="2:2" ht="15.75" customHeight="1" x14ac:dyDescent="0.2">
      <c r="B3036" s="11"/>
    </row>
    <row r="3037" spans="2:2" ht="15.75" customHeight="1" x14ac:dyDescent="0.2">
      <c r="B3037" s="11"/>
    </row>
    <row r="3038" spans="2:2" ht="15.75" customHeight="1" x14ac:dyDescent="0.2">
      <c r="B3038" s="11"/>
    </row>
    <row r="3039" spans="2:2" ht="15.75" customHeight="1" x14ac:dyDescent="0.2">
      <c r="B3039" s="11"/>
    </row>
    <row r="3040" spans="2:2" ht="15.75" customHeight="1" x14ac:dyDescent="0.2">
      <c r="B3040" s="11"/>
    </row>
    <row r="3041" spans="2:2" ht="15.75" customHeight="1" x14ac:dyDescent="0.2">
      <c r="B3041" s="11"/>
    </row>
    <row r="3042" spans="2:2" ht="15.75" customHeight="1" x14ac:dyDescent="0.2">
      <c r="B3042" s="11"/>
    </row>
    <row r="3043" spans="2:2" ht="15.75" customHeight="1" x14ac:dyDescent="0.2">
      <c r="B3043" s="11"/>
    </row>
    <row r="3044" spans="2:2" ht="15.75" customHeight="1" x14ac:dyDescent="0.2">
      <c r="B3044" s="11"/>
    </row>
    <row r="3045" spans="2:2" ht="15.75" customHeight="1" x14ac:dyDescent="0.2">
      <c r="B3045" s="11"/>
    </row>
    <row r="3046" spans="2:2" ht="15.75" customHeight="1" x14ac:dyDescent="0.2">
      <c r="B3046" s="11"/>
    </row>
    <row r="3047" spans="2:2" ht="15.75" customHeight="1" x14ac:dyDescent="0.2">
      <c r="B3047" s="11"/>
    </row>
    <row r="3048" spans="2:2" ht="15.75" customHeight="1" x14ac:dyDescent="0.2">
      <c r="B3048" s="11"/>
    </row>
    <row r="3049" spans="2:2" ht="15.75" customHeight="1" x14ac:dyDescent="0.2">
      <c r="B3049" s="11"/>
    </row>
    <row r="3050" spans="2:2" ht="15.75" customHeight="1" x14ac:dyDescent="0.2">
      <c r="B3050" s="11"/>
    </row>
    <row r="3051" spans="2:2" ht="15.75" customHeight="1" x14ac:dyDescent="0.2">
      <c r="B3051" s="11"/>
    </row>
    <row r="3052" spans="2:2" ht="15.75" customHeight="1" x14ac:dyDescent="0.2">
      <c r="B3052" s="11"/>
    </row>
    <row r="3053" spans="2:2" ht="15.75" customHeight="1" x14ac:dyDescent="0.2">
      <c r="B3053" s="11"/>
    </row>
    <row r="3054" spans="2:2" ht="15.75" customHeight="1" x14ac:dyDescent="0.2">
      <c r="B3054" s="11"/>
    </row>
    <row r="3055" spans="2:2" ht="15.75" customHeight="1" x14ac:dyDescent="0.2">
      <c r="B3055" s="11"/>
    </row>
    <row r="3056" spans="2:2" ht="15.75" customHeight="1" x14ac:dyDescent="0.2">
      <c r="B3056" s="11"/>
    </row>
    <row r="3057" spans="2:2" ht="15.75" customHeight="1" x14ac:dyDescent="0.2">
      <c r="B3057" s="11"/>
    </row>
    <row r="3058" spans="2:2" ht="15.75" customHeight="1" x14ac:dyDescent="0.2">
      <c r="B3058" s="11"/>
    </row>
    <row r="3059" spans="2:2" ht="15.75" customHeight="1" x14ac:dyDescent="0.2">
      <c r="B3059" s="11"/>
    </row>
    <row r="3060" spans="2:2" ht="15.75" customHeight="1" x14ac:dyDescent="0.2">
      <c r="B3060" s="11"/>
    </row>
    <row r="3061" spans="2:2" ht="15.75" customHeight="1" x14ac:dyDescent="0.2">
      <c r="B3061" s="11"/>
    </row>
    <row r="3062" spans="2:2" ht="15.75" customHeight="1" x14ac:dyDescent="0.2">
      <c r="B3062" s="11"/>
    </row>
    <row r="3063" spans="2:2" ht="15.75" customHeight="1" x14ac:dyDescent="0.2">
      <c r="B3063" s="11"/>
    </row>
    <row r="3064" spans="2:2" ht="15.75" customHeight="1" x14ac:dyDescent="0.2">
      <c r="B3064" s="11"/>
    </row>
  </sheetData>
  <sheetProtection algorithmName="SHA-512" hashValue="ppl+rBBrAhllL5UPtprCYVsl9yyiWCq/XD2hVTxguAFGO3v2LMzfaHWkIHBRyHNW12+2pXbFyHZHDh/b2A1g/w==" saltValue="gyNUA0HJ1/F6ADkBKJqzRw==" spinCount="100000" sheet="1" objects="1" scenarios="1"/>
  <mergeCells count="19">
    <mergeCell ref="B26:F27"/>
    <mergeCell ref="H26:J28"/>
    <mergeCell ref="B28:F29"/>
    <mergeCell ref="H29:J29"/>
    <mergeCell ref="B30:F31"/>
    <mergeCell ref="H30:J30"/>
    <mergeCell ref="H31:J31"/>
    <mergeCell ref="B16:J16"/>
    <mergeCell ref="B22:F22"/>
    <mergeCell ref="H22:J22"/>
    <mergeCell ref="B24:F24"/>
    <mergeCell ref="H24:J25"/>
    <mergeCell ref="B25:F25"/>
    <mergeCell ref="B15:J15"/>
    <mergeCell ref="B9:J9"/>
    <mergeCell ref="B11:J11"/>
    <mergeCell ref="B12:J12"/>
    <mergeCell ref="B13:J13"/>
    <mergeCell ref="B14:J14"/>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F6AC-75AB-4921-B915-290DF41454B3}">
  <dimension ref="B3:M28"/>
  <sheetViews>
    <sheetView workbookViewId="0">
      <selection activeCell="B3" sqref="B3:H3"/>
    </sheetView>
  </sheetViews>
  <sheetFormatPr baseColWidth="10" defaultRowHeight="13.5" x14ac:dyDescent="0.25"/>
  <cols>
    <col min="1" max="1" width="11.42578125" style="39"/>
    <col min="2" max="8" width="22.5703125" style="39" customWidth="1"/>
    <col min="9" max="16384" width="11.42578125" style="39"/>
  </cols>
  <sheetData>
    <row r="3" spans="2:13" ht="38.25" customHeight="1" x14ac:dyDescent="0.25">
      <c r="B3" s="207" t="s">
        <v>2310</v>
      </c>
      <c r="C3" s="207"/>
      <c r="D3" s="207"/>
      <c r="E3" s="207"/>
      <c r="F3" s="207"/>
      <c r="G3" s="207"/>
      <c r="H3" s="207"/>
    </row>
    <row r="4" spans="2:13" ht="12" customHeight="1" x14ac:dyDescent="0.25">
      <c r="B4" s="40"/>
      <c r="C4" s="40"/>
      <c r="D4" s="40"/>
      <c r="E4" s="40"/>
      <c r="F4" s="40"/>
      <c r="G4" s="40"/>
      <c r="H4" s="40"/>
    </row>
    <row r="5" spans="2:13" ht="12" customHeight="1" x14ac:dyDescent="0.25">
      <c r="B5" s="41" t="s">
        <v>263</v>
      </c>
      <c r="C5" s="40"/>
      <c r="D5" s="40"/>
      <c r="E5" s="40"/>
      <c r="F5" s="40"/>
      <c r="G5" s="40"/>
      <c r="H5" s="40"/>
    </row>
    <row r="6" spans="2:13" ht="12" customHeight="1" x14ac:dyDescent="0.25">
      <c r="B6" s="40"/>
      <c r="C6" s="40"/>
      <c r="D6" s="40"/>
      <c r="E6" s="40"/>
      <c r="F6" s="40"/>
      <c r="G6" s="40"/>
      <c r="H6" s="40"/>
    </row>
    <row r="7" spans="2:13" ht="42.75" customHeight="1" x14ac:dyDescent="0.25">
      <c r="B7" s="205" t="s">
        <v>2312</v>
      </c>
      <c r="C7" s="205"/>
      <c r="D7" s="205"/>
      <c r="E7" s="205"/>
      <c r="F7" s="205"/>
      <c r="G7" s="205"/>
      <c r="H7" s="205"/>
    </row>
    <row r="8" spans="2:13" ht="42.75" customHeight="1" x14ac:dyDescent="0.25">
      <c r="B8" s="205" t="s">
        <v>2311</v>
      </c>
      <c r="C8" s="205"/>
      <c r="D8" s="205"/>
      <c r="E8" s="205"/>
      <c r="F8" s="205"/>
      <c r="G8" s="205"/>
      <c r="H8" s="205"/>
    </row>
    <row r="9" spans="2:13" s="42" customFormat="1" ht="42.75" customHeight="1" x14ac:dyDescent="0.2">
      <c r="B9" s="205" t="s">
        <v>2325</v>
      </c>
      <c r="C9" s="205"/>
      <c r="D9" s="205"/>
      <c r="E9" s="205"/>
      <c r="F9" s="205"/>
      <c r="G9" s="205"/>
      <c r="H9" s="205"/>
    </row>
    <row r="10" spans="2:13" ht="47.25" customHeight="1" x14ac:dyDescent="0.25">
      <c r="B10" s="206" t="s">
        <v>2313</v>
      </c>
      <c r="C10" s="206"/>
      <c r="D10" s="206"/>
      <c r="E10" s="206"/>
      <c r="F10" s="206"/>
      <c r="G10" s="206"/>
      <c r="H10" s="206"/>
    </row>
    <row r="11" spans="2:13" ht="42.75" customHeight="1" x14ac:dyDescent="0.25">
      <c r="B11" s="205" t="s">
        <v>2326</v>
      </c>
      <c r="C11" s="205"/>
      <c r="D11" s="205"/>
      <c r="E11" s="205"/>
      <c r="F11" s="205"/>
      <c r="G11" s="205"/>
      <c r="H11" s="205"/>
    </row>
    <row r="12" spans="2:13" ht="62.25" customHeight="1" x14ac:dyDescent="0.25">
      <c r="B12" s="205" t="s">
        <v>2314</v>
      </c>
      <c r="C12" s="205"/>
      <c r="D12" s="205"/>
      <c r="E12" s="205"/>
      <c r="F12" s="205"/>
      <c r="G12" s="205"/>
      <c r="H12" s="205"/>
    </row>
    <row r="13" spans="2:13" s="42" customFormat="1" ht="42.75" customHeight="1" x14ac:dyDescent="0.2">
      <c r="B13" s="205" t="s">
        <v>2327</v>
      </c>
      <c r="C13" s="205"/>
      <c r="D13" s="205"/>
      <c r="E13" s="205"/>
      <c r="F13" s="205"/>
      <c r="G13" s="205"/>
      <c r="H13" s="205"/>
    </row>
    <row r="14" spans="2:13" s="42" customFormat="1" ht="47.25" customHeight="1" x14ac:dyDescent="0.2">
      <c r="B14" s="206" t="str">
        <f>+B3</f>
        <v>Caso práctico de presupuestos y proyecciones financieras para una pyme</v>
      </c>
      <c r="C14" s="206"/>
      <c r="D14" s="206"/>
      <c r="E14" s="206"/>
      <c r="F14" s="206"/>
      <c r="G14" s="206"/>
      <c r="H14" s="206"/>
      <c r="I14" s="43"/>
      <c r="J14" s="43"/>
      <c r="K14" s="43"/>
      <c r="L14" s="43"/>
      <c r="M14" s="43"/>
    </row>
    <row r="15" spans="2:13" s="42" customFormat="1" ht="64.5" customHeight="1" x14ac:dyDescent="0.2">
      <c r="B15" s="205" t="s">
        <v>2322</v>
      </c>
      <c r="C15" s="205"/>
      <c r="D15" s="205"/>
      <c r="E15" s="205"/>
      <c r="F15" s="205"/>
      <c r="G15" s="205"/>
      <c r="H15" s="205"/>
      <c r="I15" s="43"/>
      <c r="J15" s="43"/>
      <c r="K15" s="43"/>
      <c r="L15" s="43"/>
      <c r="M15" s="43"/>
    </row>
    <row r="16" spans="2:13" s="42" customFormat="1" ht="69.75" customHeight="1" x14ac:dyDescent="0.2">
      <c r="B16" s="205" t="s">
        <v>2315</v>
      </c>
      <c r="C16" s="205"/>
      <c r="D16" s="205"/>
      <c r="E16" s="205"/>
      <c r="F16" s="205"/>
      <c r="G16" s="205"/>
      <c r="H16" s="205"/>
      <c r="I16" s="43"/>
      <c r="J16" s="43"/>
      <c r="K16" s="43"/>
      <c r="L16" s="43"/>
      <c r="M16" s="43"/>
    </row>
    <row r="17" spans="2:13" s="42" customFormat="1" ht="45" customHeight="1" x14ac:dyDescent="0.2">
      <c r="B17" s="205" t="s">
        <v>2328</v>
      </c>
      <c r="C17" s="205"/>
      <c r="D17" s="205"/>
      <c r="E17" s="205"/>
      <c r="F17" s="205"/>
      <c r="G17" s="205"/>
      <c r="H17" s="205"/>
      <c r="I17" s="43"/>
      <c r="J17" s="43"/>
      <c r="K17" s="43"/>
      <c r="L17" s="43"/>
      <c r="M17" s="43"/>
    </row>
    <row r="18" spans="2:13" ht="72.75" customHeight="1" x14ac:dyDescent="0.25">
      <c r="B18" s="212" t="s">
        <v>264</v>
      </c>
      <c r="C18" s="211"/>
      <c r="D18" s="211"/>
      <c r="E18" s="211"/>
      <c r="F18" s="211"/>
      <c r="G18" s="211"/>
      <c r="H18" s="211"/>
      <c r="I18" s="211"/>
      <c r="J18" s="211"/>
      <c r="K18" s="211"/>
      <c r="L18" s="211"/>
      <c r="M18" s="211"/>
    </row>
    <row r="20" spans="2:13" ht="20.25" x14ac:dyDescent="0.25">
      <c r="B20" s="213" t="s">
        <v>265</v>
      </c>
      <c r="C20" s="214"/>
      <c r="D20" s="214"/>
      <c r="E20" s="214"/>
      <c r="F20" s="214"/>
      <c r="G20" s="214"/>
      <c r="H20" s="215"/>
      <c r="I20" s="211"/>
      <c r="J20" s="211"/>
      <c r="K20" s="211"/>
      <c r="L20" s="211"/>
      <c r="M20" s="211"/>
    </row>
    <row r="21" spans="2:13" ht="15" customHeight="1" x14ac:dyDescent="0.25">
      <c r="B21" s="202" t="s">
        <v>2316</v>
      </c>
      <c r="C21" s="203"/>
      <c r="D21" s="203"/>
      <c r="E21" s="203"/>
      <c r="F21" s="203"/>
      <c r="G21" s="203"/>
      <c r="H21" s="204"/>
    </row>
    <row r="22" spans="2:13" ht="54" customHeight="1" x14ac:dyDescent="0.25">
      <c r="B22" s="208" t="s">
        <v>2317</v>
      </c>
      <c r="C22" s="209"/>
      <c r="D22" s="209"/>
      <c r="E22" s="209"/>
      <c r="F22" s="209"/>
      <c r="G22" s="209"/>
      <c r="H22" s="210"/>
      <c r="I22" s="211"/>
      <c r="J22" s="211"/>
      <c r="K22" s="211"/>
      <c r="L22" s="211"/>
      <c r="M22" s="211"/>
    </row>
    <row r="23" spans="2:13" ht="15" customHeight="1" x14ac:dyDescent="0.25">
      <c r="B23" s="202" t="s">
        <v>2318</v>
      </c>
      <c r="C23" s="203"/>
      <c r="D23" s="203"/>
      <c r="E23" s="203"/>
      <c r="F23" s="203"/>
      <c r="G23" s="203"/>
      <c r="H23" s="204"/>
    </row>
    <row r="24" spans="2:13" ht="54" customHeight="1" x14ac:dyDescent="0.25">
      <c r="B24" s="208" t="s">
        <v>2319</v>
      </c>
      <c r="C24" s="209"/>
      <c r="D24" s="209"/>
      <c r="E24" s="209"/>
      <c r="F24" s="209"/>
      <c r="G24" s="209"/>
      <c r="H24" s="210"/>
      <c r="I24" s="211"/>
      <c r="J24" s="211"/>
      <c r="K24" s="211"/>
      <c r="L24" s="211"/>
      <c r="M24" s="211"/>
    </row>
    <row r="25" spans="2:13" ht="15" customHeight="1" x14ac:dyDescent="0.25">
      <c r="B25" s="202" t="s">
        <v>2320</v>
      </c>
      <c r="C25" s="203"/>
      <c r="D25" s="203"/>
      <c r="E25" s="203"/>
      <c r="F25" s="203"/>
      <c r="G25" s="203"/>
      <c r="H25" s="204"/>
    </row>
    <row r="26" spans="2:13" ht="54" customHeight="1" x14ac:dyDescent="0.25">
      <c r="B26" s="208" t="s">
        <v>2321</v>
      </c>
      <c r="C26" s="209"/>
      <c r="D26" s="209"/>
      <c r="E26" s="209"/>
      <c r="F26" s="209"/>
      <c r="G26" s="209"/>
      <c r="H26" s="210"/>
      <c r="I26" s="211"/>
      <c r="J26" s="211"/>
      <c r="K26" s="211"/>
      <c r="L26" s="211"/>
      <c r="M26" s="211"/>
    </row>
    <row r="28" spans="2:13" ht="15.75" x14ac:dyDescent="0.25">
      <c r="I28" s="211"/>
      <c r="J28" s="211"/>
      <c r="K28" s="211"/>
      <c r="L28" s="211"/>
      <c r="M28" s="211"/>
    </row>
  </sheetData>
  <mergeCells count="26">
    <mergeCell ref="B26:H26"/>
    <mergeCell ref="I26:M26"/>
    <mergeCell ref="I28:M28"/>
    <mergeCell ref="B8:H8"/>
    <mergeCell ref="B12:H12"/>
    <mergeCell ref="B22:H22"/>
    <mergeCell ref="I22:M22"/>
    <mergeCell ref="B23:H23"/>
    <mergeCell ref="B24:H24"/>
    <mergeCell ref="I24:M24"/>
    <mergeCell ref="B25:H25"/>
    <mergeCell ref="B17:H17"/>
    <mergeCell ref="B18:H18"/>
    <mergeCell ref="I18:M18"/>
    <mergeCell ref="B20:H20"/>
    <mergeCell ref="I20:M20"/>
    <mergeCell ref="B21:H21"/>
    <mergeCell ref="B16:H16"/>
    <mergeCell ref="B14:H14"/>
    <mergeCell ref="B15:H15"/>
    <mergeCell ref="B3:H3"/>
    <mergeCell ref="B7:H7"/>
    <mergeCell ref="B9:H9"/>
    <mergeCell ref="B10:H10"/>
    <mergeCell ref="B11:H11"/>
    <mergeCell ref="B13:H13"/>
  </mergeCells>
  <hyperlinks>
    <hyperlink ref="B21" r:id="rId1" display="https://actualicese.com/actualicese210xls-liquidador/" xr:uid="{DA50E3C3-7455-4EE1-9233-5E106157CD59}"/>
    <hyperlink ref="B23" r:id="rId2" display="https://actualicese.com/formulario-210-declaracion-de-renta-de-personas-naturales-residentes-que-no-llevan-contabilidad-ag-2021/" xr:uid="{548ABF13-7A31-462D-B3AD-8CD79DC2E192}"/>
    <hyperlink ref="B25" r:id="rId3" display="https://aulavirtual2.actualicese.com/course/view.php?id=323&amp;token=YVc1MmFYUmhaRzlBWVdOMGRXRnNhV05sYzJVdVkyOXRYelEyV0dGcFdETXliV0k9" xr:uid="{CE992CC9-01AB-46A8-9F77-DA94BA9E93E2}"/>
    <hyperlink ref="B25:M25" r:id="rId4" display="[Liquidador] Tributación sobre dividendos y cálculo de su retención en la fuente a título de renta durante el año 2024" xr:uid="{AEC862D1-1FFD-49DA-AD49-42EBE85B7A31}"/>
    <hyperlink ref="B23:M23" r:id="rId5" display="[Liquidadores] Formatos y condiciones para retención en la fuente bajo procedimientos 1 y 2 en el año gravable 2024" xr:uid="{340F8019-9B44-4527-AB85-35E91FA72460}"/>
    <hyperlink ref="B21:H21" r:id="rId6" display="[Especial Actualícese] Presupuestos: así se clasifican y definen" xr:uid="{5EA9F03F-0C52-4A28-BF0E-64A01883E942}"/>
    <hyperlink ref="B25:H25" r:id="rId7" display="[Guía Actualícese] Planeación financiera del diagnóstico a la estrategia en 5 pasos" xr:uid="{09380E4F-C21E-480D-B2E4-90A76171577A}"/>
    <hyperlink ref="B23:H23" r:id="rId8" display="[Lista de chequeo] Evaluación de las 4 fases de la planeación tributaria del impuesto de renta" xr:uid="{BDD66D77-81E4-4C11-99E5-1ECF0F2CF3B0}"/>
    <hyperlink ref="B17:H17" r:id="rId9" display="Por último, sigue creciendo de la mano de Actualícese, te invitamos resolver el siguiente cuestionario: " xr:uid="{EBFC70DD-23C4-48B4-8902-6ABB8151D9E2}"/>
    <hyperlink ref="B9:H9" r:id="rId10" display="En la actualidad, el profesional contable no solo elabora y audita información financiera; también la analiza, proyecta y reflexiona críticamente, convirtiéndose en un aliado clave para la toma de decisiones estratégicas dentro de las organizaciones." xr:uid="{AABDFE91-6976-4FE7-A4DF-396F605BF954}"/>
    <hyperlink ref="B11:H11" r:id="rId11" display="El diseño del presupuesto hace parte de la planeación de las operaciones y el destino de los recursos de una compañía; es una formulación anticipada de los ingresos, costos y la producción de las empresas, de modo que se pueda garantizar la liquidez y el mantenimiento del capital de trabajo." xr:uid="{0AFBDC88-FC77-4BD6-AA42-077EF0536053}"/>
    <hyperlink ref="B7:H7" r:id="rId12" display="Aquí encontrarás un ejemplo del presupuesto de ventas, producción, mano de obra, costos de fabricación, cartera, inversión y más herramientas que te ayudarán en la proyección organizacional." xr:uid="{7D358B37-A2D6-4680-A35D-EF729E427CDA}"/>
    <hyperlink ref="B13:H13" r:id="rId13" display="El presupuesto es el punto de partida para estimar los indicadores de las entidades y permite que los administradores y socios tomen decisiones en cada departamento, de allí su importancia." xr:uid="{D3B3520B-FF8D-466E-BDA0-E9CCE3451947}"/>
    <hyperlink ref="B15:H15" r:id="rId14" display="El objetivo de realizar un presupuesto es optimizar el uso de los recursos, ya que con este se tiene en claro la cantidad de dinero que ingresa a la empresa, si alcanza para cubrir los gastos, si queda para ahorrar o si existe la necesidad de buscar nuevas fuentes de financiación." xr:uid="{E9F3CBC2-B4C6-4C80-87A8-99C4EED4D6EB}"/>
    <hyperlink ref="B8:H8" r:id="rId15" display="La preparación del presupuesto no solo corresponde a un único momento del año, sino que es necesario realizarle un seguimiento constante para que este funcione eficientemente." xr:uid="{7F833F1A-3465-4104-8AF7-37C935766A1F}"/>
    <hyperlink ref="B12:H12" r:id="rId16" display="Esta herramienta es una de las formas más sencillas de tener un control futuro sobre las operaciones del negocio. Sin embargo, en las pequeñas y medianas empresas se ha dificultado ampliamente la construcción e implementación del presupuesto, debido a que requiere de tiempo y compromiso por parte de la entidad y de quien lo elabora." xr:uid="{BBED0A4B-BED9-4312-95D3-8F9FB3DE5045}"/>
    <hyperlink ref="B16:H16" location="'Datos base'!A1" display="Teniendo en cuenta lo anterior, hemos desarrollado este caso práctico con el cual podrás identificar los rubros más importantes que se mueven durante el año en una pyme, para luego agruparlos según su importancia y periodicidad. Partiendo de la hoja &quot;Datos base&quot; conocerás el paso a paso para diseñar el estado de costos, estado de resultados, flujo de caja y estado de situación financiera, cuyas cifras provienen de los diferentes presupuestos que te enseñaremos a elaborar." xr:uid="{4ED2A048-AAB6-4052-9128-5817BA4CDA1D}"/>
  </hyperlinks>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FF5A-53FF-4665-A15A-B5242987CA11}">
  <dimension ref="A3:H73"/>
  <sheetViews>
    <sheetView showGridLines="0" zoomScaleNormal="100" workbookViewId="0">
      <selection activeCell="B3" sqref="B3:F3"/>
    </sheetView>
  </sheetViews>
  <sheetFormatPr baseColWidth="10" defaultColWidth="11.5703125" defaultRowHeight="14.25" x14ac:dyDescent="0.2"/>
  <cols>
    <col min="1" max="1" width="11.85546875" style="2" customWidth="1"/>
    <col min="2" max="2" width="25" style="2" customWidth="1"/>
    <col min="3" max="3" width="17" style="2" customWidth="1"/>
    <col min="4" max="4" width="16" style="2" customWidth="1"/>
    <col min="5" max="5" width="17.42578125" style="2" customWidth="1"/>
    <col min="6" max="6" width="17.28515625" style="2" customWidth="1"/>
    <col min="7" max="16384" width="11.5703125" style="2"/>
  </cols>
  <sheetData>
    <row r="3" spans="2:8" ht="26.25" customHeight="1" x14ac:dyDescent="0.2">
      <c r="B3" s="207" t="s">
        <v>252</v>
      </c>
      <c r="C3" s="207"/>
      <c r="D3" s="207"/>
      <c r="E3" s="207"/>
      <c r="F3" s="207"/>
      <c r="G3" s="54"/>
      <c r="H3" s="54"/>
    </row>
    <row r="4" spans="2:8" ht="15" x14ac:dyDescent="0.25">
      <c r="B4" s="3"/>
    </row>
    <row r="5" spans="2:8" s="57" customFormat="1" ht="47.25" x14ac:dyDescent="0.2">
      <c r="B5" s="55" t="s">
        <v>115</v>
      </c>
      <c r="C5" s="56" t="s">
        <v>114</v>
      </c>
      <c r="D5" s="56" t="s">
        <v>107</v>
      </c>
    </row>
    <row r="6" spans="2:8" s="57" customFormat="1" ht="15" x14ac:dyDescent="0.2">
      <c r="B6" s="130" t="s">
        <v>109</v>
      </c>
      <c r="C6" s="58">
        <v>67</v>
      </c>
      <c r="D6" s="59">
        <v>1800000</v>
      </c>
    </row>
    <row r="7" spans="2:8" s="57" customFormat="1" ht="15" x14ac:dyDescent="0.2">
      <c r="B7" s="130" t="s">
        <v>108</v>
      </c>
      <c r="C7" s="58">
        <v>50</v>
      </c>
      <c r="D7" s="59">
        <v>1300000</v>
      </c>
    </row>
    <row r="8" spans="2:8" s="57" customFormat="1" ht="15" x14ac:dyDescent="0.2">
      <c r="B8" s="130" t="s">
        <v>110</v>
      </c>
      <c r="C8" s="58">
        <v>40</v>
      </c>
      <c r="D8" s="59">
        <v>1650000</v>
      </c>
    </row>
    <row r="9" spans="2:8" s="57" customFormat="1" ht="15" x14ac:dyDescent="0.2">
      <c r="B9" s="130" t="s">
        <v>111</v>
      </c>
      <c r="C9" s="58">
        <v>32</v>
      </c>
      <c r="D9" s="59">
        <v>930000</v>
      </c>
    </row>
    <row r="10" spans="2:8" s="57" customFormat="1" ht="15" x14ac:dyDescent="0.2">
      <c r="B10" s="130" t="s">
        <v>112</v>
      </c>
      <c r="C10" s="58">
        <v>25</v>
      </c>
      <c r="D10" s="59">
        <v>1100000</v>
      </c>
    </row>
    <row r="11" spans="2:8" s="57" customFormat="1" ht="15" x14ac:dyDescent="0.2"/>
    <row r="12" spans="2:8" s="57" customFormat="1" ht="15.75" x14ac:dyDescent="0.2">
      <c r="B12" s="228" t="s">
        <v>116</v>
      </c>
      <c r="C12" s="229"/>
      <c r="D12" s="229"/>
      <c r="E12" s="229"/>
      <c r="F12" s="60" t="s">
        <v>158</v>
      </c>
    </row>
    <row r="13" spans="2:8" s="57" customFormat="1" ht="15" x14ac:dyDescent="0.2">
      <c r="B13" s="218" t="s">
        <v>251</v>
      </c>
      <c r="C13" s="219"/>
      <c r="D13" s="219"/>
      <c r="E13" s="220"/>
      <c r="F13" s="61">
        <v>0.1</v>
      </c>
    </row>
    <row r="14" spans="2:8" s="57" customFormat="1" ht="15" x14ac:dyDescent="0.2">
      <c r="B14" s="222" t="s">
        <v>134</v>
      </c>
      <c r="C14" s="222"/>
      <c r="D14" s="222"/>
      <c r="E14" s="222"/>
      <c r="F14" s="61">
        <v>0.1</v>
      </c>
    </row>
    <row r="15" spans="2:8" s="57" customFormat="1" ht="15" x14ac:dyDescent="0.2">
      <c r="B15" s="218" t="s">
        <v>121</v>
      </c>
      <c r="C15" s="219"/>
      <c r="D15" s="219"/>
      <c r="E15" s="220"/>
      <c r="F15" s="58">
        <v>5</v>
      </c>
    </row>
    <row r="16" spans="2:8" s="57" customFormat="1" ht="15" x14ac:dyDescent="0.2">
      <c r="B16" s="218" t="s">
        <v>122</v>
      </c>
      <c r="C16" s="219"/>
      <c r="D16" s="219"/>
      <c r="E16" s="220"/>
      <c r="F16" s="58">
        <v>5</v>
      </c>
    </row>
    <row r="17" spans="2:7" s="57" customFormat="1" ht="15" x14ac:dyDescent="0.2">
      <c r="B17" s="221" t="s">
        <v>170</v>
      </c>
      <c r="C17" s="221"/>
      <c r="D17" s="221"/>
      <c r="E17" s="221"/>
      <c r="F17" s="58">
        <v>15</v>
      </c>
    </row>
    <row r="18" spans="2:7" s="57" customFormat="1" ht="15" x14ac:dyDescent="0.2">
      <c r="B18" s="222" t="s">
        <v>169</v>
      </c>
      <c r="C18" s="222"/>
      <c r="D18" s="222"/>
      <c r="E18" s="222"/>
      <c r="F18" s="61">
        <v>0.6</v>
      </c>
    </row>
    <row r="19" spans="2:7" s="57" customFormat="1" ht="15" x14ac:dyDescent="0.2">
      <c r="B19" s="222" t="s">
        <v>210</v>
      </c>
      <c r="C19" s="222"/>
      <c r="D19" s="222"/>
      <c r="E19" s="222"/>
      <c r="F19" s="61">
        <f>1-F18</f>
        <v>0.4</v>
      </c>
    </row>
    <row r="20" spans="2:7" s="57" customFormat="1" ht="15" x14ac:dyDescent="0.2">
      <c r="B20" s="222" t="s">
        <v>178</v>
      </c>
      <c r="C20" s="222"/>
      <c r="D20" s="222"/>
      <c r="E20" s="222"/>
      <c r="F20" s="59">
        <v>155000000</v>
      </c>
    </row>
    <row r="21" spans="2:7" s="57" customFormat="1" ht="15" x14ac:dyDescent="0.2">
      <c r="B21" s="222" t="s">
        <v>181</v>
      </c>
      <c r="C21" s="222"/>
      <c r="D21" s="222"/>
      <c r="E21" s="222"/>
      <c r="F21" s="61">
        <v>0.25</v>
      </c>
    </row>
    <row r="22" spans="2:7" s="57" customFormat="1" ht="15" x14ac:dyDescent="0.2">
      <c r="B22" s="222" t="s">
        <v>255</v>
      </c>
      <c r="C22" s="222"/>
      <c r="D22" s="222"/>
      <c r="E22" s="222"/>
      <c r="F22" s="61">
        <v>0.35</v>
      </c>
    </row>
    <row r="23" spans="2:7" s="57" customFormat="1" ht="15" x14ac:dyDescent="0.2">
      <c r="B23" s="222" t="s">
        <v>57</v>
      </c>
      <c r="C23" s="222"/>
      <c r="D23" s="222"/>
      <c r="E23" s="222"/>
      <c r="F23" s="61">
        <v>0.1</v>
      </c>
    </row>
    <row r="24" spans="2:7" s="57" customFormat="1" ht="15" x14ac:dyDescent="0.2">
      <c r="B24" s="221" t="s">
        <v>216</v>
      </c>
      <c r="C24" s="221"/>
      <c r="D24" s="221"/>
      <c r="E24" s="221"/>
      <c r="F24" s="58">
        <v>30</v>
      </c>
    </row>
    <row r="25" spans="2:7" s="57" customFormat="1" ht="15" x14ac:dyDescent="0.2"/>
    <row r="26" spans="2:7" s="57" customFormat="1" ht="42.6" customHeight="1" x14ac:dyDescent="0.2">
      <c r="B26" s="223" t="s">
        <v>2295</v>
      </c>
      <c r="C26" s="223"/>
      <c r="D26" s="223"/>
      <c r="E26" s="223"/>
      <c r="F26" s="223"/>
      <c r="G26" s="63"/>
    </row>
    <row r="27" spans="2:7" s="57" customFormat="1" ht="15" x14ac:dyDescent="0.2"/>
    <row r="28" spans="2:7" s="57" customFormat="1" ht="22.5" customHeight="1" x14ac:dyDescent="0.2">
      <c r="B28" s="230" t="s">
        <v>2306</v>
      </c>
      <c r="C28" s="230"/>
      <c r="D28" s="230"/>
      <c r="E28" s="230"/>
      <c r="F28" s="230"/>
    </row>
    <row r="29" spans="2:7" s="57" customFormat="1" ht="15" x14ac:dyDescent="0.2"/>
    <row r="30" spans="2:7" s="57" customFormat="1" ht="52.5" customHeight="1" x14ac:dyDescent="0.2">
      <c r="B30" s="230" t="s">
        <v>253</v>
      </c>
      <c r="C30" s="230"/>
      <c r="D30" s="230"/>
      <c r="E30" s="230"/>
      <c r="F30" s="230"/>
    </row>
    <row r="31" spans="2:7" s="57" customFormat="1" ht="15" x14ac:dyDescent="0.2"/>
    <row r="32" spans="2:7" s="57" customFormat="1" ht="15.75" x14ac:dyDescent="0.25">
      <c r="C32" s="64">
        <v>2025</v>
      </c>
      <c r="D32" s="64">
        <v>2026</v>
      </c>
      <c r="E32" s="64">
        <v>2027</v>
      </c>
      <c r="F32" s="64">
        <v>2028</v>
      </c>
      <c r="G32" s="64">
        <v>2029</v>
      </c>
    </row>
    <row r="33" spans="1:7" s="57" customFormat="1" ht="15.75" x14ac:dyDescent="0.2">
      <c r="B33" s="71" t="s">
        <v>1</v>
      </c>
      <c r="C33" s="125">
        <v>4.2999999999999997E-2</v>
      </c>
      <c r="D33" s="125">
        <v>3.9E-2</v>
      </c>
      <c r="E33" s="125">
        <v>3.6999999999999998E-2</v>
      </c>
      <c r="F33" s="125">
        <v>3.5999999999999997E-2</v>
      </c>
      <c r="G33" s="125">
        <v>3.5000000000000003E-2</v>
      </c>
    </row>
    <row r="34" spans="1:7" s="57" customFormat="1" ht="15.75" x14ac:dyDescent="0.2">
      <c r="B34" s="71" t="s">
        <v>17</v>
      </c>
      <c r="C34" s="126">
        <v>1423500</v>
      </c>
      <c r="D34" s="59">
        <f>C34*(1+D33)</f>
        <v>1479016.5</v>
      </c>
      <c r="E34" s="59">
        <f>D34*(1+E33)</f>
        <v>1533740.1105</v>
      </c>
      <c r="F34" s="59">
        <f>E34*(1+F33)</f>
        <v>1588954.7544780001</v>
      </c>
      <c r="G34" s="59">
        <f>F34*(1+G33)</f>
        <v>1644568.1708847301</v>
      </c>
    </row>
    <row r="35" spans="1:7" s="57" customFormat="1" ht="15.75" x14ac:dyDescent="0.2">
      <c r="B35" s="71" t="s">
        <v>148</v>
      </c>
      <c r="C35" s="126">
        <v>200000</v>
      </c>
      <c r="D35" s="59">
        <f>C35*(1+D33)</f>
        <v>207799.99999999997</v>
      </c>
      <c r="E35" s="59">
        <f>D35*(1+E33)</f>
        <v>215488.59999999995</v>
      </c>
      <c r="F35" s="59">
        <f>E35*(1+F33)</f>
        <v>223246.18959999995</v>
      </c>
      <c r="G35" s="59">
        <f>F35*(1+G33)</f>
        <v>231059.80623599995</v>
      </c>
    </row>
    <row r="36" spans="1:7" s="57" customFormat="1" ht="15" x14ac:dyDescent="0.2"/>
    <row r="37" spans="1:7" s="57" customFormat="1" ht="15" x14ac:dyDescent="0.2">
      <c r="B37" s="217" t="s">
        <v>2296</v>
      </c>
      <c r="C37" s="217"/>
      <c r="D37" s="217"/>
      <c r="E37" s="217"/>
      <c r="F37" s="217"/>
      <c r="G37" s="217"/>
    </row>
    <row r="38" spans="1:7" s="57" customFormat="1" ht="15" x14ac:dyDescent="0.2">
      <c r="B38" s="165" t="s">
        <v>105</v>
      </c>
    </row>
    <row r="39" spans="1:7" s="57" customFormat="1" ht="15" x14ac:dyDescent="0.2">
      <c r="B39" s="67" t="s">
        <v>106</v>
      </c>
    </row>
    <row r="40" spans="1:7" s="57" customFormat="1" ht="15" x14ac:dyDescent="0.2"/>
    <row r="41" spans="1:7" s="57" customFormat="1" ht="33.75" customHeight="1" x14ac:dyDescent="0.2">
      <c r="A41" s="57" t="s">
        <v>147</v>
      </c>
      <c r="B41" s="224" t="s">
        <v>2297</v>
      </c>
      <c r="C41" s="224"/>
      <c r="D41" s="224"/>
      <c r="E41" s="224"/>
      <c r="F41" s="224"/>
      <c r="G41" s="224"/>
    </row>
    <row r="42" spans="1:7" s="57" customFormat="1" ht="15" x14ac:dyDescent="0.2"/>
    <row r="43" spans="1:7" s="57" customFormat="1" ht="15.75" x14ac:dyDescent="0.25">
      <c r="B43" s="225" t="s">
        <v>149</v>
      </c>
      <c r="C43" s="225"/>
      <c r="D43" s="225"/>
      <c r="E43" s="64" t="s">
        <v>150</v>
      </c>
    </row>
    <row r="44" spans="1:7" s="57" customFormat="1" ht="15" x14ac:dyDescent="0.2">
      <c r="B44" s="216" t="s">
        <v>151</v>
      </c>
      <c r="C44" s="216"/>
      <c r="D44" s="216"/>
      <c r="E44" s="125">
        <f>30/360</f>
        <v>8.3333333333333329E-2</v>
      </c>
    </row>
    <row r="45" spans="1:7" s="57" customFormat="1" ht="15" x14ac:dyDescent="0.2">
      <c r="B45" s="216" t="s">
        <v>156</v>
      </c>
      <c r="C45" s="216"/>
      <c r="D45" s="216"/>
      <c r="E45" s="127">
        <v>0.12</v>
      </c>
    </row>
    <row r="46" spans="1:7" s="57" customFormat="1" ht="15" x14ac:dyDescent="0.2">
      <c r="B46" s="216" t="s">
        <v>21</v>
      </c>
      <c r="C46" s="216"/>
      <c r="D46" s="216"/>
      <c r="E46" s="125">
        <f>30/360</f>
        <v>8.3333333333333329E-2</v>
      </c>
    </row>
    <row r="47" spans="1:7" s="57" customFormat="1" ht="15" x14ac:dyDescent="0.2">
      <c r="B47" s="216" t="s">
        <v>20</v>
      </c>
      <c r="C47" s="216"/>
      <c r="D47" s="216"/>
      <c r="E47" s="128">
        <f>15/360</f>
        <v>4.1666666666666664E-2</v>
      </c>
    </row>
    <row r="48" spans="1:7" s="57" customFormat="1" ht="15" x14ac:dyDescent="0.2">
      <c r="B48" s="216" t="s">
        <v>22</v>
      </c>
      <c r="C48" s="216"/>
      <c r="D48" s="216"/>
      <c r="E48" s="125">
        <v>8.5000000000000006E-2</v>
      </c>
    </row>
    <row r="49" spans="2:7" s="57" customFormat="1" ht="15" x14ac:dyDescent="0.2">
      <c r="B49" s="216" t="s">
        <v>152</v>
      </c>
      <c r="C49" s="216"/>
      <c r="D49" s="216"/>
      <c r="E49" s="127">
        <v>0.12</v>
      </c>
    </row>
    <row r="50" spans="2:7" s="57" customFormat="1" ht="15" x14ac:dyDescent="0.2">
      <c r="B50" s="216" t="s">
        <v>155</v>
      </c>
      <c r="C50" s="216"/>
      <c r="D50" s="216"/>
      <c r="E50" s="127">
        <v>0.04</v>
      </c>
    </row>
    <row r="51" spans="2:7" s="57" customFormat="1" ht="15" x14ac:dyDescent="0.2">
      <c r="B51" s="216" t="s">
        <v>153</v>
      </c>
      <c r="C51" s="216"/>
      <c r="D51" s="216"/>
      <c r="E51" s="129">
        <v>2.436E-2</v>
      </c>
    </row>
    <row r="52" spans="2:7" s="57" customFormat="1" ht="15" x14ac:dyDescent="0.2">
      <c r="B52" s="216" t="s">
        <v>154</v>
      </c>
      <c r="C52" s="216"/>
      <c r="D52" s="216"/>
      <c r="E52" s="129">
        <v>5.2199999999999998E-3</v>
      </c>
    </row>
    <row r="53" spans="2:7" s="57" customFormat="1" ht="15" x14ac:dyDescent="0.2"/>
    <row r="54" spans="2:7" s="57" customFormat="1" ht="27" customHeight="1" x14ac:dyDescent="0.2">
      <c r="B54" s="224" t="s">
        <v>2298</v>
      </c>
      <c r="C54" s="224"/>
      <c r="D54" s="224"/>
      <c r="E54" s="224"/>
      <c r="F54" s="63"/>
      <c r="G54" s="63"/>
    </row>
    <row r="55" spans="2:7" s="57" customFormat="1" ht="15" x14ac:dyDescent="0.2">
      <c r="B55" s="62"/>
      <c r="C55" s="62"/>
      <c r="D55" s="62"/>
      <c r="E55" s="62"/>
      <c r="F55" s="63"/>
      <c r="G55" s="63"/>
    </row>
    <row r="56" spans="2:7" s="57" customFormat="1" ht="63.6" customHeight="1" x14ac:dyDescent="0.2">
      <c r="B56" s="223" t="s">
        <v>2308</v>
      </c>
      <c r="C56" s="223"/>
      <c r="D56" s="223"/>
      <c r="E56" s="223"/>
      <c r="F56" s="63"/>
      <c r="G56" s="63"/>
    </row>
    <row r="57" spans="2:7" s="57" customFormat="1" ht="15" x14ac:dyDescent="0.2"/>
    <row r="58" spans="2:7" s="57" customFormat="1" ht="77.25" customHeight="1" x14ac:dyDescent="0.2">
      <c r="B58" s="55" t="s">
        <v>30</v>
      </c>
      <c r="C58" s="56" t="s">
        <v>163</v>
      </c>
      <c r="D58" s="56" t="s">
        <v>29</v>
      </c>
      <c r="E58" s="56" t="s">
        <v>159</v>
      </c>
    </row>
    <row r="59" spans="2:7" s="57" customFormat="1" ht="15" x14ac:dyDescent="0.2">
      <c r="B59" s="82" t="s">
        <v>25</v>
      </c>
      <c r="C59" s="59">
        <f>1500000*12</f>
        <v>18000000</v>
      </c>
      <c r="D59" s="61">
        <v>0.75</v>
      </c>
      <c r="E59" s="61">
        <f>1-D59</f>
        <v>0.25</v>
      </c>
    </row>
    <row r="60" spans="2:7" s="57" customFormat="1" ht="15" x14ac:dyDescent="0.2">
      <c r="B60" s="82" t="s">
        <v>26</v>
      </c>
      <c r="C60" s="59">
        <v>12000000</v>
      </c>
      <c r="D60" s="61">
        <v>0.6</v>
      </c>
      <c r="E60" s="61">
        <f t="shared" ref="E60:E62" si="0">1-D60</f>
        <v>0.4</v>
      </c>
    </row>
    <row r="61" spans="2:7" s="57" customFormat="1" ht="15" x14ac:dyDescent="0.2">
      <c r="B61" s="82" t="s">
        <v>27</v>
      </c>
      <c r="C61" s="59">
        <v>1000000</v>
      </c>
      <c r="D61" s="61">
        <v>0.6</v>
      </c>
      <c r="E61" s="61">
        <f t="shared" si="0"/>
        <v>0.4</v>
      </c>
    </row>
    <row r="62" spans="2:7" s="57" customFormat="1" ht="15" x14ac:dyDescent="0.2">
      <c r="B62" s="82" t="s">
        <v>28</v>
      </c>
      <c r="C62" s="59">
        <f>500000*12</f>
        <v>6000000</v>
      </c>
      <c r="D62" s="61">
        <v>0.6</v>
      </c>
      <c r="E62" s="61">
        <f t="shared" si="0"/>
        <v>0.4</v>
      </c>
    </row>
    <row r="63" spans="2:7" s="57" customFormat="1" ht="15" x14ac:dyDescent="0.2"/>
    <row r="64" spans="2:7" s="57" customFormat="1" ht="15.75" x14ac:dyDescent="0.2">
      <c r="B64" s="55" t="s">
        <v>31</v>
      </c>
      <c r="C64" s="55" t="s">
        <v>158</v>
      </c>
    </row>
    <row r="65" spans="2:6" s="57" customFormat="1" ht="15" x14ac:dyDescent="0.2">
      <c r="B65" s="130" t="s">
        <v>2299</v>
      </c>
      <c r="C65" s="59">
        <v>10000</v>
      </c>
    </row>
    <row r="66" spans="2:6" s="57" customFormat="1" ht="15.75" x14ac:dyDescent="0.25">
      <c r="B66" s="70"/>
    </row>
    <row r="67" spans="2:6" s="57" customFormat="1" ht="78.75" x14ac:dyDescent="0.2">
      <c r="B67" s="227" t="s">
        <v>84</v>
      </c>
      <c r="C67" s="227"/>
      <c r="D67" s="55" t="s">
        <v>227</v>
      </c>
      <c r="E67" s="56" t="s">
        <v>239</v>
      </c>
      <c r="F67" s="56" t="s">
        <v>240</v>
      </c>
    </row>
    <row r="68" spans="2:6" s="57" customFormat="1" ht="15" x14ac:dyDescent="0.2">
      <c r="B68" s="216" t="s">
        <v>35</v>
      </c>
      <c r="C68" s="216"/>
      <c r="D68" s="58">
        <v>20</v>
      </c>
      <c r="E68" s="226">
        <v>0.6</v>
      </c>
      <c r="F68" s="226">
        <f>1-E68</f>
        <v>0.4</v>
      </c>
    </row>
    <row r="69" spans="2:6" s="57" customFormat="1" ht="15" x14ac:dyDescent="0.2">
      <c r="B69" s="216" t="s">
        <v>36</v>
      </c>
      <c r="C69" s="216"/>
      <c r="D69" s="58">
        <v>5</v>
      </c>
      <c r="E69" s="226"/>
      <c r="F69" s="226"/>
    </row>
    <row r="70" spans="2:6" s="57" customFormat="1" ht="15" x14ac:dyDescent="0.2">
      <c r="B70" s="216" t="s">
        <v>37</v>
      </c>
      <c r="C70" s="216"/>
      <c r="D70" s="58">
        <v>10</v>
      </c>
      <c r="E70" s="226"/>
      <c r="F70" s="226"/>
    </row>
    <row r="71" spans="2:6" s="57" customFormat="1" ht="15" x14ac:dyDescent="0.2">
      <c r="B71" s="216" t="s">
        <v>83</v>
      </c>
      <c r="C71" s="216"/>
      <c r="D71" s="58">
        <v>3</v>
      </c>
      <c r="E71" s="226"/>
      <c r="F71" s="226"/>
    </row>
    <row r="72" spans="2:6" s="57" customFormat="1" ht="15" x14ac:dyDescent="0.2">
      <c r="B72" s="216" t="s">
        <v>38</v>
      </c>
      <c r="C72" s="216"/>
      <c r="D72" s="58">
        <v>10</v>
      </c>
      <c r="E72" s="226"/>
      <c r="F72" s="226"/>
    </row>
    <row r="73" spans="2:6" s="57" customFormat="1" ht="15" x14ac:dyDescent="0.2"/>
  </sheetData>
  <mergeCells count="39">
    <mergeCell ref="B3:F3"/>
    <mergeCell ref="B12:E12"/>
    <mergeCell ref="B30:F30"/>
    <mergeCell ref="B26:F26"/>
    <mergeCell ref="B28:F28"/>
    <mergeCell ref="B13:E13"/>
    <mergeCell ref="B14:E14"/>
    <mergeCell ref="B72:C72"/>
    <mergeCell ref="E68:E72"/>
    <mergeCell ref="F68:F72"/>
    <mergeCell ref="B67:C67"/>
    <mergeCell ref="B68:C68"/>
    <mergeCell ref="B69:C69"/>
    <mergeCell ref="B70:C70"/>
    <mergeCell ref="B71:C71"/>
    <mergeCell ref="B56:E56"/>
    <mergeCell ref="B19:E19"/>
    <mergeCell ref="B20:E20"/>
    <mergeCell ref="B21:E21"/>
    <mergeCell ref="B22:E22"/>
    <mergeCell ref="B23:E23"/>
    <mergeCell ref="B24:E24"/>
    <mergeCell ref="B54:E54"/>
    <mergeCell ref="B41:G41"/>
    <mergeCell ref="B48:D48"/>
    <mergeCell ref="B49:D49"/>
    <mergeCell ref="B51:D51"/>
    <mergeCell ref="B52:D52"/>
    <mergeCell ref="B50:D50"/>
    <mergeCell ref="B43:D43"/>
    <mergeCell ref="B44:D44"/>
    <mergeCell ref="B45:D45"/>
    <mergeCell ref="B46:D46"/>
    <mergeCell ref="B47:D47"/>
    <mergeCell ref="B37:G37"/>
    <mergeCell ref="B15:E15"/>
    <mergeCell ref="B16:E16"/>
    <mergeCell ref="B17:E17"/>
    <mergeCell ref="B18:E18"/>
  </mergeCells>
  <hyperlinks>
    <hyperlink ref="B38" r:id="rId1" display="Guía Bancolombia 2025" xr:uid="{DC06E6D2-061C-4B2A-92C6-EECE9737F27F}"/>
    <hyperlink ref="B39" r:id="rId2" display="Informe de política monetaria - octubre de 2024, del Banco de la República" xr:uid="{605CF936-758A-4DC4-8726-D7C2B6DC70CF}"/>
    <hyperlink ref="B41:G41" r:id="rId3" display="Para el salario básico y el auxilio de transporte del año 2026 y siguientes se considera el incremento conforme a la inflación." xr:uid="{B7B1B7C6-29D7-4775-9A72-7801D0E61B98}"/>
    <hyperlink ref="B54:E54" r:id="rId4" location="108" display="No se contempla Sena e ICBF conforme a lo estipulado en el parágrafo III del artículo 108 del ET." xr:uid="{C09E78DC-47F4-4DA8-964D-B05B05C9DBE3}"/>
  </hyperlink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0679-4F42-4E72-AAA9-FFBA90468D45}">
  <dimension ref="B3:L42"/>
  <sheetViews>
    <sheetView showGridLines="0" workbookViewId="0">
      <selection activeCell="B3" sqref="B3:H3"/>
    </sheetView>
  </sheetViews>
  <sheetFormatPr baseColWidth="10" defaultColWidth="11.5703125" defaultRowHeight="14.25" x14ac:dyDescent="0.2"/>
  <cols>
    <col min="1" max="1" width="12" style="2" customWidth="1"/>
    <col min="2" max="2" width="11.5703125" style="2"/>
    <col min="3" max="8" width="19.85546875" style="2" customWidth="1"/>
    <col min="9" max="9" width="7.5703125" style="2" customWidth="1"/>
    <col min="10" max="16384" width="11.5703125" style="2"/>
  </cols>
  <sheetData>
    <row r="3" spans="2:8" ht="26.25" customHeight="1" x14ac:dyDescent="0.2">
      <c r="B3" s="207" t="s">
        <v>113</v>
      </c>
      <c r="C3" s="207"/>
      <c r="D3" s="207"/>
      <c r="E3" s="207"/>
      <c r="F3" s="207"/>
      <c r="G3" s="207"/>
      <c r="H3" s="207"/>
    </row>
    <row r="5" spans="2:8" s="57" customFormat="1" ht="31.5" x14ac:dyDescent="0.2">
      <c r="B5" s="55" t="s">
        <v>115</v>
      </c>
      <c r="C5" s="56" t="s">
        <v>114</v>
      </c>
      <c r="D5" s="56" t="s">
        <v>107</v>
      </c>
    </row>
    <row r="6" spans="2:8" s="57" customFormat="1" ht="15" x14ac:dyDescent="0.2">
      <c r="B6" s="82" t="str">
        <f>+'Datos base'!B6</f>
        <v>Sala</v>
      </c>
      <c r="C6" s="58">
        <f>'Datos base'!C6</f>
        <v>67</v>
      </c>
      <c r="D6" s="59">
        <f>'Datos base'!D6</f>
        <v>1800000</v>
      </c>
    </row>
    <row r="7" spans="2:8" s="57" customFormat="1" ht="15" x14ac:dyDescent="0.2">
      <c r="B7" s="82" t="str">
        <f>+'Datos base'!B7</f>
        <v>Comedor</v>
      </c>
      <c r="C7" s="58">
        <f>'Datos base'!C7</f>
        <v>50</v>
      </c>
      <c r="D7" s="59">
        <f>'Datos base'!D7</f>
        <v>1300000</v>
      </c>
    </row>
    <row r="8" spans="2:8" s="57" customFormat="1" ht="15" x14ac:dyDescent="0.2">
      <c r="B8" s="82" t="str">
        <f>+'Datos base'!B8</f>
        <v>Alcoba</v>
      </c>
      <c r="C8" s="58">
        <f>'Datos base'!C8</f>
        <v>40</v>
      </c>
      <c r="D8" s="59">
        <f>'Datos base'!D8</f>
        <v>1650000</v>
      </c>
    </row>
    <row r="9" spans="2:8" s="57" customFormat="1" ht="15" x14ac:dyDescent="0.2">
      <c r="B9" s="82" t="str">
        <f>+'Datos base'!B9</f>
        <v>Poltrona</v>
      </c>
      <c r="C9" s="58">
        <f>'Datos base'!C9</f>
        <v>32</v>
      </c>
      <c r="D9" s="59">
        <f>'Datos base'!D9</f>
        <v>930000</v>
      </c>
    </row>
    <row r="10" spans="2:8" s="57" customFormat="1" ht="15" x14ac:dyDescent="0.2">
      <c r="B10" s="82" t="str">
        <f>+'Datos base'!B10</f>
        <v>Sofacama</v>
      </c>
      <c r="C10" s="58">
        <f>'Datos base'!C10</f>
        <v>25</v>
      </c>
      <c r="D10" s="59">
        <f>'Datos base'!D10</f>
        <v>1100000</v>
      </c>
    </row>
    <row r="11" spans="2:8" s="57" customFormat="1" ht="15" x14ac:dyDescent="0.2"/>
    <row r="12" spans="2:8" s="57" customFormat="1" ht="15.75" x14ac:dyDescent="0.25">
      <c r="B12" s="231" t="s">
        <v>132</v>
      </c>
      <c r="C12" s="232"/>
      <c r="D12" s="232"/>
      <c r="E12" s="233"/>
      <c r="F12" s="69">
        <f>+'Datos base'!F13</f>
        <v>0.1</v>
      </c>
    </row>
    <row r="13" spans="2:8" s="57" customFormat="1" ht="15" x14ac:dyDescent="0.2"/>
    <row r="14" spans="2:8" s="57" customFormat="1" ht="15.75" x14ac:dyDescent="0.2">
      <c r="C14" s="55">
        <v>2025</v>
      </c>
      <c r="D14" s="55">
        <v>2026</v>
      </c>
      <c r="E14" s="55">
        <v>2027</v>
      </c>
      <c r="F14" s="55">
        <v>2028</v>
      </c>
      <c r="G14" s="55">
        <v>2029</v>
      </c>
    </row>
    <row r="15" spans="2:8" s="57" customFormat="1" ht="15.75" x14ac:dyDescent="0.2">
      <c r="B15" s="71" t="s">
        <v>1</v>
      </c>
      <c r="C15" s="125">
        <f>'Datos base'!C33</f>
        <v>4.2999999999999997E-2</v>
      </c>
      <c r="D15" s="125">
        <f>'Datos base'!D33</f>
        <v>3.9E-2</v>
      </c>
      <c r="E15" s="125">
        <f>'Datos base'!E33</f>
        <v>3.6999999999999998E-2</v>
      </c>
      <c r="F15" s="125">
        <f>'Datos base'!F33</f>
        <v>3.5999999999999997E-2</v>
      </c>
      <c r="G15" s="125">
        <f>'Datos base'!G33</f>
        <v>3.5000000000000003E-2</v>
      </c>
    </row>
    <row r="16" spans="2:8" s="57" customFormat="1" ht="15" x14ac:dyDescent="0.2">
      <c r="C16" s="72"/>
      <c r="D16" s="72"/>
      <c r="E16" s="72"/>
      <c r="F16" s="72"/>
      <c r="G16" s="72"/>
    </row>
    <row r="17" spans="2:8" s="57" customFormat="1" ht="15.75" x14ac:dyDescent="0.25">
      <c r="B17" s="234" t="s">
        <v>133</v>
      </c>
      <c r="C17" s="234"/>
      <c r="D17" s="234"/>
      <c r="E17" s="234"/>
      <c r="F17" s="234"/>
      <c r="G17" s="234"/>
      <c r="H17" s="234"/>
    </row>
    <row r="18" spans="2:8" s="57" customFormat="1" ht="15" x14ac:dyDescent="0.2"/>
    <row r="19" spans="2:8" s="57" customFormat="1" ht="15.75" x14ac:dyDescent="0.2">
      <c r="B19" s="228" t="s">
        <v>0</v>
      </c>
      <c r="C19" s="229"/>
      <c r="D19" s="229"/>
      <c r="E19" s="229"/>
      <c r="F19" s="229"/>
      <c r="G19" s="229"/>
      <c r="H19" s="235"/>
    </row>
    <row r="20" spans="2:8" s="57" customFormat="1" ht="15.75" x14ac:dyDescent="0.2">
      <c r="B20" s="55" t="s">
        <v>115</v>
      </c>
      <c r="C20" s="55" t="s">
        <v>116</v>
      </c>
      <c r="D20" s="55">
        <v>2025</v>
      </c>
      <c r="E20" s="55">
        <v>2026</v>
      </c>
      <c r="F20" s="55">
        <v>2027</v>
      </c>
      <c r="G20" s="55">
        <v>2028</v>
      </c>
      <c r="H20" s="55">
        <v>2029</v>
      </c>
    </row>
    <row r="21" spans="2:8" s="57" customFormat="1" ht="15" x14ac:dyDescent="0.2">
      <c r="B21" s="236" t="str">
        <f>+B6</f>
        <v>Sala</v>
      </c>
      <c r="C21" s="68" t="s">
        <v>117</v>
      </c>
      <c r="D21" s="68">
        <f>C6</f>
        <v>67</v>
      </c>
      <c r="E21" s="68">
        <f>ROUNDUP(D21*(1+$F$12),0)</f>
        <v>74</v>
      </c>
      <c r="F21" s="68">
        <f t="shared" ref="F21:H21" si="0">ROUNDUP(E21*(1+$F$12),0)</f>
        <v>82</v>
      </c>
      <c r="G21" s="68">
        <f t="shared" si="0"/>
        <v>91</v>
      </c>
      <c r="H21" s="68">
        <f t="shared" si="0"/>
        <v>101</v>
      </c>
    </row>
    <row r="22" spans="2:8" s="57" customFormat="1" ht="15" x14ac:dyDescent="0.2">
      <c r="B22" s="236"/>
      <c r="C22" s="68" t="s">
        <v>107</v>
      </c>
      <c r="D22" s="66">
        <f>D6</f>
        <v>1800000</v>
      </c>
      <c r="E22" s="66">
        <f>D22*(1+$D$15)</f>
        <v>1870199.9999999998</v>
      </c>
      <c r="F22" s="66">
        <f>E22*(1+$E$15)</f>
        <v>1939397.3999999997</v>
      </c>
      <c r="G22" s="66">
        <f>F22*(1+$F$15)</f>
        <v>2009215.7063999998</v>
      </c>
      <c r="H22" s="66">
        <f>G22*(1+$G$15)</f>
        <v>2079538.2561239996</v>
      </c>
    </row>
    <row r="23" spans="2:8" s="57" customFormat="1" ht="15.75" x14ac:dyDescent="0.25">
      <c r="B23" s="236"/>
      <c r="C23" s="131" t="s">
        <v>118</v>
      </c>
      <c r="D23" s="132">
        <f>D21*D22</f>
        <v>120600000</v>
      </c>
      <c r="E23" s="132">
        <f t="shared" ref="E23:H23" si="1">E21*E22</f>
        <v>138394799.99999997</v>
      </c>
      <c r="F23" s="132">
        <f t="shared" si="1"/>
        <v>159030586.79999998</v>
      </c>
      <c r="G23" s="132">
        <f t="shared" si="1"/>
        <v>182838629.28239998</v>
      </c>
      <c r="H23" s="132">
        <f t="shared" si="1"/>
        <v>210033363.86852396</v>
      </c>
    </row>
    <row r="24" spans="2:8" s="57" customFormat="1" ht="15" x14ac:dyDescent="0.2">
      <c r="B24" s="236" t="str">
        <f>+B7</f>
        <v>Comedor</v>
      </c>
      <c r="C24" s="68" t="s">
        <v>117</v>
      </c>
      <c r="D24" s="68">
        <f>C7</f>
        <v>50</v>
      </c>
      <c r="E24" s="68">
        <f>ROUNDUP(D24*(1+$F$12),0)</f>
        <v>55</v>
      </c>
      <c r="F24" s="68">
        <f t="shared" ref="F24:H24" si="2">ROUNDUP(E24*(1+$F$12),0)</f>
        <v>61</v>
      </c>
      <c r="G24" s="68">
        <f t="shared" si="2"/>
        <v>68</v>
      </c>
      <c r="H24" s="68">
        <f t="shared" si="2"/>
        <v>75</v>
      </c>
    </row>
    <row r="25" spans="2:8" s="57" customFormat="1" ht="15" x14ac:dyDescent="0.2">
      <c r="B25" s="236"/>
      <c r="C25" s="68" t="s">
        <v>107</v>
      </c>
      <c r="D25" s="66">
        <f>D7</f>
        <v>1300000</v>
      </c>
      <c r="E25" s="66">
        <f>D25*(1+$D$15)</f>
        <v>1350700</v>
      </c>
      <c r="F25" s="66">
        <f>E25*(1+$E$15)</f>
        <v>1400675.9</v>
      </c>
      <c r="G25" s="66">
        <f>F25*(1+$F$15)</f>
        <v>1451100.2323999999</v>
      </c>
      <c r="H25" s="66">
        <f>G25*(1+$G$15)</f>
        <v>1501888.7405339996</v>
      </c>
    </row>
    <row r="26" spans="2:8" s="57" customFormat="1" ht="15.75" x14ac:dyDescent="0.25">
      <c r="B26" s="236"/>
      <c r="C26" s="131" t="s">
        <v>118</v>
      </c>
      <c r="D26" s="132">
        <f>D24*D25</f>
        <v>65000000</v>
      </c>
      <c r="E26" s="132">
        <f t="shared" ref="E26:H26" si="3">E24*E25</f>
        <v>74288500</v>
      </c>
      <c r="F26" s="132">
        <f t="shared" si="3"/>
        <v>85441229.899999991</v>
      </c>
      <c r="G26" s="132">
        <f t="shared" si="3"/>
        <v>98674815.803199992</v>
      </c>
      <c r="H26" s="132">
        <f t="shared" si="3"/>
        <v>112641655.54004997</v>
      </c>
    </row>
    <row r="27" spans="2:8" s="57" customFormat="1" ht="15" x14ac:dyDescent="0.2">
      <c r="B27" s="236" t="str">
        <f>+B8</f>
        <v>Alcoba</v>
      </c>
      <c r="C27" s="68" t="s">
        <v>117</v>
      </c>
      <c r="D27" s="68">
        <f>C8</f>
        <v>40</v>
      </c>
      <c r="E27" s="68">
        <f>ROUNDUP(D27*(1+$F$12),0)</f>
        <v>44</v>
      </c>
      <c r="F27" s="68">
        <f t="shared" ref="F27:H27" si="4">ROUNDUP(E27*(1+$F$12),0)</f>
        <v>49</v>
      </c>
      <c r="G27" s="68">
        <f t="shared" si="4"/>
        <v>54</v>
      </c>
      <c r="H27" s="68">
        <f t="shared" si="4"/>
        <v>60</v>
      </c>
    </row>
    <row r="28" spans="2:8" s="57" customFormat="1" ht="15" x14ac:dyDescent="0.2">
      <c r="B28" s="236"/>
      <c r="C28" s="68" t="s">
        <v>107</v>
      </c>
      <c r="D28" s="66">
        <f>D8</f>
        <v>1650000</v>
      </c>
      <c r="E28" s="66">
        <f>D28*(1+$D$15)</f>
        <v>1714349.9999999998</v>
      </c>
      <c r="F28" s="66">
        <f>E28*(1+$E$15)</f>
        <v>1777780.9499999997</v>
      </c>
      <c r="G28" s="66">
        <f>F28*(1+$F$15)</f>
        <v>1841781.0641999997</v>
      </c>
      <c r="H28" s="66">
        <f>G28*(1+$G$15)</f>
        <v>1906243.4014469995</v>
      </c>
    </row>
    <row r="29" spans="2:8" s="57" customFormat="1" ht="15.75" x14ac:dyDescent="0.25">
      <c r="B29" s="236"/>
      <c r="C29" s="131" t="s">
        <v>118</v>
      </c>
      <c r="D29" s="132">
        <f>D27*D28</f>
        <v>66000000</v>
      </c>
      <c r="E29" s="132">
        <f t="shared" ref="E29:H29" si="5">E27*E28</f>
        <v>75431399.999999985</v>
      </c>
      <c r="F29" s="132">
        <f t="shared" si="5"/>
        <v>87111266.549999982</v>
      </c>
      <c r="G29" s="132">
        <f t="shared" si="5"/>
        <v>99456177.466799989</v>
      </c>
      <c r="H29" s="132">
        <f t="shared" si="5"/>
        <v>114374604.08681998</v>
      </c>
    </row>
    <row r="30" spans="2:8" s="57" customFormat="1" ht="15" x14ac:dyDescent="0.2">
      <c r="B30" s="236" t="str">
        <f>+B9</f>
        <v>Poltrona</v>
      </c>
      <c r="C30" s="68" t="s">
        <v>117</v>
      </c>
      <c r="D30" s="68">
        <f>C9</f>
        <v>32</v>
      </c>
      <c r="E30" s="68">
        <f>ROUNDUP(D30*(1+$F$12),0)</f>
        <v>36</v>
      </c>
      <c r="F30" s="68">
        <f t="shared" ref="F30:H30" si="6">ROUNDUP(E30*(1+$F$12),0)</f>
        <v>40</v>
      </c>
      <c r="G30" s="68">
        <f t="shared" si="6"/>
        <v>44</v>
      </c>
      <c r="H30" s="68">
        <f t="shared" si="6"/>
        <v>49</v>
      </c>
    </row>
    <row r="31" spans="2:8" s="57" customFormat="1" ht="15" x14ac:dyDescent="0.2">
      <c r="B31" s="236"/>
      <c r="C31" s="68" t="s">
        <v>107</v>
      </c>
      <c r="D31" s="66">
        <f>D9</f>
        <v>930000</v>
      </c>
      <c r="E31" s="66">
        <f>D31*(1+$D$15)</f>
        <v>966269.99999999988</v>
      </c>
      <c r="F31" s="66">
        <f>E31*(1+$E$15)</f>
        <v>1002021.9899999998</v>
      </c>
      <c r="G31" s="66">
        <f>F31*(1+$F$15)</f>
        <v>1038094.7816399998</v>
      </c>
      <c r="H31" s="66">
        <f>G31*(1+$G$15)</f>
        <v>1074428.0989973997</v>
      </c>
    </row>
    <row r="32" spans="2:8" s="57" customFormat="1" ht="15.75" x14ac:dyDescent="0.25">
      <c r="B32" s="236"/>
      <c r="C32" s="131" t="s">
        <v>118</v>
      </c>
      <c r="D32" s="132">
        <f>D30*D31</f>
        <v>29760000</v>
      </c>
      <c r="E32" s="132">
        <f t="shared" ref="E32:H32" si="7">E30*E31</f>
        <v>34785719.999999993</v>
      </c>
      <c r="F32" s="132">
        <f t="shared" si="7"/>
        <v>40080879.599999994</v>
      </c>
      <c r="G32" s="132">
        <f t="shared" si="7"/>
        <v>45676170.392159991</v>
      </c>
      <c r="H32" s="132">
        <f t="shared" si="7"/>
        <v>52646976.850872584</v>
      </c>
    </row>
    <row r="33" spans="2:12" s="57" customFormat="1" ht="15" x14ac:dyDescent="0.2">
      <c r="B33" s="236" t="str">
        <f>+B10</f>
        <v>Sofacama</v>
      </c>
      <c r="C33" s="68" t="s">
        <v>117</v>
      </c>
      <c r="D33" s="68">
        <f>C10</f>
        <v>25</v>
      </c>
      <c r="E33" s="68">
        <f>ROUNDUP(D33*(1+$F$12),0)</f>
        <v>28</v>
      </c>
      <c r="F33" s="68">
        <f t="shared" ref="F33:H33" si="8">ROUNDUP(E33*(1+$F$12),0)</f>
        <v>31</v>
      </c>
      <c r="G33" s="68">
        <f t="shared" si="8"/>
        <v>35</v>
      </c>
      <c r="H33" s="68">
        <f t="shared" si="8"/>
        <v>39</v>
      </c>
    </row>
    <row r="34" spans="2:12" s="57" customFormat="1" ht="15" x14ac:dyDescent="0.2">
      <c r="B34" s="236"/>
      <c r="C34" s="68" t="s">
        <v>107</v>
      </c>
      <c r="D34" s="66">
        <f>D10</f>
        <v>1100000</v>
      </c>
      <c r="E34" s="66">
        <f>D34*(1+$D$15)</f>
        <v>1142900</v>
      </c>
      <c r="F34" s="66">
        <f>E34*(1+$E$15)</f>
        <v>1185187.2999999998</v>
      </c>
      <c r="G34" s="66">
        <f>F34*(1+$F$15)</f>
        <v>1227854.0427999999</v>
      </c>
      <c r="H34" s="66">
        <f>G34*(1+$G$15)</f>
        <v>1270828.9342979998</v>
      </c>
    </row>
    <row r="35" spans="2:12" s="57" customFormat="1" ht="13.9" customHeight="1" x14ac:dyDescent="0.25">
      <c r="B35" s="236"/>
      <c r="C35" s="131" t="s">
        <v>118</v>
      </c>
      <c r="D35" s="132">
        <f>D33*D34</f>
        <v>27500000</v>
      </c>
      <c r="E35" s="132">
        <f t="shared" ref="E35:H35" si="9">E33*E34</f>
        <v>32001200</v>
      </c>
      <c r="F35" s="132">
        <f t="shared" si="9"/>
        <v>36740806.299999997</v>
      </c>
      <c r="G35" s="132">
        <f t="shared" si="9"/>
        <v>42974891.497999996</v>
      </c>
      <c r="H35" s="132">
        <f t="shared" si="9"/>
        <v>49562328.437621996</v>
      </c>
      <c r="K35" s="74"/>
      <c r="L35" s="74"/>
    </row>
    <row r="36" spans="2:12" s="57" customFormat="1" ht="13.9" customHeight="1" x14ac:dyDescent="0.25">
      <c r="B36" s="227" t="s">
        <v>119</v>
      </c>
      <c r="C36" s="227"/>
      <c r="D36" s="133">
        <f>D21+D24+D27+D30+D33</f>
        <v>214</v>
      </c>
      <c r="E36" s="133">
        <f t="shared" ref="E36:H36" si="10">E21+E24+E27+E30+E33</f>
        <v>237</v>
      </c>
      <c r="F36" s="133">
        <f t="shared" si="10"/>
        <v>263</v>
      </c>
      <c r="G36" s="133">
        <f t="shared" si="10"/>
        <v>292</v>
      </c>
      <c r="H36" s="133">
        <f t="shared" si="10"/>
        <v>324</v>
      </c>
      <c r="J36" s="57" t="s">
        <v>138</v>
      </c>
      <c r="K36" s="74"/>
      <c r="L36" s="74"/>
    </row>
    <row r="37" spans="2:12" s="57" customFormat="1" ht="15.75" customHeight="1" x14ac:dyDescent="0.25">
      <c r="B37" s="225" t="s">
        <v>118</v>
      </c>
      <c r="C37" s="225"/>
      <c r="D37" s="133">
        <f>D23+D26+D29+D32+D35</f>
        <v>308860000</v>
      </c>
      <c r="E37" s="133">
        <f t="shared" ref="E37:H37" si="11">E23+E26+E29+E32+E35</f>
        <v>354901619.99999994</v>
      </c>
      <c r="F37" s="133">
        <f t="shared" si="11"/>
        <v>408404769.15000004</v>
      </c>
      <c r="G37" s="133">
        <f t="shared" si="11"/>
        <v>469620684.44255996</v>
      </c>
      <c r="H37" s="133">
        <f t="shared" si="11"/>
        <v>539258928.78388846</v>
      </c>
      <c r="J37" s="57" t="s">
        <v>211</v>
      </c>
    </row>
    <row r="38" spans="2:12" s="57" customFormat="1" ht="15" x14ac:dyDescent="0.2"/>
    <row r="39" spans="2:12" s="57" customFormat="1" ht="15" x14ac:dyDescent="0.2"/>
    <row r="40" spans="2:12" s="57" customFormat="1" ht="15" x14ac:dyDescent="0.2"/>
    <row r="41" spans="2:12" s="57" customFormat="1" ht="15" x14ac:dyDescent="0.2"/>
    <row r="42" spans="2:12" s="57" customFormat="1" ht="15" x14ac:dyDescent="0.2"/>
  </sheetData>
  <mergeCells count="11">
    <mergeCell ref="B3:H3"/>
    <mergeCell ref="B12:E12"/>
    <mergeCell ref="B17:H17"/>
    <mergeCell ref="B37:C37"/>
    <mergeCell ref="B19:H19"/>
    <mergeCell ref="B21:B23"/>
    <mergeCell ref="B24:B26"/>
    <mergeCell ref="B27:B29"/>
    <mergeCell ref="B30:B32"/>
    <mergeCell ref="B33:B35"/>
    <mergeCell ref="B36:C3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AC314-F44C-4BE4-9A22-63125BF4EFFE}">
  <dimension ref="B3:Q73"/>
  <sheetViews>
    <sheetView showGridLines="0" zoomScaleNormal="100" workbookViewId="0">
      <selection activeCell="B3" sqref="B3:G3"/>
    </sheetView>
  </sheetViews>
  <sheetFormatPr baseColWidth="10" defaultColWidth="11.5703125" defaultRowHeight="14.25" x14ac:dyDescent="0.2"/>
  <cols>
    <col min="1" max="1" width="11.7109375" style="2" customWidth="1"/>
    <col min="2" max="2" width="43.140625" style="2" customWidth="1"/>
    <col min="3" max="3" width="14.140625" style="2" customWidth="1"/>
    <col min="4" max="4" width="14.5703125" style="2" customWidth="1"/>
    <col min="5" max="6" width="12.85546875" style="2" customWidth="1"/>
    <col min="7" max="7" width="12.7109375" style="2" customWidth="1"/>
    <col min="8" max="8" width="6.140625" style="2" customWidth="1"/>
    <col min="9" max="9" width="5.5703125" style="2" customWidth="1"/>
    <col min="10" max="10" width="12.5703125" style="2" bestFit="1" customWidth="1"/>
    <col min="11" max="11" width="13.28515625" style="2" customWidth="1"/>
    <col min="12" max="12" width="11.5703125" style="2"/>
    <col min="13" max="13" width="9.5703125" style="2" customWidth="1"/>
    <col min="14" max="14" width="8.5703125" style="2" customWidth="1"/>
    <col min="15" max="16384" width="11.5703125" style="2"/>
  </cols>
  <sheetData>
    <row r="3" spans="2:8" ht="26.25" customHeight="1" x14ac:dyDescent="0.2">
      <c r="B3" s="207" t="s">
        <v>120</v>
      </c>
      <c r="C3" s="207"/>
      <c r="D3" s="207"/>
      <c r="E3" s="207"/>
      <c r="F3" s="207"/>
      <c r="G3" s="207"/>
      <c r="H3" s="54"/>
    </row>
    <row r="5" spans="2:8" s="57" customFormat="1" ht="15" x14ac:dyDescent="0.2"/>
    <row r="6" spans="2:8" s="57" customFormat="1" ht="15.75" x14ac:dyDescent="0.25">
      <c r="C6" s="154">
        <v>2025</v>
      </c>
      <c r="D6" s="154">
        <v>2026</v>
      </c>
      <c r="E6" s="154">
        <v>2027</v>
      </c>
      <c r="F6" s="154">
        <v>2028</v>
      </c>
      <c r="G6" s="154">
        <v>2029</v>
      </c>
    </row>
    <row r="7" spans="2:8" s="57" customFormat="1" ht="15.75" x14ac:dyDescent="0.25">
      <c r="B7" s="65" t="s">
        <v>1</v>
      </c>
      <c r="C7" s="75">
        <f>'Datos base'!C33</f>
        <v>4.2999999999999997E-2</v>
      </c>
      <c r="D7" s="75">
        <f>'Datos base'!D33</f>
        <v>3.9E-2</v>
      </c>
      <c r="E7" s="75">
        <f>'Datos base'!E33</f>
        <v>3.6999999999999998E-2</v>
      </c>
      <c r="F7" s="75">
        <f>'Datos base'!F33</f>
        <v>3.5999999999999997E-2</v>
      </c>
      <c r="G7" s="75">
        <f>'Datos base'!G33</f>
        <v>3.5000000000000003E-2</v>
      </c>
    </row>
    <row r="8" spans="2:8" s="57" customFormat="1" ht="15.75" x14ac:dyDescent="0.25">
      <c r="B8" s="76"/>
      <c r="C8" s="77"/>
      <c r="D8" s="77"/>
      <c r="E8" s="77"/>
      <c r="F8" s="77"/>
      <c r="G8" s="77"/>
    </row>
    <row r="9" spans="2:8" s="57" customFormat="1" ht="15.75" x14ac:dyDescent="0.25">
      <c r="B9" s="231" t="s">
        <v>121</v>
      </c>
      <c r="C9" s="232"/>
      <c r="D9" s="233"/>
      <c r="E9" s="68">
        <f>'Datos base'!F15</f>
        <v>5</v>
      </c>
      <c r="G9" s="77"/>
    </row>
    <row r="10" spans="2:8" s="57" customFormat="1" ht="15.75" x14ac:dyDescent="0.25">
      <c r="B10" s="231" t="s">
        <v>122</v>
      </c>
      <c r="C10" s="232"/>
      <c r="D10" s="233"/>
      <c r="E10" s="68">
        <f>'Datos base'!F16</f>
        <v>5</v>
      </c>
      <c r="G10" s="77"/>
    </row>
    <row r="11" spans="2:8" s="57" customFormat="1" ht="15" x14ac:dyDescent="0.2">
      <c r="G11" s="77"/>
    </row>
    <row r="12" spans="2:8" s="57" customFormat="1" ht="28.9" customHeight="1" x14ac:dyDescent="0.2">
      <c r="B12" s="238" t="s">
        <v>2295</v>
      </c>
      <c r="C12" s="238"/>
      <c r="D12" s="238"/>
      <c r="E12" s="238"/>
      <c r="F12" s="238"/>
      <c r="G12" s="238"/>
    </row>
    <row r="13" spans="2:8" s="57" customFormat="1" ht="28.9" customHeight="1" x14ac:dyDescent="0.2">
      <c r="B13" s="238" t="s">
        <v>254</v>
      </c>
      <c r="C13" s="238"/>
      <c r="D13" s="238"/>
      <c r="E13" s="238"/>
      <c r="F13" s="238"/>
      <c r="G13" s="238"/>
    </row>
    <row r="14" spans="2:8" s="57" customFormat="1" ht="15" x14ac:dyDescent="0.2">
      <c r="B14" s="78"/>
      <c r="C14" s="78"/>
      <c r="D14" s="78"/>
      <c r="E14" s="78"/>
      <c r="F14" s="78"/>
      <c r="G14" s="78"/>
    </row>
    <row r="15" spans="2:8" s="57" customFormat="1" ht="33" customHeight="1" x14ac:dyDescent="0.25">
      <c r="B15" s="239" t="s">
        <v>134</v>
      </c>
      <c r="C15" s="240"/>
      <c r="D15" s="241"/>
      <c r="E15" s="79">
        <f>'Datos base'!F14</f>
        <v>0.1</v>
      </c>
      <c r="G15" s="78"/>
    </row>
    <row r="16" spans="2:8" s="57" customFormat="1" ht="15" x14ac:dyDescent="0.2">
      <c r="G16" s="77"/>
    </row>
    <row r="17" spans="2:12" s="57" customFormat="1" ht="15.75" x14ac:dyDescent="0.25">
      <c r="B17" s="234" t="s">
        <v>141</v>
      </c>
      <c r="C17" s="234"/>
      <c r="D17" s="234"/>
      <c r="E17" s="234"/>
      <c r="F17" s="234"/>
      <c r="G17" s="234"/>
    </row>
    <row r="18" spans="2:12" s="57" customFormat="1" ht="15.75" x14ac:dyDescent="0.25">
      <c r="B18" s="73"/>
    </row>
    <row r="19" spans="2:12" s="57" customFormat="1" ht="15.75" x14ac:dyDescent="0.25">
      <c r="B19" s="227" t="s">
        <v>5</v>
      </c>
      <c r="C19" s="227"/>
      <c r="D19" s="227"/>
      <c r="E19" s="227"/>
      <c r="F19" s="227"/>
      <c r="G19" s="227"/>
      <c r="H19" s="73"/>
    </row>
    <row r="20" spans="2:12" s="57" customFormat="1" ht="15.75" x14ac:dyDescent="0.2">
      <c r="B20" s="71" t="s">
        <v>116</v>
      </c>
      <c r="C20" s="55">
        <v>2025</v>
      </c>
      <c r="D20" s="55">
        <v>2026</v>
      </c>
      <c r="E20" s="55">
        <v>2027</v>
      </c>
      <c r="F20" s="55">
        <v>2028</v>
      </c>
      <c r="G20" s="55">
        <v>2029</v>
      </c>
    </row>
    <row r="21" spans="2:12" s="57" customFormat="1" ht="13.9" customHeight="1" x14ac:dyDescent="0.2">
      <c r="B21" s="82" t="s">
        <v>4</v>
      </c>
      <c r="C21" s="80">
        <f>'Ppto Ventas'!D36</f>
        <v>214</v>
      </c>
      <c r="D21" s="80">
        <f>'Ppto Ventas'!E36</f>
        <v>237</v>
      </c>
      <c r="E21" s="80">
        <f>'Ppto Ventas'!F36</f>
        <v>263</v>
      </c>
      <c r="F21" s="80">
        <f>'Ppto Ventas'!G36</f>
        <v>292</v>
      </c>
      <c r="G21" s="80">
        <f>'Ppto Ventas'!H36</f>
        <v>324</v>
      </c>
      <c r="I21" s="83" t="s">
        <v>190</v>
      </c>
      <c r="J21" s="83"/>
      <c r="K21" s="63"/>
    </row>
    <row r="22" spans="2:12" s="57" customFormat="1" ht="15" x14ac:dyDescent="0.2">
      <c r="B22" s="134" t="s">
        <v>123</v>
      </c>
      <c r="C22" s="82">
        <f>ROUNDUP((C21/360)*$E$9,0)</f>
        <v>3</v>
      </c>
      <c r="D22" s="82">
        <f>ROUNDUP((D21/360)*$E$9,0)</f>
        <v>4</v>
      </c>
      <c r="E22" s="82">
        <f t="shared" ref="E22:G22" si="0">ROUNDUP((E21/360)*$E$9,0)</f>
        <v>4</v>
      </c>
      <c r="F22" s="82">
        <f t="shared" si="0"/>
        <v>5</v>
      </c>
      <c r="G22" s="82">
        <f t="shared" si="0"/>
        <v>5</v>
      </c>
      <c r="I22" s="83"/>
      <c r="J22" s="83"/>
      <c r="K22" s="63"/>
    </row>
    <row r="23" spans="2:12" s="57" customFormat="1" ht="15" x14ac:dyDescent="0.2">
      <c r="B23" s="134" t="s">
        <v>124</v>
      </c>
      <c r="C23" s="82">
        <v>0</v>
      </c>
      <c r="D23" s="82">
        <f>C22</f>
        <v>3</v>
      </c>
      <c r="E23" s="82">
        <f t="shared" ref="E23:G23" si="1">D22</f>
        <v>4</v>
      </c>
      <c r="F23" s="82">
        <f t="shared" si="1"/>
        <v>4</v>
      </c>
      <c r="G23" s="82">
        <f t="shared" si="1"/>
        <v>5</v>
      </c>
      <c r="I23" s="83"/>
      <c r="J23" s="83"/>
    </row>
    <row r="24" spans="2:12" s="57" customFormat="1" ht="15.75" x14ac:dyDescent="0.2">
      <c r="B24" s="135" t="s">
        <v>125</v>
      </c>
      <c r="C24" s="99">
        <f>C21+C22-C23</f>
        <v>217</v>
      </c>
      <c r="D24" s="99">
        <f t="shared" ref="D24:G24" si="2">D21+D22-D23</f>
        <v>238</v>
      </c>
      <c r="E24" s="99">
        <f t="shared" si="2"/>
        <v>263</v>
      </c>
      <c r="F24" s="99">
        <f t="shared" si="2"/>
        <v>293</v>
      </c>
      <c r="G24" s="99">
        <f t="shared" si="2"/>
        <v>324</v>
      </c>
      <c r="I24" s="83"/>
      <c r="J24" s="63"/>
    </row>
    <row r="25" spans="2:12" s="57" customFormat="1" ht="15" x14ac:dyDescent="0.2"/>
    <row r="26" spans="2:12" s="57" customFormat="1" ht="15.75" x14ac:dyDescent="0.2">
      <c r="B26" s="227" t="s">
        <v>126</v>
      </c>
      <c r="C26" s="227"/>
      <c r="D26" s="227"/>
      <c r="E26" s="227"/>
      <c r="F26" s="227"/>
      <c r="G26" s="227"/>
    </row>
    <row r="27" spans="2:12" s="57" customFormat="1" ht="13.9" customHeight="1" x14ac:dyDescent="0.2">
      <c r="B27" s="71" t="s">
        <v>116</v>
      </c>
      <c r="C27" s="55">
        <v>2025</v>
      </c>
      <c r="D27" s="55">
        <v>2026</v>
      </c>
      <c r="E27" s="55">
        <v>2027</v>
      </c>
      <c r="F27" s="55">
        <v>2028</v>
      </c>
      <c r="G27" s="55">
        <v>2029</v>
      </c>
      <c r="J27" s="63"/>
    </row>
    <row r="28" spans="2:12" s="57" customFormat="1" ht="13.9" customHeight="1" x14ac:dyDescent="0.2">
      <c r="B28" s="134" t="s">
        <v>13</v>
      </c>
      <c r="C28" s="84">
        <f>ROUNDUP((C29/360)*$E$10,0)</f>
        <v>198</v>
      </c>
      <c r="D28" s="84">
        <f t="shared" ref="D28:G28" si="3">ROUNDUP((D29/360)*$E$10,0)</f>
        <v>218</v>
      </c>
      <c r="E28" s="84">
        <f t="shared" si="3"/>
        <v>240</v>
      </c>
      <c r="F28" s="84">
        <f t="shared" si="3"/>
        <v>264</v>
      </c>
      <c r="G28" s="84">
        <f t="shared" si="3"/>
        <v>290</v>
      </c>
      <c r="J28" s="83"/>
      <c r="K28" s="85"/>
      <c r="L28" s="85"/>
    </row>
    <row r="29" spans="2:12" s="57" customFormat="1" ht="27.6" customHeight="1" x14ac:dyDescent="0.2">
      <c r="B29" s="86" t="s">
        <v>128</v>
      </c>
      <c r="C29" s="87">
        <f>C49</f>
        <v>14227</v>
      </c>
      <c r="D29" s="87">
        <f>C29*(1+$E$15)</f>
        <v>15649.7</v>
      </c>
      <c r="E29" s="87">
        <f t="shared" ref="E29:G29" si="4">D29*(1+$E$15)</f>
        <v>17214.670000000002</v>
      </c>
      <c r="F29" s="87">
        <f t="shared" si="4"/>
        <v>18936.137000000002</v>
      </c>
      <c r="G29" s="87">
        <f t="shared" si="4"/>
        <v>20829.750700000004</v>
      </c>
      <c r="I29" s="83" t="s">
        <v>2300</v>
      </c>
      <c r="J29" s="83"/>
      <c r="K29" s="63"/>
    </row>
    <row r="30" spans="2:12" s="57" customFormat="1" ht="15" x14ac:dyDescent="0.2">
      <c r="B30" s="134" t="s">
        <v>129</v>
      </c>
      <c r="C30" s="82">
        <v>0</v>
      </c>
      <c r="D30" s="80">
        <f>C28</f>
        <v>198</v>
      </c>
      <c r="E30" s="80">
        <f t="shared" ref="E30:G30" si="5">D28</f>
        <v>218</v>
      </c>
      <c r="F30" s="80">
        <f t="shared" si="5"/>
        <v>240</v>
      </c>
      <c r="G30" s="80">
        <f t="shared" si="5"/>
        <v>264</v>
      </c>
      <c r="I30" s="83"/>
      <c r="J30" s="83"/>
      <c r="K30" s="63"/>
    </row>
    <row r="31" spans="2:12" s="57" customFormat="1" ht="15.75" x14ac:dyDescent="0.2">
      <c r="B31" s="135" t="s">
        <v>130</v>
      </c>
      <c r="C31" s="101">
        <f>C28+C29-C30</f>
        <v>14425</v>
      </c>
      <c r="D31" s="101">
        <f t="shared" ref="D31" si="6">D28+D29-D30</f>
        <v>15669.7</v>
      </c>
      <c r="E31" s="101">
        <f t="shared" ref="E31" si="7">E28+E29-E30</f>
        <v>17236.670000000002</v>
      </c>
      <c r="F31" s="101">
        <f t="shared" ref="F31" si="8">F28+F29-F30</f>
        <v>18960.137000000002</v>
      </c>
      <c r="G31" s="101">
        <f t="shared" ref="G31" si="9">G28+G29-G30</f>
        <v>20855.750700000004</v>
      </c>
      <c r="I31" s="63"/>
      <c r="J31" s="63"/>
    </row>
    <row r="32" spans="2:12" s="57" customFormat="1" ht="15" x14ac:dyDescent="0.2"/>
    <row r="33" spans="2:17" s="57" customFormat="1" ht="15.75" x14ac:dyDescent="0.2">
      <c r="B33" s="227" t="s">
        <v>136</v>
      </c>
      <c r="C33" s="227"/>
      <c r="D33" s="227"/>
      <c r="E33" s="227"/>
      <c r="F33" s="227"/>
      <c r="G33" s="227"/>
    </row>
    <row r="34" spans="2:17" s="57" customFormat="1" ht="15.75" x14ac:dyDescent="0.2">
      <c r="B34" s="71" t="s">
        <v>116</v>
      </c>
      <c r="C34" s="55">
        <v>2025</v>
      </c>
      <c r="D34" s="55">
        <v>2026</v>
      </c>
      <c r="E34" s="55">
        <v>2027</v>
      </c>
      <c r="F34" s="55">
        <v>2028</v>
      </c>
      <c r="G34" s="55">
        <v>2029</v>
      </c>
      <c r="J34" s="89"/>
      <c r="K34" s="90"/>
      <c r="L34" s="89"/>
      <c r="M34" s="89"/>
      <c r="N34" s="89"/>
    </row>
    <row r="35" spans="2:17" s="57" customFormat="1" ht="15" x14ac:dyDescent="0.2">
      <c r="B35" s="134" t="s">
        <v>139</v>
      </c>
      <c r="C35" s="88">
        <f>C28*$C$55</f>
        <v>432812.03697195475</v>
      </c>
      <c r="D35" s="88">
        <f>D28*$D$55</f>
        <v>495115.11110212974</v>
      </c>
      <c r="E35" s="88">
        <f>E28*$E$55</f>
        <v>565248.84794081666</v>
      </c>
      <c r="F35" s="88">
        <f>F28*$F$55</f>
        <v>644157.5871133547</v>
      </c>
      <c r="G35" s="88">
        <f>G28*$G$55</f>
        <v>732363.25671239931</v>
      </c>
    </row>
    <row r="36" spans="2:17" s="57" customFormat="1" ht="30" x14ac:dyDescent="0.2">
      <c r="B36" s="86" t="s">
        <v>140</v>
      </c>
      <c r="C36" s="88">
        <f>C29*$C$55</f>
        <v>31099075</v>
      </c>
      <c r="D36" s="88">
        <f>D29*$D$55</f>
        <v>35543132.817500003</v>
      </c>
      <c r="E36" s="88">
        <f>E29*$E$55</f>
        <v>40544051.60492225</v>
      </c>
      <c r="F36" s="88">
        <f>F29*$F$55</f>
        <v>46204001.208969399</v>
      </c>
      <c r="G36" s="88">
        <f>G29*$G$55</f>
        <v>52603255.376411662</v>
      </c>
    </row>
    <row r="37" spans="2:17" s="57" customFormat="1" ht="15" x14ac:dyDescent="0.2">
      <c r="B37" s="134" t="s">
        <v>243</v>
      </c>
      <c r="C37" s="82">
        <v>0</v>
      </c>
      <c r="D37" s="88">
        <f>C35</f>
        <v>432812.03697195475</v>
      </c>
      <c r="E37" s="88">
        <f t="shared" ref="E37:G37" si="10">D35</f>
        <v>495115.11110212974</v>
      </c>
      <c r="F37" s="88">
        <f t="shared" si="10"/>
        <v>565248.84794081666</v>
      </c>
      <c r="G37" s="88">
        <f t="shared" si="10"/>
        <v>644157.5871133547</v>
      </c>
    </row>
    <row r="38" spans="2:17" s="57" customFormat="1" ht="15.75" x14ac:dyDescent="0.2">
      <c r="B38" s="135" t="s">
        <v>244</v>
      </c>
      <c r="C38" s="101">
        <f>C35+C36-C37</f>
        <v>31531887.036971956</v>
      </c>
      <c r="D38" s="101">
        <f t="shared" ref="D38" si="11">D35+D36-D37</f>
        <v>35605435.891630173</v>
      </c>
      <c r="E38" s="101">
        <f t="shared" ref="E38" si="12">E35+E36-E37</f>
        <v>40614185.341760941</v>
      </c>
      <c r="F38" s="101">
        <f t="shared" ref="F38" si="13">F35+F36-F37</f>
        <v>46282909.94814194</v>
      </c>
      <c r="G38" s="101">
        <f t="shared" ref="G38" si="14">G35+G36-G37</f>
        <v>52691461.046010703</v>
      </c>
    </row>
    <row r="39" spans="2:17" s="57" customFormat="1" ht="15" x14ac:dyDescent="0.2"/>
    <row r="40" spans="2:17" s="57" customFormat="1" ht="15.75" x14ac:dyDescent="0.2">
      <c r="B40" s="227" t="s">
        <v>135</v>
      </c>
      <c r="C40" s="227"/>
      <c r="D40" s="227"/>
      <c r="E40" s="227"/>
    </row>
    <row r="41" spans="2:17" s="57" customFormat="1" ht="15.75" x14ac:dyDescent="0.25">
      <c r="B41" s="71" t="s">
        <v>116</v>
      </c>
      <c r="C41" s="55" t="s">
        <v>2</v>
      </c>
      <c r="D41" s="55" t="s">
        <v>131</v>
      </c>
      <c r="E41" s="55" t="s">
        <v>118</v>
      </c>
      <c r="F41" s="91"/>
      <c r="G41" s="91"/>
      <c r="H41" s="91"/>
      <c r="I41" s="91"/>
      <c r="J41" s="91"/>
      <c r="K41" s="91"/>
      <c r="L41" s="91"/>
      <c r="M41" s="91"/>
      <c r="N41" s="91"/>
      <c r="O41" s="91"/>
      <c r="P41" s="91"/>
      <c r="Q41" s="91"/>
    </row>
    <row r="42" spans="2:17" s="57" customFormat="1" ht="15" x14ac:dyDescent="0.2">
      <c r="B42" s="138" t="s">
        <v>6</v>
      </c>
      <c r="C42" s="87">
        <v>87</v>
      </c>
      <c r="D42" s="87">
        <v>200000</v>
      </c>
      <c r="E42" s="87">
        <f>C42*D42</f>
        <v>17400000</v>
      </c>
      <c r="F42" s="92"/>
      <c r="G42" s="92"/>
      <c r="H42" s="92"/>
      <c r="I42" s="92"/>
      <c r="J42" s="92"/>
      <c r="K42" s="93"/>
      <c r="L42" s="93"/>
      <c r="M42" s="93"/>
      <c r="N42" s="93"/>
      <c r="O42" s="93"/>
      <c r="P42" s="92"/>
      <c r="Q42" s="92"/>
    </row>
    <row r="43" spans="2:17" s="57" customFormat="1" ht="15" x14ac:dyDescent="0.2">
      <c r="B43" s="138" t="s">
        <v>7</v>
      </c>
      <c r="C43" s="87">
        <v>7118</v>
      </c>
      <c r="D43" s="87">
        <v>35</v>
      </c>
      <c r="E43" s="87">
        <f t="shared" ref="E43:E48" si="15">C43*D43</f>
        <v>249130</v>
      </c>
      <c r="F43" s="92"/>
      <c r="G43" s="92"/>
      <c r="H43" s="92"/>
      <c r="I43" s="92"/>
      <c r="J43" s="92"/>
      <c r="K43" s="93"/>
      <c r="L43" s="93"/>
      <c r="M43" s="93"/>
      <c r="N43" s="93"/>
      <c r="O43" s="93"/>
      <c r="P43" s="92"/>
      <c r="Q43" s="92"/>
    </row>
    <row r="44" spans="2:17" s="57" customFormat="1" ht="15" x14ac:dyDescent="0.2">
      <c r="B44" s="138" t="s">
        <v>248</v>
      </c>
      <c r="C44" s="87">
        <v>12</v>
      </c>
      <c r="D44" s="87">
        <v>7500</v>
      </c>
      <c r="E44" s="87">
        <f t="shared" si="15"/>
        <v>90000</v>
      </c>
      <c r="F44" s="92"/>
      <c r="G44" s="92"/>
      <c r="H44" s="94"/>
      <c r="I44" s="94"/>
      <c r="J44" s="92"/>
      <c r="K44" s="237"/>
      <c r="L44" s="237"/>
      <c r="M44" s="237"/>
      <c r="N44" s="237"/>
      <c r="O44" s="237"/>
      <c r="P44" s="92"/>
      <c r="Q44" s="92"/>
    </row>
    <row r="45" spans="2:17" s="57" customFormat="1" ht="15" x14ac:dyDescent="0.2">
      <c r="B45" s="138" t="s">
        <v>8</v>
      </c>
      <c r="C45" s="87">
        <v>5208</v>
      </c>
      <c r="D45" s="87">
        <v>1000</v>
      </c>
      <c r="E45" s="87">
        <f t="shared" si="15"/>
        <v>5208000</v>
      </c>
      <c r="F45" s="92"/>
      <c r="G45" s="92"/>
      <c r="H45" s="92"/>
      <c r="I45" s="92"/>
      <c r="J45" s="92"/>
      <c r="K45" s="237"/>
      <c r="L45" s="237"/>
      <c r="M45" s="237"/>
      <c r="N45" s="237"/>
      <c r="O45" s="237"/>
      <c r="P45" s="92"/>
      <c r="Q45" s="92"/>
    </row>
    <row r="46" spans="2:17" s="57" customFormat="1" ht="15" x14ac:dyDescent="0.2">
      <c r="B46" s="138" t="s">
        <v>9</v>
      </c>
      <c r="C46" s="87">
        <v>304</v>
      </c>
      <c r="D46" s="87">
        <v>25000</v>
      </c>
      <c r="E46" s="87">
        <f t="shared" si="15"/>
        <v>7600000</v>
      </c>
      <c r="F46" s="92"/>
      <c r="G46" s="92"/>
      <c r="H46" s="92"/>
      <c r="I46" s="92"/>
      <c r="J46" s="92"/>
      <c r="K46" s="93"/>
      <c r="L46" s="93"/>
      <c r="M46" s="93"/>
      <c r="N46" s="93"/>
      <c r="O46" s="93"/>
      <c r="P46" s="92"/>
      <c r="Q46" s="92"/>
    </row>
    <row r="47" spans="2:17" s="57" customFormat="1" ht="15" x14ac:dyDescent="0.2">
      <c r="B47" s="138" t="s">
        <v>10</v>
      </c>
      <c r="C47" s="87">
        <v>109</v>
      </c>
      <c r="D47" s="87">
        <v>5000</v>
      </c>
      <c r="E47" s="87">
        <f t="shared" si="15"/>
        <v>545000</v>
      </c>
      <c r="F47" s="92"/>
      <c r="G47" s="92"/>
      <c r="H47" s="92"/>
      <c r="I47" s="92"/>
      <c r="J47" s="92"/>
      <c r="K47" s="93"/>
      <c r="L47" s="93"/>
      <c r="M47" s="93"/>
      <c r="N47" s="93"/>
      <c r="O47" s="93"/>
      <c r="P47" s="92"/>
      <c r="Q47" s="92"/>
    </row>
    <row r="48" spans="2:17" s="57" customFormat="1" ht="15" x14ac:dyDescent="0.2">
      <c r="B48" s="138" t="s">
        <v>11</v>
      </c>
      <c r="C48" s="87">
        <v>1389</v>
      </c>
      <c r="D48" s="87">
        <v>5</v>
      </c>
      <c r="E48" s="87">
        <f t="shared" si="15"/>
        <v>6945</v>
      </c>
      <c r="F48" s="92"/>
      <c r="G48" s="92"/>
      <c r="H48" s="92"/>
      <c r="I48" s="92"/>
      <c r="J48" s="92"/>
      <c r="K48" s="93"/>
      <c r="L48" s="93"/>
      <c r="M48" s="93"/>
      <c r="N48" s="93"/>
      <c r="O48" s="93"/>
      <c r="P48" s="92"/>
      <c r="Q48" s="92"/>
    </row>
    <row r="49" spans="2:17" s="57" customFormat="1" ht="15.75" x14ac:dyDescent="0.2">
      <c r="B49" s="139" t="s">
        <v>12</v>
      </c>
      <c r="C49" s="136">
        <f>SUM(C42:C48)</f>
        <v>14227</v>
      </c>
      <c r="D49" s="137"/>
      <c r="E49" s="136">
        <f>SUM(E42:E48)</f>
        <v>31099075</v>
      </c>
      <c r="F49" s="92"/>
      <c r="G49" s="95"/>
      <c r="H49" s="83"/>
      <c r="I49" s="96"/>
      <c r="J49" s="95"/>
      <c r="K49" s="93"/>
      <c r="L49" s="93"/>
      <c r="M49" s="93"/>
      <c r="N49" s="93"/>
      <c r="O49" s="93"/>
      <c r="P49" s="92"/>
      <c r="Q49" s="92"/>
    </row>
    <row r="50" spans="2:17" s="57" customFormat="1" ht="15.75" x14ac:dyDescent="0.2">
      <c r="B50" s="242" t="s">
        <v>189</v>
      </c>
      <c r="C50" s="243"/>
      <c r="D50" s="244"/>
      <c r="E50" s="136">
        <f>E49/C49</f>
        <v>2185.9193786462361</v>
      </c>
      <c r="G50" s="96"/>
      <c r="H50" s="83"/>
      <c r="I50" s="96"/>
      <c r="J50" s="95"/>
      <c r="K50" s="92"/>
      <c r="P50" s="92"/>
      <c r="Q50" s="92"/>
    </row>
    <row r="51" spans="2:17" s="57" customFormat="1" ht="8.4499999999999993" customHeight="1" x14ac:dyDescent="0.2">
      <c r="B51" s="97"/>
      <c r="C51" s="97"/>
      <c r="D51" s="97"/>
      <c r="E51" s="97"/>
    </row>
    <row r="52" spans="2:17" s="57" customFormat="1" ht="96.75" customHeight="1" x14ac:dyDescent="0.2">
      <c r="B52" s="230" t="s">
        <v>2301</v>
      </c>
      <c r="C52" s="230"/>
      <c r="D52" s="230"/>
      <c r="E52" s="230"/>
    </row>
    <row r="53" spans="2:17" s="57" customFormat="1" ht="15" x14ac:dyDescent="0.2"/>
    <row r="54" spans="2:17" s="57" customFormat="1" ht="15.75" x14ac:dyDescent="0.2">
      <c r="B54" s="83"/>
      <c r="C54" s="153">
        <v>2025</v>
      </c>
      <c r="D54" s="153">
        <v>2026</v>
      </c>
      <c r="E54" s="153">
        <v>2027</v>
      </c>
      <c r="F54" s="153">
        <v>2028</v>
      </c>
      <c r="G54" s="153">
        <v>2029</v>
      </c>
    </row>
    <row r="55" spans="2:17" s="57" customFormat="1" ht="31.5" x14ac:dyDescent="0.2">
      <c r="B55" s="98" t="s">
        <v>137</v>
      </c>
      <c r="C55" s="87">
        <f>E50</f>
        <v>2185.9193786462361</v>
      </c>
      <c r="D55" s="88">
        <f>C55*(1+D7)</f>
        <v>2271.1702344134392</v>
      </c>
      <c r="E55" s="88">
        <f>D55*(1+E7)</f>
        <v>2355.2035330867361</v>
      </c>
      <c r="F55" s="88">
        <f>E55*(1+F7)</f>
        <v>2439.9908602778587</v>
      </c>
      <c r="G55" s="88">
        <f>F55*(1+G7)</f>
        <v>2525.3905403875838</v>
      </c>
    </row>
    <row r="56" spans="2:17" s="57" customFormat="1" ht="15" x14ac:dyDescent="0.2">
      <c r="B56" s="83"/>
      <c r="C56" s="83"/>
      <c r="D56" s="83"/>
      <c r="E56" s="83"/>
      <c r="F56" s="83"/>
      <c r="G56" s="83"/>
    </row>
    <row r="57" spans="2:17" s="57" customFormat="1" ht="15.75" x14ac:dyDescent="0.2">
      <c r="B57" s="227" t="s">
        <v>3</v>
      </c>
      <c r="C57" s="227"/>
      <c r="D57" s="227"/>
      <c r="E57" s="227"/>
      <c r="F57" s="227"/>
      <c r="G57" s="227"/>
    </row>
    <row r="58" spans="2:17" s="57" customFormat="1" ht="15.75" x14ac:dyDescent="0.2">
      <c r="B58" s="71" t="s">
        <v>116</v>
      </c>
      <c r="C58" s="153">
        <v>2025</v>
      </c>
      <c r="D58" s="153">
        <v>2026</v>
      </c>
      <c r="E58" s="153">
        <v>2027</v>
      </c>
      <c r="F58" s="153">
        <v>2028</v>
      </c>
      <c r="G58" s="153">
        <v>2029</v>
      </c>
    </row>
    <row r="59" spans="2:17" s="57" customFormat="1" ht="15" x14ac:dyDescent="0.2">
      <c r="B59" s="82" t="s">
        <v>4</v>
      </c>
      <c r="C59" s="80">
        <f t="shared" ref="C59:G61" si="16">C21</f>
        <v>214</v>
      </c>
      <c r="D59" s="80">
        <f t="shared" si="16"/>
        <v>237</v>
      </c>
      <c r="E59" s="80">
        <f t="shared" si="16"/>
        <v>263</v>
      </c>
      <c r="F59" s="80">
        <f t="shared" si="16"/>
        <v>292</v>
      </c>
      <c r="G59" s="80">
        <f t="shared" si="16"/>
        <v>324</v>
      </c>
    </row>
    <row r="60" spans="2:17" s="57" customFormat="1" ht="15" x14ac:dyDescent="0.2">
      <c r="B60" s="134" t="s">
        <v>123</v>
      </c>
      <c r="C60" s="80">
        <f t="shared" si="16"/>
        <v>3</v>
      </c>
      <c r="D60" s="80">
        <f t="shared" si="16"/>
        <v>4</v>
      </c>
      <c r="E60" s="80">
        <f t="shared" si="16"/>
        <v>4</v>
      </c>
      <c r="F60" s="80">
        <f t="shared" si="16"/>
        <v>5</v>
      </c>
      <c r="G60" s="80">
        <f t="shared" si="16"/>
        <v>5</v>
      </c>
    </row>
    <row r="61" spans="2:17" s="57" customFormat="1" ht="15" x14ac:dyDescent="0.2">
      <c r="B61" s="134" t="s">
        <v>124</v>
      </c>
      <c r="C61" s="80">
        <f t="shared" si="16"/>
        <v>0</v>
      </c>
      <c r="D61" s="80">
        <f t="shared" si="16"/>
        <v>3</v>
      </c>
      <c r="E61" s="80">
        <f t="shared" si="16"/>
        <v>4</v>
      </c>
      <c r="F61" s="80">
        <f t="shared" si="16"/>
        <v>4</v>
      </c>
      <c r="G61" s="80">
        <f t="shared" si="16"/>
        <v>5</v>
      </c>
    </row>
    <row r="62" spans="2:17" s="57" customFormat="1" ht="15.75" x14ac:dyDescent="0.2">
      <c r="B62" s="135" t="s">
        <v>125</v>
      </c>
      <c r="C62" s="99">
        <f>+C59+C60-C61</f>
        <v>217</v>
      </c>
      <c r="D62" s="99">
        <f>+D59+D60-D61</f>
        <v>238</v>
      </c>
      <c r="E62" s="99">
        <f t="shared" ref="E62:G62" si="17">+E59+E60-E61</f>
        <v>263</v>
      </c>
      <c r="F62" s="99">
        <f t="shared" si="17"/>
        <v>293</v>
      </c>
      <c r="G62" s="99">
        <f t="shared" si="17"/>
        <v>324</v>
      </c>
      <c r="H62" s="141">
        <f>+SUM(C62:G62)-SUM(C24:G24)</f>
        <v>0</v>
      </c>
    </row>
    <row r="63" spans="2:17" s="57" customFormat="1" ht="15" x14ac:dyDescent="0.2">
      <c r="B63" s="134" t="s">
        <v>142</v>
      </c>
      <c r="C63" s="80">
        <v>0</v>
      </c>
      <c r="D63" s="80">
        <v>0</v>
      </c>
      <c r="E63" s="80">
        <v>0</v>
      </c>
      <c r="F63" s="80">
        <v>0</v>
      </c>
      <c r="G63" s="80">
        <v>0</v>
      </c>
    </row>
    <row r="64" spans="2:17" s="57" customFormat="1" ht="13.9" customHeight="1" x14ac:dyDescent="0.2">
      <c r="B64" s="134" t="s">
        <v>143</v>
      </c>
      <c r="C64" s="80">
        <v>0</v>
      </c>
      <c r="D64" s="80">
        <v>0</v>
      </c>
      <c r="E64" s="80">
        <v>0</v>
      </c>
      <c r="F64" s="80">
        <v>0</v>
      </c>
      <c r="G64" s="80">
        <v>0</v>
      </c>
      <c r="J64" s="142"/>
      <c r="K64" s="142"/>
    </row>
    <row r="65" spans="2:11" s="57" customFormat="1" ht="15.75" x14ac:dyDescent="0.2">
      <c r="B65" s="135" t="s">
        <v>144</v>
      </c>
      <c r="C65" s="99">
        <f>C62+C63-C64</f>
        <v>217</v>
      </c>
      <c r="D65" s="99">
        <f t="shared" ref="D65:G65" si="18">D62+D63-D64</f>
        <v>238</v>
      </c>
      <c r="E65" s="99">
        <f t="shared" si="18"/>
        <v>263</v>
      </c>
      <c r="F65" s="99">
        <f t="shared" si="18"/>
        <v>293</v>
      </c>
      <c r="G65" s="99">
        <f t="shared" si="18"/>
        <v>324</v>
      </c>
      <c r="I65" s="142" t="s">
        <v>162</v>
      </c>
      <c r="J65" s="142"/>
      <c r="K65" s="142"/>
    </row>
    <row r="66" spans="2:11" s="57" customFormat="1" ht="30" x14ac:dyDescent="0.2">
      <c r="B66" s="86" t="s">
        <v>247</v>
      </c>
      <c r="C66" s="88">
        <f>C36/C65</f>
        <v>143313.70967741936</v>
      </c>
      <c r="D66" s="88">
        <f>D36/D65</f>
        <v>149340.89419117649</v>
      </c>
      <c r="E66" s="88">
        <f>E36/E65</f>
        <v>154159.8920339249</v>
      </c>
      <c r="F66" s="88">
        <f>F36/F65</f>
        <v>157692.83689068054</v>
      </c>
      <c r="G66" s="88">
        <f>G36/G65</f>
        <v>162355.72647040637</v>
      </c>
      <c r="I66" s="100"/>
      <c r="J66" s="100"/>
      <c r="K66" s="100"/>
    </row>
    <row r="67" spans="2:11" s="57" customFormat="1" ht="31.5" x14ac:dyDescent="0.2">
      <c r="B67" s="140" t="s">
        <v>145</v>
      </c>
      <c r="C67" s="101">
        <f>C65*C66</f>
        <v>31099075</v>
      </c>
      <c r="D67" s="101">
        <f t="shared" ref="D67:G67" si="19">D65*D66</f>
        <v>35543132.817500003</v>
      </c>
      <c r="E67" s="101">
        <f t="shared" si="19"/>
        <v>40544051.60492225</v>
      </c>
      <c r="F67" s="101">
        <f t="shared" si="19"/>
        <v>46204001.208969399</v>
      </c>
      <c r="G67" s="101">
        <f t="shared" si="19"/>
        <v>52603255.376411662</v>
      </c>
      <c r="J67" s="83"/>
      <c r="K67" s="83"/>
    </row>
    <row r="68" spans="2:11" s="57" customFormat="1" ht="15" x14ac:dyDescent="0.2">
      <c r="B68" s="134" t="s">
        <v>127</v>
      </c>
      <c r="C68" s="88">
        <f>C35</f>
        <v>432812.03697195475</v>
      </c>
      <c r="D68" s="88">
        <f>D35</f>
        <v>495115.11110212974</v>
      </c>
      <c r="E68" s="88">
        <f>E35</f>
        <v>565248.84794081666</v>
      </c>
      <c r="F68" s="88">
        <f>F35</f>
        <v>644157.5871133547</v>
      </c>
      <c r="G68" s="88">
        <f>G35</f>
        <v>732363.25671239931</v>
      </c>
      <c r="I68" s="83" t="s">
        <v>185</v>
      </c>
      <c r="J68" s="83"/>
      <c r="K68" s="83"/>
    </row>
    <row r="69" spans="2:11" s="57" customFormat="1" ht="15" x14ac:dyDescent="0.2">
      <c r="B69" s="134" t="s">
        <v>129</v>
      </c>
      <c r="C69" s="88">
        <f>C37</f>
        <v>0</v>
      </c>
      <c r="D69" s="88">
        <f>D37</f>
        <v>432812.03697195475</v>
      </c>
      <c r="E69" s="88">
        <f>E37</f>
        <v>495115.11110212974</v>
      </c>
      <c r="F69" s="88">
        <f>F37</f>
        <v>565248.84794081666</v>
      </c>
      <c r="G69" s="88">
        <f>G37</f>
        <v>644157.5871133547</v>
      </c>
      <c r="I69" s="83"/>
      <c r="J69" s="83"/>
      <c r="K69" s="83"/>
    </row>
    <row r="70" spans="2:11" s="57" customFormat="1" ht="13.9" customHeight="1" x14ac:dyDescent="0.2">
      <c r="B70" s="140" t="s">
        <v>146</v>
      </c>
      <c r="C70" s="101">
        <f>C67+C68-C69</f>
        <v>31531887.036971956</v>
      </c>
      <c r="D70" s="101">
        <f t="shared" ref="D70:G70" si="20">D67+D68-D69</f>
        <v>35605435.891630173</v>
      </c>
      <c r="E70" s="101">
        <f t="shared" si="20"/>
        <v>40614185.341760941</v>
      </c>
      <c r="F70" s="101">
        <f t="shared" si="20"/>
        <v>46282909.94814194</v>
      </c>
      <c r="G70" s="101">
        <f t="shared" si="20"/>
        <v>52691461.046010703</v>
      </c>
      <c r="J70" s="83" t="s">
        <v>241</v>
      </c>
      <c r="K70" s="83"/>
    </row>
    <row r="71" spans="2:11" s="57" customFormat="1" ht="15" x14ac:dyDescent="0.2">
      <c r="C71" s="102"/>
      <c r="D71" s="102"/>
      <c r="E71" s="102"/>
      <c r="F71" s="102"/>
      <c r="G71" s="102"/>
      <c r="J71" s="83"/>
      <c r="K71" s="83"/>
    </row>
    <row r="72" spans="2:11" s="57" customFormat="1" ht="15" x14ac:dyDescent="0.2">
      <c r="J72" s="83"/>
      <c r="K72" s="83"/>
    </row>
    <row r="73" spans="2:11" s="57" customFormat="1" ht="15" x14ac:dyDescent="0.2"/>
  </sheetData>
  <mergeCells count="16">
    <mergeCell ref="B3:G3"/>
    <mergeCell ref="B17:G17"/>
    <mergeCell ref="B50:D50"/>
    <mergeCell ref="B26:G26"/>
    <mergeCell ref="B57:G57"/>
    <mergeCell ref="B40:E40"/>
    <mergeCell ref="B52:E52"/>
    <mergeCell ref="B33:G33"/>
    <mergeCell ref="B9:D9"/>
    <mergeCell ref="B10:D10"/>
    <mergeCell ref="K44:O44"/>
    <mergeCell ref="K45:O45"/>
    <mergeCell ref="B12:G12"/>
    <mergeCell ref="B15:D15"/>
    <mergeCell ref="B19:G19"/>
    <mergeCell ref="B13:G13"/>
  </mergeCells>
  <pageMargins left="0.7" right="0.7" top="0.75" bottom="0.75" header="0.3" footer="0.3"/>
  <ignoredErrors>
    <ignoredError sqref="D67:G67" formula="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6492-E664-4C8F-8A72-BEE65CD4E79D}">
  <dimension ref="B3:I40"/>
  <sheetViews>
    <sheetView showGridLines="0" zoomScaleNormal="100" workbookViewId="0">
      <selection activeCell="B3" sqref="B3:G3"/>
    </sheetView>
  </sheetViews>
  <sheetFormatPr baseColWidth="10" defaultColWidth="11.5703125" defaultRowHeight="14.25" x14ac:dyDescent="0.2"/>
  <cols>
    <col min="1" max="1" width="11.85546875" style="2" customWidth="1"/>
    <col min="2" max="2" width="36.7109375" style="2" customWidth="1"/>
    <col min="3" max="7" width="16.7109375" style="2" customWidth="1"/>
    <col min="8" max="8" width="6.7109375" style="2" customWidth="1"/>
    <col min="9" max="9" width="7.5703125" style="2" customWidth="1"/>
    <col min="10" max="16384" width="11.5703125" style="2"/>
  </cols>
  <sheetData>
    <row r="3" spans="2:8" ht="50.25" customHeight="1" x14ac:dyDescent="0.2">
      <c r="B3" s="207" t="s">
        <v>2292</v>
      </c>
      <c r="C3" s="207"/>
      <c r="D3" s="207"/>
      <c r="E3" s="207"/>
      <c r="F3" s="207"/>
      <c r="G3" s="207"/>
      <c r="H3" s="54"/>
    </row>
    <row r="4" spans="2:8" ht="15" x14ac:dyDescent="0.25">
      <c r="B4" s="3"/>
    </row>
    <row r="5" spans="2:8" s="57" customFormat="1" ht="15.75" x14ac:dyDescent="0.2">
      <c r="B5" s="83"/>
      <c r="C5" s="153">
        <v>2025</v>
      </c>
      <c r="D5" s="153">
        <v>2026</v>
      </c>
      <c r="E5" s="153">
        <v>2027</v>
      </c>
      <c r="F5" s="153">
        <v>2028</v>
      </c>
      <c r="G5" s="153">
        <v>2029</v>
      </c>
    </row>
    <row r="6" spans="2:8" s="57" customFormat="1" ht="15.75" x14ac:dyDescent="0.2">
      <c r="B6" s="71" t="s">
        <v>17</v>
      </c>
      <c r="C6" s="88">
        <f>'Datos base'!C34</f>
        <v>1423500</v>
      </c>
      <c r="D6" s="88">
        <f>'Datos base'!D34</f>
        <v>1479016.5</v>
      </c>
      <c r="E6" s="88">
        <f>'Datos base'!E34</f>
        <v>1533740.1105</v>
      </c>
      <c r="F6" s="88">
        <f>'Datos base'!F34</f>
        <v>1588954.7544780001</v>
      </c>
      <c r="G6" s="88">
        <f>'Datos base'!G34</f>
        <v>1644568.1708847301</v>
      </c>
    </row>
    <row r="7" spans="2:8" s="57" customFormat="1" ht="15.75" x14ac:dyDescent="0.2">
      <c r="B7" s="71" t="s">
        <v>148</v>
      </c>
      <c r="C7" s="88">
        <f>'Datos base'!C35</f>
        <v>200000</v>
      </c>
      <c r="D7" s="88">
        <f>'Datos base'!D35</f>
        <v>207799.99999999997</v>
      </c>
      <c r="E7" s="88">
        <f>'Datos base'!E35</f>
        <v>215488.59999999995</v>
      </c>
      <c r="F7" s="88">
        <f>'Datos base'!F35</f>
        <v>223246.18959999995</v>
      </c>
      <c r="G7" s="88">
        <f>'Datos base'!G35</f>
        <v>231059.80623599995</v>
      </c>
    </row>
    <row r="8" spans="2:8" s="57" customFormat="1" ht="15.75" x14ac:dyDescent="0.2">
      <c r="B8" s="71" t="s">
        <v>1</v>
      </c>
      <c r="C8" s="75">
        <f>'Datos base'!C33</f>
        <v>4.2999999999999997E-2</v>
      </c>
      <c r="D8" s="75">
        <f>'Datos base'!D33</f>
        <v>3.9E-2</v>
      </c>
      <c r="E8" s="75">
        <f>'Datos base'!E33</f>
        <v>3.6999999999999998E-2</v>
      </c>
      <c r="F8" s="75">
        <f>'Datos base'!F33</f>
        <v>3.5999999999999997E-2</v>
      </c>
      <c r="G8" s="75">
        <f>'Datos base'!G33</f>
        <v>3.5000000000000003E-2</v>
      </c>
    </row>
    <row r="9" spans="2:8" s="57" customFormat="1" ht="15" x14ac:dyDescent="0.2"/>
    <row r="10" spans="2:8" s="57" customFormat="1" ht="27" customHeight="1" x14ac:dyDescent="0.2">
      <c r="B10" s="245" t="s">
        <v>260</v>
      </c>
      <c r="C10" s="245"/>
      <c r="D10" s="245"/>
      <c r="E10" s="245"/>
      <c r="F10" s="245"/>
      <c r="G10" s="245"/>
    </row>
    <row r="11" spans="2:8" s="57" customFormat="1" ht="15.75" x14ac:dyDescent="0.25">
      <c r="B11" s="73"/>
    </row>
    <row r="12" spans="2:8" s="57" customFormat="1" ht="15.75" x14ac:dyDescent="0.2">
      <c r="B12" s="228" t="s">
        <v>149</v>
      </c>
      <c r="C12" s="235"/>
      <c r="D12" s="55" t="s">
        <v>150</v>
      </c>
    </row>
    <row r="13" spans="2:8" s="57" customFormat="1" ht="15" x14ac:dyDescent="0.2">
      <c r="B13" s="246" t="s">
        <v>151</v>
      </c>
      <c r="C13" s="247"/>
      <c r="D13" s="125">
        <f>'Datos base'!E44</f>
        <v>8.3333333333333329E-2</v>
      </c>
    </row>
    <row r="14" spans="2:8" s="57" customFormat="1" ht="15" x14ac:dyDescent="0.2">
      <c r="B14" s="246" t="s">
        <v>156</v>
      </c>
      <c r="C14" s="247"/>
      <c r="D14" s="127">
        <f>'Datos base'!E45</f>
        <v>0.12</v>
      </c>
    </row>
    <row r="15" spans="2:8" s="57" customFormat="1" ht="15" x14ac:dyDescent="0.2">
      <c r="B15" s="246" t="s">
        <v>21</v>
      </c>
      <c r="C15" s="247"/>
      <c r="D15" s="125">
        <f>'Datos base'!E46</f>
        <v>8.3333333333333329E-2</v>
      </c>
    </row>
    <row r="16" spans="2:8" s="57" customFormat="1" ht="15" x14ac:dyDescent="0.2">
      <c r="B16" s="246" t="s">
        <v>20</v>
      </c>
      <c r="C16" s="247"/>
      <c r="D16" s="128">
        <f>'Datos base'!E47</f>
        <v>4.1666666666666664E-2</v>
      </c>
    </row>
    <row r="17" spans="2:7" s="57" customFormat="1" ht="15" x14ac:dyDescent="0.2">
      <c r="B17" s="246" t="s">
        <v>22</v>
      </c>
      <c r="C17" s="247"/>
      <c r="D17" s="125">
        <f>'Datos base'!E48</f>
        <v>8.5000000000000006E-2</v>
      </c>
    </row>
    <row r="18" spans="2:7" s="57" customFormat="1" ht="15" x14ac:dyDescent="0.2">
      <c r="B18" s="246" t="s">
        <v>152</v>
      </c>
      <c r="C18" s="247"/>
      <c r="D18" s="127">
        <f>'Datos base'!E49</f>
        <v>0.12</v>
      </c>
    </row>
    <row r="19" spans="2:7" s="57" customFormat="1" ht="15" x14ac:dyDescent="0.2">
      <c r="B19" s="246" t="s">
        <v>155</v>
      </c>
      <c r="C19" s="247"/>
      <c r="D19" s="127">
        <f>'Datos base'!E50</f>
        <v>0.04</v>
      </c>
    </row>
    <row r="20" spans="2:7" s="57" customFormat="1" ht="15" x14ac:dyDescent="0.2">
      <c r="B20" s="246" t="s">
        <v>153</v>
      </c>
      <c r="C20" s="247"/>
      <c r="D20" s="129">
        <f>'Datos base'!E51</f>
        <v>2.436E-2</v>
      </c>
    </row>
    <row r="21" spans="2:7" s="57" customFormat="1" ht="15" x14ac:dyDescent="0.2"/>
    <row r="22" spans="2:7" s="57" customFormat="1" ht="39.75" customHeight="1" x14ac:dyDescent="0.2">
      <c r="B22" s="224" t="s">
        <v>2302</v>
      </c>
      <c r="C22" s="224"/>
      <c r="D22" s="224"/>
      <c r="E22" s="224"/>
      <c r="F22" s="224"/>
      <c r="G22" s="224"/>
    </row>
    <row r="23" spans="2:7" s="57" customFormat="1" ht="15" x14ac:dyDescent="0.2"/>
    <row r="24" spans="2:7" s="57" customFormat="1" ht="16.899999999999999" customHeight="1" x14ac:dyDescent="0.2">
      <c r="B24" s="227" t="s">
        <v>2304</v>
      </c>
      <c r="C24" s="227"/>
      <c r="D24" s="227"/>
      <c r="E24" s="227"/>
      <c r="F24" s="227"/>
      <c r="G24" s="227"/>
    </row>
    <row r="25" spans="2:7" s="57" customFormat="1" ht="15.75" x14ac:dyDescent="0.25">
      <c r="B25" s="71" t="s">
        <v>116</v>
      </c>
      <c r="C25" s="64">
        <v>2025</v>
      </c>
      <c r="D25" s="64">
        <v>2026</v>
      </c>
      <c r="E25" s="64">
        <v>2027</v>
      </c>
      <c r="F25" s="64">
        <v>2028</v>
      </c>
      <c r="G25" s="64">
        <v>2029</v>
      </c>
    </row>
    <row r="26" spans="2:7" s="57" customFormat="1" ht="15" x14ac:dyDescent="0.2">
      <c r="B26" s="68" t="s">
        <v>17</v>
      </c>
      <c r="C26" s="66">
        <f t="shared" ref="C26:G27" si="0">C6*3*12</f>
        <v>51246000</v>
      </c>
      <c r="D26" s="66">
        <f t="shared" si="0"/>
        <v>53244594</v>
      </c>
      <c r="E26" s="66">
        <f t="shared" si="0"/>
        <v>55214643.977999993</v>
      </c>
      <c r="F26" s="66">
        <f t="shared" si="0"/>
        <v>57202371.161208004</v>
      </c>
      <c r="G26" s="66">
        <f t="shared" si="0"/>
        <v>59204454.151850283</v>
      </c>
    </row>
    <row r="27" spans="2:7" s="57" customFormat="1" ht="15" x14ac:dyDescent="0.2">
      <c r="B27" s="68" t="s">
        <v>148</v>
      </c>
      <c r="C27" s="66">
        <f t="shared" si="0"/>
        <v>7200000</v>
      </c>
      <c r="D27" s="66">
        <f t="shared" si="0"/>
        <v>7480799.9999999981</v>
      </c>
      <c r="E27" s="66">
        <f t="shared" si="0"/>
        <v>7757589.5999999978</v>
      </c>
      <c r="F27" s="66">
        <f t="shared" si="0"/>
        <v>8036862.8255999982</v>
      </c>
      <c r="G27" s="66">
        <f t="shared" si="0"/>
        <v>8318153.0244959984</v>
      </c>
    </row>
    <row r="28" spans="2:7" s="57" customFormat="1" ht="15" x14ac:dyDescent="0.2">
      <c r="B28" s="68" t="s">
        <v>18</v>
      </c>
      <c r="C28" s="66">
        <v>1200000</v>
      </c>
      <c r="D28" s="66">
        <f>C28*(1+D8)</f>
        <v>1246800</v>
      </c>
      <c r="E28" s="66">
        <f>D28*(1+E8)</f>
        <v>1292931.5999999999</v>
      </c>
      <c r="F28" s="66">
        <f>E28*(1+F8)</f>
        <v>1339477.1375999998</v>
      </c>
      <c r="G28" s="66">
        <f>F28*(1+G8)</f>
        <v>1386358.8374159997</v>
      </c>
    </row>
    <row r="29" spans="2:7" s="57" customFormat="1" ht="15" x14ac:dyDescent="0.2">
      <c r="B29" s="68" t="s">
        <v>151</v>
      </c>
      <c r="C29" s="66">
        <f>(C26+C27)*$D$13</f>
        <v>4870500</v>
      </c>
      <c r="D29" s="66">
        <f>(D26+D27)*$D$13</f>
        <v>5060449.5</v>
      </c>
      <c r="E29" s="66">
        <f>(E26+E27)*$D$13</f>
        <v>5247686.1314999992</v>
      </c>
      <c r="F29" s="66">
        <f>(F26+F27)*$D$13</f>
        <v>5436602.8322339999</v>
      </c>
      <c r="G29" s="66">
        <f>(G26+G27)*$D$13</f>
        <v>5626883.9313621903</v>
      </c>
    </row>
    <row r="30" spans="2:7" s="57" customFormat="1" ht="15" x14ac:dyDescent="0.2">
      <c r="B30" s="68" t="s">
        <v>19</v>
      </c>
      <c r="C30" s="66">
        <f>C29*$D$14</f>
        <v>584460</v>
      </c>
      <c r="D30" s="66">
        <f t="shared" ref="D30:G30" si="1">D29*$D$14</f>
        <v>607253.93999999994</v>
      </c>
      <c r="E30" s="66">
        <f t="shared" si="1"/>
        <v>629722.33577999985</v>
      </c>
      <c r="F30" s="66">
        <f t="shared" si="1"/>
        <v>652392.33986807999</v>
      </c>
      <c r="G30" s="66">
        <f t="shared" si="1"/>
        <v>675226.07176346285</v>
      </c>
    </row>
    <row r="31" spans="2:7" s="57" customFormat="1" ht="15" x14ac:dyDescent="0.2">
      <c r="B31" s="68" t="s">
        <v>21</v>
      </c>
      <c r="C31" s="66">
        <f>(C26+C27)*$D$15</f>
        <v>4870500</v>
      </c>
      <c r="D31" s="66">
        <f>(D26+D27)*$D$15</f>
        <v>5060449.5</v>
      </c>
      <c r="E31" s="66">
        <f>(E26+E27)*$D$15</f>
        <v>5247686.1314999992</v>
      </c>
      <c r="F31" s="66">
        <f>(F26+F27)*$D$15</f>
        <v>5436602.8322339999</v>
      </c>
      <c r="G31" s="66">
        <f>(G26+G27)*$D$15</f>
        <v>5626883.9313621903</v>
      </c>
    </row>
    <row r="32" spans="2:7" s="57" customFormat="1" ht="15" x14ac:dyDescent="0.2">
      <c r="B32" s="68" t="s">
        <v>20</v>
      </c>
      <c r="C32" s="66">
        <f>C26*$D$16</f>
        <v>2135250</v>
      </c>
      <c r="D32" s="66">
        <f>D26*$D$16</f>
        <v>2218524.75</v>
      </c>
      <c r="E32" s="66">
        <f>E26*$D$16</f>
        <v>2300610.1657499997</v>
      </c>
      <c r="F32" s="66">
        <f>F26*$D$16</f>
        <v>2383432.1317170002</v>
      </c>
      <c r="G32" s="66">
        <f>G26*$D$16</f>
        <v>2466852.256327095</v>
      </c>
    </row>
    <row r="33" spans="2:9" s="57" customFormat="1" ht="15" x14ac:dyDescent="0.2">
      <c r="B33" s="68" t="s">
        <v>22</v>
      </c>
      <c r="C33" s="66">
        <f>C26*$D$17</f>
        <v>4355910</v>
      </c>
      <c r="D33" s="66">
        <f t="shared" ref="D33:G33" si="2">D26*$D$17</f>
        <v>4525790.49</v>
      </c>
      <c r="E33" s="66">
        <f t="shared" si="2"/>
        <v>4693244.7381299995</v>
      </c>
      <c r="F33" s="66">
        <f t="shared" si="2"/>
        <v>4862201.5487026805</v>
      </c>
      <c r="G33" s="66">
        <f t="shared" si="2"/>
        <v>5032378.6029072748</v>
      </c>
    </row>
    <row r="34" spans="2:9" s="57" customFormat="1" ht="15" x14ac:dyDescent="0.2">
      <c r="B34" s="68" t="s">
        <v>23</v>
      </c>
      <c r="C34" s="66">
        <f>C26*$D$18</f>
        <v>6149520</v>
      </c>
      <c r="D34" s="66">
        <f t="shared" ref="D34:G34" si="3">D26*$D$18</f>
        <v>6389351.2799999993</v>
      </c>
      <c r="E34" s="66">
        <f t="shared" si="3"/>
        <v>6625757.2773599988</v>
      </c>
      <c r="F34" s="66">
        <f t="shared" si="3"/>
        <v>6864284.5393449599</v>
      </c>
      <c r="G34" s="66">
        <f t="shared" si="3"/>
        <v>7104534.4982220335</v>
      </c>
    </row>
    <row r="35" spans="2:9" s="57" customFormat="1" ht="15" x14ac:dyDescent="0.2">
      <c r="B35" s="68" t="s">
        <v>155</v>
      </c>
      <c r="C35" s="66">
        <f>C26*$D$19</f>
        <v>2049840</v>
      </c>
      <c r="D35" s="66">
        <f t="shared" ref="D35:F35" si="4">D26*$D$19</f>
        <v>2129783.7600000002</v>
      </c>
      <c r="E35" s="66">
        <f t="shared" si="4"/>
        <v>2208585.7591199996</v>
      </c>
      <c r="F35" s="66">
        <f t="shared" si="4"/>
        <v>2288094.8464483204</v>
      </c>
      <c r="G35" s="66">
        <f>G26*$D$19</f>
        <v>2368178.1660740115</v>
      </c>
    </row>
    <row r="36" spans="2:9" s="57" customFormat="1" ht="15" x14ac:dyDescent="0.2">
      <c r="B36" s="68" t="s">
        <v>24</v>
      </c>
      <c r="C36" s="66">
        <f>C26*$D$20</f>
        <v>1248352.56</v>
      </c>
      <c r="D36" s="66">
        <f t="shared" ref="D36:F36" si="5">D26*$D$20</f>
        <v>1297038.30984</v>
      </c>
      <c r="E36" s="66">
        <f t="shared" si="5"/>
        <v>1345028.7273040798</v>
      </c>
      <c r="F36" s="66">
        <f t="shared" si="5"/>
        <v>1393449.7614870269</v>
      </c>
      <c r="G36" s="66">
        <f>G26*$D$20</f>
        <v>1442220.5031390728</v>
      </c>
    </row>
    <row r="37" spans="2:9" s="57" customFormat="1" ht="15" customHeight="1" x14ac:dyDescent="0.2">
      <c r="B37" s="68" t="s">
        <v>157</v>
      </c>
      <c r="C37" s="66">
        <v>0</v>
      </c>
      <c r="D37" s="66">
        <v>0</v>
      </c>
      <c r="E37" s="66">
        <v>0</v>
      </c>
      <c r="F37" s="66">
        <v>0</v>
      </c>
      <c r="G37" s="66">
        <v>0</v>
      </c>
    </row>
    <row r="38" spans="2:9" s="57" customFormat="1" ht="15.75" x14ac:dyDescent="0.25">
      <c r="B38" s="65" t="s">
        <v>12</v>
      </c>
      <c r="C38" s="133">
        <f>SUM(C26:C37)</f>
        <v>85910332.560000002</v>
      </c>
      <c r="D38" s="133">
        <f t="shared" ref="D38:G38" si="6">SUM(D26:D37)</f>
        <v>89260835.529839993</v>
      </c>
      <c r="E38" s="133">
        <f t="shared" si="6"/>
        <v>92563486.444444075</v>
      </c>
      <c r="F38" s="133">
        <f t="shared" si="6"/>
        <v>95895771.95644407</v>
      </c>
      <c r="G38" s="133">
        <f t="shared" si="6"/>
        <v>99252123.974919617</v>
      </c>
      <c r="I38" s="57" t="s">
        <v>183</v>
      </c>
    </row>
    <row r="39" spans="2:9" s="57" customFormat="1" ht="15" x14ac:dyDescent="0.2">
      <c r="C39" s="102"/>
      <c r="D39" s="102"/>
      <c r="E39" s="102"/>
      <c r="F39" s="102"/>
      <c r="G39" s="102"/>
    </row>
    <row r="40" spans="2:9" s="57" customFormat="1" ht="15" x14ac:dyDescent="0.2"/>
  </sheetData>
  <mergeCells count="13">
    <mergeCell ref="B3:G3"/>
    <mergeCell ref="B24:G24"/>
    <mergeCell ref="B10:G10"/>
    <mergeCell ref="B22:G22"/>
    <mergeCell ref="B12:C12"/>
    <mergeCell ref="B13:C13"/>
    <mergeCell ref="B14:C14"/>
    <mergeCell ref="B20:C20"/>
    <mergeCell ref="B15:C15"/>
    <mergeCell ref="B16:C16"/>
    <mergeCell ref="B17:C17"/>
    <mergeCell ref="B18:C18"/>
    <mergeCell ref="B19:C19"/>
  </mergeCells>
  <hyperlinks>
    <hyperlink ref="B22:G22" r:id="rId1" location="108" display="Nota: para este caso no se contempla Sena e ICBF conforme a lo estipulado en el parágrafo III del artículo 108 del ET." xr:uid="{99BBCC6E-92A0-4775-BC71-782D6557DD44}"/>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D6FA1-F8F9-4AB9-98D1-0CA4347315A4}">
  <dimension ref="B3:J40"/>
  <sheetViews>
    <sheetView showGridLines="0" workbookViewId="0">
      <selection activeCell="B3" sqref="B3:G3"/>
    </sheetView>
  </sheetViews>
  <sheetFormatPr baseColWidth="10" defaultColWidth="11.5703125" defaultRowHeight="14.25" x14ac:dyDescent="0.2"/>
  <cols>
    <col min="1" max="1" width="11.7109375" style="2" customWidth="1"/>
    <col min="2" max="7" width="25.140625" style="2" customWidth="1"/>
    <col min="8" max="8" width="6.28515625" style="2" customWidth="1"/>
    <col min="9" max="9" width="9.28515625" style="2" customWidth="1"/>
    <col min="10" max="10" width="12.140625" style="2" bestFit="1" customWidth="1"/>
    <col min="11" max="16384" width="11.5703125" style="2"/>
  </cols>
  <sheetData>
    <row r="3" spans="2:8" ht="28.5" customHeight="1" x14ac:dyDescent="0.2">
      <c r="B3" s="207" t="s">
        <v>2293</v>
      </c>
      <c r="C3" s="207"/>
      <c r="D3" s="207"/>
      <c r="E3" s="207"/>
      <c r="F3" s="207"/>
      <c r="G3" s="207"/>
      <c r="H3" s="54"/>
    </row>
    <row r="4" spans="2:8" ht="15" x14ac:dyDescent="0.25">
      <c r="B4" s="3"/>
    </row>
    <row r="5" spans="2:8" s="57" customFormat="1" ht="46.15" customHeight="1" x14ac:dyDescent="0.2">
      <c r="B5" s="55" t="s">
        <v>30</v>
      </c>
      <c r="C5" s="55" t="s">
        <v>158</v>
      </c>
      <c r="D5" s="56" t="s">
        <v>29</v>
      </c>
      <c r="E5" s="56" t="s">
        <v>256</v>
      </c>
      <c r="F5" s="104"/>
      <c r="G5" s="104"/>
    </row>
    <row r="6" spans="2:8" s="57" customFormat="1" ht="15" x14ac:dyDescent="0.2">
      <c r="B6" s="88" t="str">
        <f>'Datos base'!B59</f>
        <v>Arrendamiento</v>
      </c>
      <c r="C6" s="59">
        <f>'Datos base'!C59</f>
        <v>18000000</v>
      </c>
      <c r="D6" s="127">
        <f>'Datos base'!D59</f>
        <v>0.75</v>
      </c>
      <c r="E6" s="59">
        <f>C6*D6</f>
        <v>13500000</v>
      </c>
      <c r="F6" s="104"/>
      <c r="G6" s="104"/>
    </row>
    <row r="7" spans="2:8" s="57" customFormat="1" ht="15" x14ac:dyDescent="0.2">
      <c r="B7" s="88" t="str">
        <f>'Datos base'!B60</f>
        <v>Servicios públicos</v>
      </c>
      <c r="C7" s="59">
        <f>'Datos base'!C60</f>
        <v>12000000</v>
      </c>
      <c r="D7" s="127">
        <f>'Datos base'!D60</f>
        <v>0.6</v>
      </c>
      <c r="E7" s="59">
        <f t="shared" ref="E7:E9" si="0">C7*D7</f>
        <v>7200000</v>
      </c>
      <c r="F7" s="104"/>
      <c r="G7" s="104"/>
    </row>
    <row r="8" spans="2:8" s="57" customFormat="1" ht="15" x14ac:dyDescent="0.2">
      <c r="B8" s="88" t="str">
        <f>'Datos base'!B61</f>
        <v>Papelería</v>
      </c>
      <c r="C8" s="59">
        <f>'Datos base'!C61</f>
        <v>1000000</v>
      </c>
      <c r="D8" s="127">
        <f>'Datos base'!D61</f>
        <v>0.6</v>
      </c>
      <c r="E8" s="59">
        <f t="shared" si="0"/>
        <v>600000</v>
      </c>
      <c r="F8" s="104"/>
      <c r="G8" s="104"/>
    </row>
    <row r="9" spans="2:8" s="57" customFormat="1" ht="15" x14ac:dyDescent="0.2">
      <c r="B9" s="88" t="str">
        <f>'Datos base'!B62</f>
        <v>Aseo y mantenimiento</v>
      </c>
      <c r="C9" s="59">
        <f>'Datos base'!C62</f>
        <v>6000000</v>
      </c>
      <c r="D9" s="127">
        <f>'Datos base'!D62</f>
        <v>0.6</v>
      </c>
      <c r="E9" s="59">
        <f t="shared" si="0"/>
        <v>3600000</v>
      </c>
      <c r="F9" s="104"/>
      <c r="G9" s="104"/>
    </row>
    <row r="10" spans="2:8" s="57" customFormat="1" ht="15.75" x14ac:dyDescent="0.25">
      <c r="B10" s="73"/>
      <c r="C10" s="150"/>
      <c r="D10" s="150"/>
      <c r="E10" s="150"/>
      <c r="F10" s="104"/>
      <c r="G10" s="104"/>
    </row>
    <row r="11" spans="2:8" s="57" customFormat="1" ht="15.75" x14ac:dyDescent="0.25">
      <c r="B11" s="105" t="s">
        <v>116</v>
      </c>
      <c r="C11" s="64">
        <v>2025</v>
      </c>
      <c r="D11" s="64">
        <v>2026</v>
      </c>
      <c r="E11" s="64">
        <v>2027</v>
      </c>
      <c r="F11" s="64">
        <v>2028</v>
      </c>
      <c r="G11" s="64">
        <v>2029</v>
      </c>
    </row>
    <row r="12" spans="2:8" s="57" customFormat="1" ht="15" x14ac:dyDescent="0.2">
      <c r="B12" s="82" t="s">
        <v>1</v>
      </c>
      <c r="C12" s="125">
        <f>'Datos base'!C33</f>
        <v>4.2999999999999997E-2</v>
      </c>
      <c r="D12" s="125">
        <f>'Datos base'!D33</f>
        <v>3.9E-2</v>
      </c>
      <c r="E12" s="125">
        <f>'Datos base'!E33</f>
        <v>3.6999999999999998E-2</v>
      </c>
      <c r="F12" s="125">
        <f>'Datos base'!F33</f>
        <v>3.5999999999999997E-2</v>
      </c>
      <c r="G12" s="125">
        <f>'Datos base'!G33</f>
        <v>3.5000000000000003E-2</v>
      </c>
    </row>
    <row r="13" spans="2:8" s="57" customFormat="1" ht="15" x14ac:dyDescent="0.2">
      <c r="B13" s="82" t="s">
        <v>2299</v>
      </c>
      <c r="C13" s="59">
        <f>'Datos base'!C65</f>
        <v>10000</v>
      </c>
      <c r="D13" s="59">
        <f>C13*(1+D12)</f>
        <v>10390</v>
      </c>
      <c r="E13" s="59">
        <f>D13*(1+E12)</f>
        <v>10774.429999999998</v>
      </c>
      <c r="F13" s="59">
        <f>E13*(1+F12)</f>
        <v>11162.309479999998</v>
      </c>
      <c r="G13" s="59">
        <f>F13*(1+G12)</f>
        <v>11552.990311799997</v>
      </c>
    </row>
    <row r="14" spans="2:8" s="57" customFormat="1" ht="15" x14ac:dyDescent="0.2">
      <c r="B14" s="82" t="s">
        <v>187</v>
      </c>
      <c r="C14" s="59">
        <f>'Ppto Producción'!C65</f>
        <v>217</v>
      </c>
      <c r="D14" s="59">
        <f>'Ppto Producción'!D65</f>
        <v>238</v>
      </c>
      <c r="E14" s="59">
        <f>'Ppto Producción'!E65</f>
        <v>263</v>
      </c>
      <c r="F14" s="59">
        <f>'Ppto Producción'!F65</f>
        <v>293</v>
      </c>
      <c r="G14" s="59">
        <f>'Ppto Producción'!G65</f>
        <v>324</v>
      </c>
      <c r="H14" s="85"/>
    </row>
    <row r="15" spans="2:8" s="57" customFormat="1" ht="15" x14ac:dyDescent="0.2">
      <c r="C15" s="102"/>
      <c r="D15" s="102"/>
      <c r="E15" s="102"/>
      <c r="F15" s="102"/>
      <c r="G15" s="102"/>
      <c r="H15" s="85"/>
    </row>
    <row r="16" spans="2:8" s="57" customFormat="1" ht="77.25" customHeight="1" x14ac:dyDescent="0.2">
      <c r="B16" s="56" t="s">
        <v>84</v>
      </c>
      <c r="C16" s="56" t="s">
        <v>230</v>
      </c>
      <c r="D16" s="56" t="s">
        <v>227</v>
      </c>
      <c r="E16" s="56" t="s">
        <v>239</v>
      </c>
      <c r="F16" s="56" t="s">
        <v>238</v>
      </c>
      <c r="G16" s="102"/>
      <c r="H16" s="85"/>
    </row>
    <row r="17" spans="2:10" s="57" customFormat="1" ht="15" x14ac:dyDescent="0.2">
      <c r="B17" s="88" t="str">
        <f>'Ppto inversión y plan pagos'!B10</f>
        <v>Edificio</v>
      </c>
      <c r="C17" s="59">
        <f>'Ppto inversión y plan pagos'!C10</f>
        <v>150000000</v>
      </c>
      <c r="D17" s="151">
        <f>'Datos base'!D68</f>
        <v>20</v>
      </c>
      <c r="E17" s="226">
        <f>'Datos base'!E68</f>
        <v>0.6</v>
      </c>
      <c r="F17" s="59">
        <f>(C17/D17)*$E$17</f>
        <v>4500000</v>
      </c>
      <c r="G17" s="102"/>
      <c r="H17" s="85"/>
    </row>
    <row r="18" spans="2:10" s="57" customFormat="1" ht="15" x14ac:dyDescent="0.2">
      <c r="B18" s="88" t="str">
        <f>'Ppto inversión y plan pagos'!B11</f>
        <v>Vehículo</v>
      </c>
      <c r="C18" s="59">
        <f>'Ppto inversión y plan pagos'!C11</f>
        <v>50000000</v>
      </c>
      <c r="D18" s="151">
        <f>'Datos base'!D69</f>
        <v>5</v>
      </c>
      <c r="E18" s="226"/>
      <c r="F18" s="59">
        <f t="shared" ref="F18:F21" si="1">(C18/D18)*$E$17</f>
        <v>6000000</v>
      </c>
      <c r="G18" s="102"/>
      <c r="H18" s="85"/>
    </row>
    <row r="19" spans="2:10" s="57" customFormat="1" ht="15" x14ac:dyDescent="0.2">
      <c r="B19" s="88" t="str">
        <f>'Ppto inversión y plan pagos'!B12</f>
        <v>Maquinaria y equipo</v>
      </c>
      <c r="C19" s="59">
        <f>'Ppto inversión y plan pagos'!C12</f>
        <v>24000000</v>
      </c>
      <c r="D19" s="151">
        <f>'Datos base'!D70</f>
        <v>10</v>
      </c>
      <c r="E19" s="226"/>
      <c r="F19" s="59">
        <f t="shared" si="1"/>
        <v>1440000</v>
      </c>
      <c r="G19" s="102"/>
      <c r="H19" s="85"/>
    </row>
    <row r="20" spans="2:10" s="57" customFormat="1" ht="15" x14ac:dyDescent="0.2">
      <c r="B20" s="88" t="str">
        <f>'Ppto inversión y plan pagos'!B13</f>
        <v>Equipos de cómputo</v>
      </c>
      <c r="C20" s="59">
        <f>'Ppto inversión y plan pagos'!C13</f>
        <v>6000000</v>
      </c>
      <c r="D20" s="151">
        <f>'Datos base'!D71</f>
        <v>3</v>
      </c>
      <c r="E20" s="226"/>
      <c r="F20" s="59">
        <f t="shared" si="1"/>
        <v>1200000</v>
      </c>
      <c r="G20" s="102"/>
      <c r="H20" s="85"/>
    </row>
    <row r="21" spans="2:10" s="57" customFormat="1" ht="15" x14ac:dyDescent="0.2">
      <c r="B21" s="88" t="str">
        <f>'Ppto inversión y plan pagos'!B14</f>
        <v>Muebles y enseres</v>
      </c>
      <c r="C21" s="59">
        <f>'Ppto inversión y plan pagos'!C14</f>
        <v>12000000</v>
      </c>
      <c r="D21" s="151">
        <f>'Datos base'!D72</f>
        <v>10</v>
      </c>
      <c r="E21" s="226"/>
      <c r="F21" s="59">
        <f t="shared" si="1"/>
        <v>720000</v>
      </c>
      <c r="G21" s="102"/>
      <c r="H21" s="85"/>
    </row>
    <row r="22" spans="2:10" s="57" customFormat="1" ht="15.75" x14ac:dyDescent="0.2">
      <c r="B22" s="143" t="s">
        <v>12</v>
      </c>
      <c r="C22" s="152">
        <f>SUM(C17:C21)</f>
        <v>242000000</v>
      </c>
      <c r="D22" s="58"/>
      <c r="E22" s="226"/>
      <c r="F22" s="152">
        <f>SUM(F17:F21)</f>
        <v>13860000</v>
      </c>
      <c r="G22" s="102"/>
      <c r="H22" s="106"/>
      <c r="I22" s="106"/>
    </row>
    <row r="23" spans="2:10" s="57" customFormat="1" ht="15" x14ac:dyDescent="0.2">
      <c r="E23" s="107"/>
      <c r="F23" s="102"/>
      <c r="G23" s="102"/>
      <c r="H23" s="85"/>
      <c r="I23" s="102"/>
      <c r="J23" s="102"/>
    </row>
    <row r="24" spans="2:10" s="57" customFormat="1" ht="15" x14ac:dyDescent="0.2">
      <c r="E24" s="107"/>
      <c r="F24" s="102"/>
      <c r="G24" s="102"/>
      <c r="H24" s="85"/>
    </row>
    <row r="25" spans="2:10" s="57" customFormat="1" ht="15" x14ac:dyDescent="0.2">
      <c r="C25" s="57" t="s">
        <v>226</v>
      </c>
      <c r="E25" s="107"/>
      <c r="F25" s="102"/>
      <c r="G25" s="102"/>
      <c r="H25" s="85"/>
      <c r="J25" s="102"/>
    </row>
    <row r="26" spans="2:10" s="57" customFormat="1" ht="15" x14ac:dyDescent="0.2">
      <c r="E26" s="107"/>
      <c r="F26" s="102"/>
      <c r="G26" s="102"/>
      <c r="H26" s="85"/>
    </row>
    <row r="27" spans="2:10" s="57" customFormat="1" ht="15.75" x14ac:dyDescent="0.25">
      <c r="B27" s="225" t="s">
        <v>2303</v>
      </c>
      <c r="C27" s="225"/>
      <c r="D27" s="225"/>
      <c r="E27" s="225"/>
      <c r="F27" s="225"/>
      <c r="G27" s="225"/>
    </row>
    <row r="28" spans="2:10" s="57" customFormat="1" ht="15.75" x14ac:dyDescent="0.25">
      <c r="B28" s="108" t="s">
        <v>116</v>
      </c>
      <c r="C28" s="109">
        <v>2025</v>
      </c>
      <c r="D28" s="109">
        <v>2026</v>
      </c>
      <c r="E28" s="109">
        <v>2027</v>
      </c>
      <c r="F28" s="109">
        <v>2028</v>
      </c>
      <c r="G28" s="109">
        <v>2029</v>
      </c>
    </row>
    <row r="29" spans="2:10" s="57" customFormat="1" ht="15.75" x14ac:dyDescent="0.2">
      <c r="B29" s="248" t="s">
        <v>30</v>
      </c>
      <c r="C29" s="249"/>
      <c r="D29" s="249"/>
      <c r="E29" s="249"/>
      <c r="F29" s="249"/>
      <c r="G29" s="250"/>
    </row>
    <row r="30" spans="2:10" s="57" customFormat="1" ht="15" x14ac:dyDescent="0.2">
      <c r="B30" s="144" t="s">
        <v>25</v>
      </c>
      <c r="C30" s="88">
        <f>E6</f>
        <v>13500000</v>
      </c>
      <c r="D30" s="88">
        <f>C30*(1+$D$12)</f>
        <v>14026499.999999998</v>
      </c>
      <c r="E30" s="88">
        <f>D30*(1+$E$12)</f>
        <v>14545480.499999996</v>
      </c>
      <c r="F30" s="88">
        <f>E30*(1+$F$12)</f>
        <v>15069117.797999997</v>
      </c>
      <c r="G30" s="88">
        <f>F30*(1+$G$12)</f>
        <v>15596536.920929996</v>
      </c>
    </row>
    <row r="31" spans="2:10" s="57" customFormat="1" ht="15" x14ac:dyDescent="0.2">
      <c r="B31" s="82" t="s">
        <v>26</v>
      </c>
      <c r="C31" s="88">
        <f t="shared" ref="C31:C33" si="2">E7</f>
        <v>7200000</v>
      </c>
      <c r="D31" s="88">
        <f>C31*(1+$D$12)</f>
        <v>7480799.9999999991</v>
      </c>
      <c r="E31" s="88">
        <f t="shared" ref="E31:E33" si="3">D31*(1+$E$12)</f>
        <v>7757589.5999999987</v>
      </c>
      <c r="F31" s="88">
        <f t="shared" ref="F31:F33" si="4">E31*(1+$F$12)</f>
        <v>8036862.8255999992</v>
      </c>
      <c r="G31" s="88">
        <f t="shared" ref="G31:G33" si="5">F31*(1+$G$12)</f>
        <v>8318153.0244959984</v>
      </c>
    </row>
    <row r="32" spans="2:10" s="57" customFormat="1" ht="15" x14ac:dyDescent="0.2">
      <c r="B32" s="82" t="s">
        <v>27</v>
      </c>
      <c r="C32" s="88">
        <f t="shared" si="2"/>
        <v>600000</v>
      </c>
      <c r="D32" s="88">
        <f>C32*(1+$D$12)</f>
        <v>623400</v>
      </c>
      <c r="E32" s="88">
        <f t="shared" si="3"/>
        <v>646465.79999999993</v>
      </c>
      <c r="F32" s="88">
        <f t="shared" si="4"/>
        <v>669738.56879999989</v>
      </c>
      <c r="G32" s="88">
        <f t="shared" si="5"/>
        <v>693179.41870799987</v>
      </c>
    </row>
    <row r="33" spans="2:10" s="57" customFormat="1" ht="15" x14ac:dyDescent="0.2">
      <c r="B33" s="82" t="s">
        <v>28</v>
      </c>
      <c r="C33" s="88">
        <f t="shared" si="2"/>
        <v>3600000</v>
      </c>
      <c r="D33" s="88">
        <f>C33*(1+$D$12)</f>
        <v>3740399.9999999995</v>
      </c>
      <c r="E33" s="88">
        <f t="shared" si="3"/>
        <v>3878794.7999999993</v>
      </c>
      <c r="F33" s="88">
        <f t="shared" si="4"/>
        <v>4018431.4127999996</v>
      </c>
      <c r="G33" s="88">
        <f t="shared" si="5"/>
        <v>4159076.5122479992</v>
      </c>
    </row>
    <row r="34" spans="2:10" s="57" customFormat="1" ht="15" x14ac:dyDescent="0.2">
      <c r="B34" s="145" t="s">
        <v>32</v>
      </c>
      <c r="C34" s="146">
        <f>F22</f>
        <v>13860000</v>
      </c>
      <c r="D34" s="146">
        <f>+C34</f>
        <v>13860000</v>
      </c>
      <c r="E34" s="146">
        <f>$F$22-$F$20</f>
        <v>12660000</v>
      </c>
      <c r="F34" s="146">
        <f>+E34</f>
        <v>12660000</v>
      </c>
      <c r="G34" s="146">
        <f>+F34-F18</f>
        <v>6660000</v>
      </c>
    </row>
    <row r="35" spans="2:10" s="57" customFormat="1" ht="15.75" x14ac:dyDescent="0.2">
      <c r="B35" s="147" t="s">
        <v>160</v>
      </c>
      <c r="C35" s="148">
        <f>SUM(C30:C34)</f>
        <v>38760000</v>
      </c>
      <c r="D35" s="148">
        <f t="shared" ref="D35:G35" si="6">SUM(D30:D34)</f>
        <v>39731100</v>
      </c>
      <c r="E35" s="148">
        <f t="shared" si="6"/>
        <v>39488330.699999996</v>
      </c>
      <c r="F35" s="148">
        <f t="shared" si="6"/>
        <v>40454150.605199993</v>
      </c>
      <c r="G35" s="148">
        <f t="shared" si="6"/>
        <v>35426945.876381993</v>
      </c>
    </row>
    <row r="36" spans="2:10" s="57" customFormat="1" ht="15.75" x14ac:dyDescent="0.2">
      <c r="B36" s="248" t="s">
        <v>31</v>
      </c>
      <c r="C36" s="249"/>
      <c r="D36" s="249"/>
      <c r="E36" s="249"/>
      <c r="F36" s="249"/>
      <c r="G36" s="250"/>
    </row>
    <row r="37" spans="2:10" s="57" customFormat="1" ht="15" x14ac:dyDescent="0.2">
      <c r="B37" s="144" t="s">
        <v>33</v>
      </c>
      <c r="C37" s="149">
        <f>(C13*C14)</f>
        <v>2170000</v>
      </c>
      <c r="D37" s="149">
        <f>(D13*D14)</f>
        <v>2472820</v>
      </c>
      <c r="E37" s="149">
        <f>(E13*E14)</f>
        <v>2833675.0899999994</v>
      </c>
      <c r="F37" s="149">
        <f>(F13*F14)</f>
        <v>3270556.6776399994</v>
      </c>
      <c r="G37" s="149">
        <f>(G13*G14)</f>
        <v>3743168.8610231988</v>
      </c>
    </row>
    <row r="38" spans="2:10" s="57" customFormat="1" ht="15.75" customHeight="1" x14ac:dyDescent="0.2">
      <c r="B38" s="143" t="s">
        <v>161</v>
      </c>
      <c r="C38" s="101">
        <f>C37</f>
        <v>2170000</v>
      </c>
      <c r="D38" s="101">
        <f t="shared" ref="D38:G38" si="7">D37</f>
        <v>2472820</v>
      </c>
      <c r="E38" s="101">
        <f t="shared" si="7"/>
        <v>2833675.0899999994</v>
      </c>
      <c r="F38" s="101">
        <f t="shared" si="7"/>
        <v>3270556.6776399994</v>
      </c>
      <c r="G38" s="101">
        <f t="shared" si="7"/>
        <v>3743168.8610231988</v>
      </c>
      <c r="J38" s="83"/>
    </row>
    <row r="39" spans="2:10" s="57" customFormat="1" ht="15.75" x14ac:dyDescent="0.25">
      <c r="B39" s="65" t="s">
        <v>12</v>
      </c>
      <c r="C39" s="133">
        <f>C35+C38</f>
        <v>40930000</v>
      </c>
      <c r="D39" s="133">
        <f t="shared" ref="D39:G39" si="8">D35+D38</f>
        <v>42203920</v>
      </c>
      <c r="E39" s="133">
        <f t="shared" si="8"/>
        <v>42322005.789999992</v>
      </c>
      <c r="F39" s="133">
        <f t="shared" si="8"/>
        <v>43724707.282839991</v>
      </c>
      <c r="G39" s="133">
        <f t="shared" si="8"/>
        <v>39170114.737405196</v>
      </c>
      <c r="I39" s="83" t="s">
        <v>183</v>
      </c>
      <c r="J39" s="83"/>
    </row>
    <row r="40" spans="2:10" s="57" customFormat="1" ht="15" x14ac:dyDescent="0.2">
      <c r="C40" s="102"/>
      <c r="D40" s="102"/>
      <c r="E40" s="102"/>
      <c r="F40" s="102"/>
      <c r="G40" s="102"/>
    </row>
  </sheetData>
  <mergeCells count="5">
    <mergeCell ref="E17:E22"/>
    <mergeCell ref="B27:G27"/>
    <mergeCell ref="B3:G3"/>
    <mergeCell ref="B29:G29"/>
    <mergeCell ref="B36:G36"/>
  </mergeCells>
  <pageMargins left="0.7" right="0.7" top="0.75" bottom="0.75" header="0.3" footer="0.3"/>
  <ignoredErrors>
    <ignoredError sqref="E34" formula="1"/>
  </ignoredErrors>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BDEE-C44C-4110-8377-0369A75A28A6}">
  <dimension ref="B3:J65"/>
  <sheetViews>
    <sheetView showGridLines="0" workbookViewId="0">
      <selection activeCell="B3" sqref="B3:G3"/>
    </sheetView>
  </sheetViews>
  <sheetFormatPr baseColWidth="10" defaultColWidth="11.5703125" defaultRowHeight="14.25" x14ac:dyDescent="0.2"/>
  <cols>
    <col min="1" max="1" width="11.85546875" style="2" customWidth="1"/>
    <col min="2" max="2" width="55" style="2" customWidth="1"/>
    <col min="3" max="7" width="20.42578125" style="2" customWidth="1"/>
    <col min="8" max="8" width="6.5703125" style="2" customWidth="1"/>
    <col min="9" max="9" width="7.5703125" style="2" customWidth="1"/>
    <col min="10" max="16384" width="11.5703125" style="2"/>
  </cols>
  <sheetData>
    <row r="3" spans="2:8" ht="29.25" customHeight="1" x14ac:dyDescent="0.2">
      <c r="B3" s="207" t="s">
        <v>164</v>
      </c>
      <c r="C3" s="207"/>
      <c r="D3" s="207"/>
      <c r="E3" s="207"/>
      <c r="F3" s="207"/>
      <c r="G3" s="207"/>
      <c r="H3" s="54"/>
    </row>
    <row r="4" spans="2:8" ht="15" x14ac:dyDescent="0.25">
      <c r="B4" s="3"/>
    </row>
    <row r="5" spans="2:8" s="57" customFormat="1" ht="15.75" x14ac:dyDescent="0.25">
      <c r="C5" s="154">
        <v>2025</v>
      </c>
      <c r="D5" s="154">
        <v>2026</v>
      </c>
      <c r="E5" s="154">
        <v>2027</v>
      </c>
      <c r="F5" s="154">
        <v>2028</v>
      </c>
      <c r="G5" s="154">
        <v>2029</v>
      </c>
    </row>
    <row r="6" spans="2:8" s="57" customFormat="1" ht="15.75" x14ac:dyDescent="0.25">
      <c r="B6" s="65" t="s">
        <v>17</v>
      </c>
      <c r="C6" s="88">
        <f>'Datos base'!C34</f>
        <v>1423500</v>
      </c>
      <c r="D6" s="88">
        <f>'Datos base'!D34</f>
        <v>1479016.5</v>
      </c>
      <c r="E6" s="88">
        <f>'Datos base'!E34</f>
        <v>1533740.1105</v>
      </c>
      <c r="F6" s="88">
        <f>'Datos base'!F34</f>
        <v>1588954.7544780001</v>
      </c>
      <c r="G6" s="88">
        <f>'Datos base'!G34</f>
        <v>1644568.1708847301</v>
      </c>
    </row>
    <row r="7" spans="2:8" s="57" customFormat="1" ht="15.75" x14ac:dyDescent="0.25">
      <c r="B7" s="65" t="s">
        <v>148</v>
      </c>
      <c r="C7" s="88">
        <f>'Datos base'!C35</f>
        <v>200000</v>
      </c>
      <c r="D7" s="88">
        <f>'Datos base'!D35</f>
        <v>207799.99999999997</v>
      </c>
      <c r="E7" s="88">
        <f>'Datos base'!E35</f>
        <v>215488.59999999995</v>
      </c>
      <c r="F7" s="88">
        <f>'Datos base'!F35</f>
        <v>223246.18959999995</v>
      </c>
      <c r="G7" s="88">
        <f>'Datos base'!G35</f>
        <v>231059.80623599995</v>
      </c>
    </row>
    <row r="8" spans="2:8" s="57" customFormat="1" ht="15.75" x14ac:dyDescent="0.25">
      <c r="B8" s="65" t="s">
        <v>1</v>
      </c>
      <c r="C8" s="75">
        <f>'Datos base'!C33</f>
        <v>4.2999999999999997E-2</v>
      </c>
      <c r="D8" s="75">
        <f>'Datos base'!D33</f>
        <v>3.9E-2</v>
      </c>
      <c r="E8" s="75">
        <f>'Datos base'!E33</f>
        <v>3.6999999999999998E-2</v>
      </c>
      <c r="F8" s="75">
        <f>'Datos base'!F33</f>
        <v>3.5999999999999997E-2</v>
      </c>
      <c r="G8" s="75">
        <f>'Datos base'!G33</f>
        <v>3.5000000000000003E-2</v>
      </c>
    </row>
    <row r="9" spans="2:8" s="57" customFormat="1" ht="15" x14ac:dyDescent="0.2"/>
    <row r="10" spans="2:8" s="57" customFormat="1" ht="15" x14ac:dyDescent="0.2">
      <c r="B10" s="245" t="s">
        <v>260</v>
      </c>
      <c r="C10" s="245"/>
      <c r="D10" s="245"/>
      <c r="E10" s="245"/>
      <c r="F10" s="245"/>
      <c r="G10" s="245"/>
    </row>
    <row r="11" spans="2:8" s="57" customFormat="1" ht="15.75" x14ac:dyDescent="0.25">
      <c r="B11" s="73"/>
    </row>
    <row r="12" spans="2:8" s="57" customFormat="1" ht="15.75" x14ac:dyDescent="0.25">
      <c r="B12" s="251" t="s">
        <v>149</v>
      </c>
      <c r="C12" s="252"/>
      <c r="D12" s="64" t="s">
        <v>150</v>
      </c>
    </row>
    <row r="13" spans="2:8" s="57" customFormat="1" ht="15" x14ac:dyDescent="0.2">
      <c r="B13" s="246" t="s">
        <v>151</v>
      </c>
      <c r="C13" s="247"/>
      <c r="D13" s="125">
        <f>'Datos base'!E44</f>
        <v>8.3333333333333329E-2</v>
      </c>
    </row>
    <row r="14" spans="2:8" s="57" customFormat="1" ht="15" x14ac:dyDescent="0.2">
      <c r="B14" s="246" t="s">
        <v>156</v>
      </c>
      <c r="C14" s="247"/>
      <c r="D14" s="127">
        <f>'Datos base'!E45</f>
        <v>0.12</v>
      </c>
    </row>
    <row r="15" spans="2:8" s="57" customFormat="1" ht="15" x14ac:dyDescent="0.2">
      <c r="B15" s="246" t="s">
        <v>21</v>
      </c>
      <c r="C15" s="247"/>
      <c r="D15" s="125">
        <f>'Datos base'!E46</f>
        <v>8.3333333333333329E-2</v>
      </c>
    </row>
    <row r="16" spans="2:8" s="57" customFormat="1" ht="15" x14ac:dyDescent="0.2">
      <c r="B16" s="246" t="s">
        <v>20</v>
      </c>
      <c r="C16" s="247"/>
      <c r="D16" s="128">
        <f>'Datos base'!E47</f>
        <v>4.1666666666666664E-2</v>
      </c>
    </row>
    <row r="17" spans="2:7" s="57" customFormat="1" ht="15" x14ac:dyDescent="0.2">
      <c r="B17" s="246" t="s">
        <v>22</v>
      </c>
      <c r="C17" s="247"/>
      <c r="D17" s="125">
        <f>'Datos base'!E48</f>
        <v>8.5000000000000006E-2</v>
      </c>
    </row>
    <row r="18" spans="2:7" s="57" customFormat="1" ht="15" x14ac:dyDescent="0.2">
      <c r="B18" s="246" t="s">
        <v>152</v>
      </c>
      <c r="C18" s="247"/>
      <c r="D18" s="127">
        <f>'Datos base'!E49</f>
        <v>0.12</v>
      </c>
    </row>
    <row r="19" spans="2:7" s="57" customFormat="1" ht="15" x14ac:dyDescent="0.2">
      <c r="B19" s="246" t="s">
        <v>155</v>
      </c>
      <c r="C19" s="247"/>
      <c r="D19" s="127">
        <f>'Datos base'!E50</f>
        <v>0.04</v>
      </c>
    </row>
    <row r="20" spans="2:7" s="57" customFormat="1" ht="15" x14ac:dyDescent="0.2">
      <c r="B20" s="246" t="s">
        <v>154</v>
      </c>
      <c r="C20" s="247"/>
      <c r="D20" s="129">
        <f>'Datos base'!E52</f>
        <v>5.2199999999999998E-3</v>
      </c>
    </row>
    <row r="21" spans="2:7" s="57" customFormat="1" ht="15" x14ac:dyDescent="0.2"/>
    <row r="22" spans="2:7" s="57" customFormat="1" ht="33.75" customHeight="1" x14ac:dyDescent="0.2">
      <c r="B22" s="224" t="s">
        <v>2302</v>
      </c>
      <c r="C22" s="224"/>
      <c r="D22" s="224"/>
      <c r="E22" s="224"/>
      <c r="F22" s="224"/>
      <c r="G22" s="224"/>
    </row>
    <row r="23" spans="2:7" s="57" customFormat="1" ht="15" x14ac:dyDescent="0.2">
      <c r="B23" s="62"/>
      <c r="C23" s="62"/>
      <c r="D23" s="62"/>
      <c r="E23" s="62"/>
      <c r="F23" s="62"/>
      <c r="G23" s="62"/>
    </row>
    <row r="24" spans="2:7" s="57" customFormat="1" ht="61.15" customHeight="1" x14ac:dyDescent="0.2">
      <c r="B24" s="55" t="s">
        <v>30</v>
      </c>
      <c r="C24" s="55" t="s">
        <v>158</v>
      </c>
      <c r="D24" s="56" t="s">
        <v>159</v>
      </c>
      <c r="E24" s="56" t="s">
        <v>257</v>
      </c>
      <c r="F24" s="62"/>
      <c r="G24" s="62"/>
    </row>
    <row r="25" spans="2:7" s="57" customFormat="1" ht="15" x14ac:dyDescent="0.2">
      <c r="B25" s="156" t="str">
        <f>'Datos base'!B59</f>
        <v>Arrendamiento</v>
      </c>
      <c r="C25" s="59">
        <f>'Datos base'!C59</f>
        <v>18000000</v>
      </c>
      <c r="D25" s="127">
        <f>'Datos base'!E59</f>
        <v>0.25</v>
      </c>
      <c r="E25" s="59">
        <f>C25*D25</f>
        <v>4500000</v>
      </c>
      <c r="F25" s="62"/>
      <c r="G25" s="62"/>
    </row>
    <row r="26" spans="2:7" s="57" customFormat="1" ht="15" x14ac:dyDescent="0.2">
      <c r="B26" s="156" t="str">
        <f>'Datos base'!B60</f>
        <v>Servicios públicos</v>
      </c>
      <c r="C26" s="59">
        <f>'Datos base'!C60</f>
        <v>12000000</v>
      </c>
      <c r="D26" s="127">
        <f>'Datos base'!E60</f>
        <v>0.4</v>
      </c>
      <c r="E26" s="59">
        <f t="shared" ref="E26:E28" si="0">C26*D26</f>
        <v>4800000</v>
      </c>
      <c r="F26" s="62"/>
      <c r="G26" s="62"/>
    </row>
    <row r="27" spans="2:7" s="57" customFormat="1" ht="15" x14ac:dyDescent="0.2">
      <c r="B27" s="156" t="str">
        <f>'Datos base'!B61</f>
        <v>Papelería</v>
      </c>
      <c r="C27" s="59">
        <f>'Datos base'!C61</f>
        <v>1000000</v>
      </c>
      <c r="D27" s="127">
        <f>'Datos base'!E61</f>
        <v>0.4</v>
      </c>
      <c r="E27" s="59">
        <f t="shared" si="0"/>
        <v>400000</v>
      </c>
      <c r="F27" s="62"/>
      <c r="G27" s="62"/>
    </row>
    <row r="28" spans="2:7" s="57" customFormat="1" ht="15" x14ac:dyDescent="0.2">
      <c r="B28" s="156" t="str">
        <f>'Datos base'!B62</f>
        <v>Aseo y mantenimiento</v>
      </c>
      <c r="C28" s="59">
        <f>'Datos base'!C62</f>
        <v>6000000</v>
      </c>
      <c r="D28" s="127">
        <f>'Datos base'!E62</f>
        <v>0.4</v>
      </c>
      <c r="E28" s="59">
        <f t="shared" si="0"/>
        <v>2400000</v>
      </c>
      <c r="F28" s="62"/>
      <c r="G28" s="62"/>
    </row>
    <row r="29" spans="2:7" s="57" customFormat="1" ht="15" x14ac:dyDescent="0.2">
      <c r="B29" s="62"/>
      <c r="C29" s="62"/>
      <c r="D29" s="62"/>
      <c r="E29" s="62"/>
      <c r="F29" s="62"/>
      <c r="G29" s="62"/>
    </row>
    <row r="30" spans="2:7" s="57" customFormat="1" ht="74.45" customHeight="1" x14ac:dyDescent="0.2">
      <c r="B30" s="55" t="s">
        <v>84</v>
      </c>
      <c r="C30" s="56" t="s">
        <v>230</v>
      </c>
      <c r="D30" s="56" t="s">
        <v>227</v>
      </c>
      <c r="E30" s="56" t="s">
        <v>240</v>
      </c>
      <c r="F30" s="56" t="s">
        <v>258</v>
      </c>
      <c r="G30" s="62"/>
    </row>
    <row r="31" spans="2:7" s="57" customFormat="1" ht="15" x14ac:dyDescent="0.2">
      <c r="B31" s="156" t="str">
        <f>'Ppto inversión y plan pagos'!B10</f>
        <v>Edificio</v>
      </c>
      <c r="C31" s="59">
        <f>'Ppto inversión y plan pagos'!C10</f>
        <v>150000000</v>
      </c>
      <c r="D31" s="151">
        <f>'Datos base'!D68</f>
        <v>20</v>
      </c>
      <c r="E31" s="226">
        <f>'Datos base'!F68</f>
        <v>0.4</v>
      </c>
      <c r="F31" s="59">
        <f>(C31/D31)*$E$31</f>
        <v>3000000</v>
      </c>
      <c r="G31" s="62"/>
    </row>
    <row r="32" spans="2:7" s="57" customFormat="1" ht="15" x14ac:dyDescent="0.2">
      <c r="B32" s="156" t="str">
        <f>'Ppto inversión y plan pagos'!B11</f>
        <v>Vehículo</v>
      </c>
      <c r="C32" s="59">
        <f>'Ppto inversión y plan pagos'!C11</f>
        <v>50000000</v>
      </c>
      <c r="D32" s="151">
        <f>'Datos base'!D69</f>
        <v>5</v>
      </c>
      <c r="E32" s="226"/>
      <c r="F32" s="59">
        <f t="shared" ref="F32:F35" si="1">(C32/D32)*$E$31</f>
        <v>4000000</v>
      </c>
      <c r="G32" s="62"/>
    </row>
    <row r="33" spans="2:7" s="57" customFormat="1" ht="15" x14ac:dyDescent="0.2">
      <c r="B33" s="156" t="str">
        <f>'Ppto inversión y plan pagos'!B12</f>
        <v>Maquinaria y equipo</v>
      </c>
      <c r="C33" s="59">
        <f>'Ppto inversión y plan pagos'!C12</f>
        <v>24000000</v>
      </c>
      <c r="D33" s="151">
        <f>'Datos base'!D70</f>
        <v>10</v>
      </c>
      <c r="E33" s="226"/>
      <c r="F33" s="59">
        <f t="shared" si="1"/>
        <v>960000</v>
      </c>
      <c r="G33" s="62"/>
    </row>
    <row r="34" spans="2:7" s="57" customFormat="1" ht="15" x14ac:dyDescent="0.2">
      <c r="B34" s="156" t="str">
        <f>'Ppto inversión y plan pagos'!B13</f>
        <v>Equipos de cómputo</v>
      </c>
      <c r="C34" s="59">
        <f>'Ppto inversión y plan pagos'!C13</f>
        <v>6000000</v>
      </c>
      <c r="D34" s="151">
        <f>'Datos base'!D71</f>
        <v>3</v>
      </c>
      <c r="E34" s="226"/>
      <c r="F34" s="59">
        <f t="shared" si="1"/>
        <v>800000</v>
      </c>
      <c r="G34" s="62"/>
    </row>
    <row r="35" spans="2:7" s="57" customFormat="1" ht="15" x14ac:dyDescent="0.2">
      <c r="B35" s="156" t="str">
        <f>'Ppto inversión y plan pagos'!B14</f>
        <v>Muebles y enseres</v>
      </c>
      <c r="C35" s="59">
        <f>'Ppto inversión y plan pagos'!C14</f>
        <v>12000000</v>
      </c>
      <c r="D35" s="151">
        <f>'Datos base'!D72</f>
        <v>10</v>
      </c>
      <c r="E35" s="226"/>
      <c r="F35" s="59">
        <f t="shared" si="1"/>
        <v>480000</v>
      </c>
      <c r="G35" s="62"/>
    </row>
    <row r="36" spans="2:7" s="57" customFormat="1" ht="15.75" x14ac:dyDescent="0.2">
      <c r="B36" s="143" t="s">
        <v>12</v>
      </c>
      <c r="C36" s="152">
        <f>SUM(C31:C35)</f>
        <v>242000000</v>
      </c>
      <c r="D36" s="58"/>
      <c r="E36" s="226"/>
      <c r="F36" s="152">
        <f>SUM(F31:F35)</f>
        <v>9240000</v>
      </c>
      <c r="G36" s="62"/>
    </row>
    <row r="37" spans="2:7" s="57" customFormat="1" ht="15" x14ac:dyDescent="0.2">
      <c r="E37" s="107"/>
      <c r="F37" s="102"/>
      <c r="G37" s="62"/>
    </row>
    <row r="38" spans="2:7" s="57" customFormat="1" ht="15" x14ac:dyDescent="0.2">
      <c r="E38" s="107"/>
      <c r="F38" s="102"/>
      <c r="G38" s="62"/>
    </row>
    <row r="39" spans="2:7" s="57" customFormat="1" ht="15" x14ac:dyDescent="0.2">
      <c r="C39" s="57" t="s">
        <v>226</v>
      </c>
      <c r="E39" s="107"/>
      <c r="F39" s="102"/>
      <c r="G39" s="62"/>
    </row>
    <row r="40" spans="2:7" s="57" customFormat="1" ht="15" x14ac:dyDescent="0.2">
      <c r="B40" s="62"/>
      <c r="C40" s="62"/>
      <c r="D40" s="62"/>
      <c r="E40" s="62"/>
      <c r="F40" s="62"/>
      <c r="G40" s="62"/>
    </row>
    <row r="41" spans="2:7" s="57" customFormat="1" ht="18.600000000000001" customHeight="1" x14ac:dyDescent="0.2">
      <c r="B41" s="227" t="s">
        <v>2305</v>
      </c>
      <c r="C41" s="227"/>
      <c r="D41" s="227"/>
      <c r="E41" s="227"/>
      <c r="F41" s="227"/>
      <c r="G41" s="227"/>
    </row>
    <row r="42" spans="2:7" s="57" customFormat="1" ht="15.75" x14ac:dyDescent="0.25">
      <c r="B42" s="108" t="s">
        <v>116</v>
      </c>
      <c r="C42" s="109">
        <v>2025</v>
      </c>
      <c r="D42" s="109">
        <v>2026</v>
      </c>
      <c r="E42" s="109">
        <v>2027</v>
      </c>
      <c r="F42" s="109">
        <v>2028</v>
      </c>
      <c r="G42" s="109">
        <v>2029</v>
      </c>
    </row>
    <row r="43" spans="2:7" s="57" customFormat="1" ht="15.75" x14ac:dyDescent="0.2">
      <c r="B43" s="248" t="s">
        <v>165</v>
      </c>
      <c r="C43" s="249"/>
      <c r="D43" s="249"/>
      <c r="E43" s="249"/>
      <c r="F43" s="249"/>
      <c r="G43" s="250"/>
    </row>
    <row r="44" spans="2:7" s="57" customFormat="1" ht="15" x14ac:dyDescent="0.2">
      <c r="B44" s="110" t="s">
        <v>17</v>
      </c>
      <c r="C44" s="113">
        <f>C6*4*12</f>
        <v>68328000</v>
      </c>
      <c r="D44" s="113">
        <f>D6*4*12</f>
        <v>70992792</v>
      </c>
      <c r="E44" s="113">
        <f>E6*4*12</f>
        <v>73619525.30399999</v>
      </c>
      <c r="F44" s="113">
        <f>F6*4*12</f>
        <v>76269828.214944005</v>
      </c>
      <c r="G44" s="113">
        <f>G6*4*12</f>
        <v>78939272.202467039</v>
      </c>
    </row>
    <row r="45" spans="2:7" s="57" customFormat="1" ht="15" x14ac:dyDescent="0.2">
      <c r="B45" s="68" t="s">
        <v>148</v>
      </c>
      <c r="C45" s="66">
        <f>C7*4*12</f>
        <v>9600000</v>
      </c>
      <c r="D45" s="66">
        <f t="shared" ref="D45:G45" si="2">D7*4*12</f>
        <v>9974399.9999999981</v>
      </c>
      <c r="E45" s="66">
        <f t="shared" si="2"/>
        <v>10343452.799999997</v>
      </c>
      <c r="F45" s="66">
        <f t="shared" si="2"/>
        <v>10715817.100799998</v>
      </c>
      <c r="G45" s="66">
        <f t="shared" si="2"/>
        <v>11090870.699327998</v>
      </c>
    </row>
    <row r="46" spans="2:7" s="57" customFormat="1" ht="15" x14ac:dyDescent="0.2">
      <c r="B46" s="68" t="s">
        <v>18</v>
      </c>
      <c r="C46" s="66">
        <v>1500000</v>
      </c>
      <c r="D46" s="66">
        <f>C46*(1+D8)</f>
        <v>1558500</v>
      </c>
      <c r="E46" s="66">
        <f>D46*(1+E8)</f>
        <v>1616164.4999999998</v>
      </c>
      <c r="F46" s="66">
        <f>E46*(1+F8)</f>
        <v>1674346.4219999998</v>
      </c>
      <c r="G46" s="66">
        <f>F46*(1+G8)</f>
        <v>1732948.5467699997</v>
      </c>
    </row>
    <row r="47" spans="2:7" s="57" customFormat="1" ht="15" x14ac:dyDescent="0.2">
      <c r="B47" s="68" t="s">
        <v>151</v>
      </c>
      <c r="C47" s="66">
        <f>(C44+C45)*$D$13</f>
        <v>6494000</v>
      </c>
      <c r="D47" s="66">
        <f>(D44+D45)*$D$13</f>
        <v>6747266</v>
      </c>
      <c r="E47" s="66">
        <f>(E44+E45)*$D$13</f>
        <v>6996914.8419999983</v>
      </c>
      <c r="F47" s="66">
        <f>(F44+F45)*$D$13</f>
        <v>7248803.7763119992</v>
      </c>
      <c r="G47" s="66">
        <f>(G44+G45)*$D$13</f>
        <v>7502511.9084829185</v>
      </c>
    </row>
    <row r="48" spans="2:7" s="57" customFormat="1" ht="15" x14ac:dyDescent="0.2">
      <c r="B48" s="68" t="s">
        <v>19</v>
      </c>
      <c r="C48" s="66">
        <f>C47*$D$14</f>
        <v>779280</v>
      </c>
      <c r="D48" s="66">
        <f t="shared" ref="D48:G48" si="3">D47*$D$14</f>
        <v>809671.91999999993</v>
      </c>
      <c r="E48" s="66">
        <f t="shared" si="3"/>
        <v>839629.7810399998</v>
      </c>
      <c r="F48" s="66">
        <f t="shared" si="3"/>
        <v>869856.45315743983</v>
      </c>
      <c r="G48" s="66">
        <f t="shared" si="3"/>
        <v>900301.4290179502</v>
      </c>
    </row>
    <row r="49" spans="2:10" s="57" customFormat="1" ht="15" x14ac:dyDescent="0.2">
      <c r="B49" s="68" t="s">
        <v>21</v>
      </c>
      <c r="C49" s="66">
        <f>(C44+C45)*$D$15</f>
        <v>6494000</v>
      </c>
      <c r="D49" s="66">
        <f t="shared" ref="D49:G49" si="4">(D44+D45)*$D$15</f>
        <v>6747266</v>
      </c>
      <c r="E49" s="66">
        <f t="shared" si="4"/>
        <v>6996914.8419999983</v>
      </c>
      <c r="F49" s="66">
        <f t="shared" si="4"/>
        <v>7248803.7763119992</v>
      </c>
      <c r="G49" s="66">
        <f t="shared" si="4"/>
        <v>7502511.9084829185</v>
      </c>
    </row>
    <row r="50" spans="2:10" s="57" customFormat="1" ht="15" x14ac:dyDescent="0.2">
      <c r="B50" s="68" t="s">
        <v>20</v>
      </c>
      <c r="C50" s="66">
        <f>C44*$D$16</f>
        <v>2847000</v>
      </c>
      <c r="D50" s="66">
        <f>D44*$D$16</f>
        <v>2958033</v>
      </c>
      <c r="E50" s="66">
        <f>E44*$D$16</f>
        <v>3067480.2209999994</v>
      </c>
      <c r="F50" s="66">
        <f>F44*$D$16</f>
        <v>3177909.5089560002</v>
      </c>
      <c r="G50" s="66">
        <f>G44*$D$16</f>
        <v>3289136.3417694597</v>
      </c>
    </row>
    <row r="51" spans="2:10" s="57" customFormat="1" ht="15" x14ac:dyDescent="0.2">
      <c r="B51" s="68" t="s">
        <v>22</v>
      </c>
      <c r="C51" s="66">
        <f>C44*$D$17</f>
        <v>5807880</v>
      </c>
      <c r="D51" s="66">
        <f t="shared" ref="D51:G51" si="5">D44*$D$17</f>
        <v>6034387.3200000003</v>
      </c>
      <c r="E51" s="66">
        <f t="shared" si="5"/>
        <v>6257659.6508399993</v>
      </c>
      <c r="F51" s="66">
        <f t="shared" si="5"/>
        <v>6482935.398270241</v>
      </c>
      <c r="G51" s="66">
        <f t="shared" si="5"/>
        <v>6709838.1372096986</v>
      </c>
    </row>
    <row r="52" spans="2:10" s="57" customFormat="1" ht="15" x14ac:dyDescent="0.2">
      <c r="B52" s="68" t="s">
        <v>23</v>
      </c>
      <c r="C52" s="66">
        <f>C44*$D$18</f>
        <v>8199360</v>
      </c>
      <c r="D52" s="66">
        <f t="shared" ref="D52:G52" si="6">D44*$D$18</f>
        <v>8519135.0399999991</v>
      </c>
      <c r="E52" s="66">
        <f t="shared" si="6"/>
        <v>8834343.0364799984</v>
      </c>
      <c r="F52" s="66">
        <f t="shared" si="6"/>
        <v>9152379.3857932799</v>
      </c>
      <c r="G52" s="66">
        <f t="shared" si="6"/>
        <v>9472712.664296044</v>
      </c>
    </row>
    <row r="53" spans="2:10" s="57" customFormat="1" ht="15" x14ac:dyDescent="0.2">
      <c r="B53" s="68" t="s">
        <v>155</v>
      </c>
      <c r="C53" s="66">
        <f>C44*$D$19</f>
        <v>2733120</v>
      </c>
      <c r="D53" s="66">
        <f t="shared" ref="D53:F53" si="7">D44*$D$19</f>
        <v>2839711.68</v>
      </c>
      <c r="E53" s="66">
        <f t="shared" si="7"/>
        <v>2944781.0121599995</v>
      </c>
      <c r="F53" s="66">
        <f t="shared" si="7"/>
        <v>3050793.1285977601</v>
      </c>
      <c r="G53" s="66">
        <f>G44*$D$19</f>
        <v>3157570.8880986818</v>
      </c>
    </row>
    <row r="54" spans="2:10" s="57" customFormat="1" ht="15" x14ac:dyDescent="0.2">
      <c r="B54" s="68" t="s">
        <v>24</v>
      </c>
      <c r="C54" s="66">
        <f>C44*$D$20</f>
        <v>356672.16</v>
      </c>
      <c r="D54" s="66">
        <f>D44*$D$20</f>
        <v>370582.37423999998</v>
      </c>
      <c r="E54" s="66">
        <f>E44*$D$20</f>
        <v>384293.92208687996</v>
      </c>
      <c r="F54" s="66">
        <f t="shared" ref="F54" si="8">F44*$D$20</f>
        <v>398128.5032820077</v>
      </c>
      <c r="G54" s="66">
        <f>G44*$D$20</f>
        <v>412063.00089687796</v>
      </c>
    </row>
    <row r="55" spans="2:10" s="57" customFormat="1" ht="15" x14ac:dyDescent="0.2">
      <c r="B55" s="68" t="s">
        <v>157</v>
      </c>
      <c r="C55" s="66">
        <v>0</v>
      </c>
      <c r="D55" s="66">
        <v>0</v>
      </c>
      <c r="E55" s="66">
        <v>0</v>
      </c>
      <c r="F55" s="66">
        <v>0</v>
      </c>
      <c r="G55" s="66">
        <v>0</v>
      </c>
    </row>
    <row r="56" spans="2:10" s="57" customFormat="1" ht="16.149999999999999" customHeight="1" x14ac:dyDescent="0.2">
      <c r="B56" s="114" t="s">
        <v>166</v>
      </c>
      <c r="C56" s="101">
        <f>SUM(C44:C55)</f>
        <v>113139312.16</v>
      </c>
      <c r="D56" s="101">
        <f t="shared" ref="D56:G56" si="9">SUM(D44:D55)</f>
        <v>117551745.33424</v>
      </c>
      <c r="E56" s="101">
        <f t="shared" si="9"/>
        <v>121901159.91160685</v>
      </c>
      <c r="F56" s="101">
        <f t="shared" si="9"/>
        <v>126289601.66842473</v>
      </c>
      <c r="G56" s="101">
        <f t="shared" si="9"/>
        <v>130709737.72681959</v>
      </c>
    </row>
    <row r="57" spans="2:10" s="57" customFormat="1" ht="14.45" customHeight="1" x14ac:dyDescent="0.2">
      <c r="B57" s="248" t="s">
        <v>167</v>
      </c>
      <c r="C57" s="249"/>
      <c r="D57" s="249"/>
      <c r="E57" s="249"/>
      <c r="F57" s="249"/>
      <c r="G57" s="250"/>
    </row>
    <row r="58" spans="2:10" s="57" customFormat="1" ht="15" x14ac:dyDescent="0.2">
      <c r="B58" s="110" t="s">
        <v>25</v>
      </c>
      <c r="C58" s="113">
        <f>E25</f>
        <v>4500000</v>
      </c>
      <c r="D58" s="113">
        <f>C58*(1+$D$8)</f>
        <v>4675500</v>
      </c>
      <c r="E58" s="113">
        <f>D58*(1+$E$8)</f>
        <v>4848493.5</v>
      </c>
      <c r="F58" s="113">
        <f>E58*(1+$F$8)</f>
        <v>5023039.2659999998</v>
      </c>
      <c r="G58" s="113">
        <f>F58*(1+$G$8)</f>
        <v>5198845.6403099997</v>
      </c>
    </row>
    <row r="59" spans="2:10" s="57" customFormat="1" ht="15" x14ac:dyDescent="0.2">
      <c r="B59" s="68" t="s">
        <v>26</v>
      </c>
      <c r="C59" s="113">
        <f t="shared" ref="C59:C61" si="10">E26</f>
        <v>4800000</v>
      </c>
      <c r="D59" s="113">
        <f t="shared" ref="D59:D61" si="11">C59*(1+$D$8)</f>
        <v>4987200</v>
      </c>
      <c r="E59" s="113">
        <f t="shared" ref="E59:E61" si="12">D59*(1+$E$8)</f>
        <v>5171726.3999999994</v>
      </c>
      <c r="F59" s="113">
        <f t="shared" ref="F59:F61" si="13">E59*(1+$F$8)</f>
        <v>5357908.5503999991</v>
      </c>
      <c r="G59" s="113">
        <f t="shared" ref="G59:G61" si="14">F59*(1+$G$8)</f>
        <v>5545435.3496639989</v>
      </c>
    </row>
    <row r="60" spans="2:10" s="57" customFormat="1" ht="15" x14ac:dyDescent="0.2">
      <c r="B60" s="68" t="s">
        <v>27</v>
      </c>
      <c r="C60" s="113">
        <f t="shared" si="10"/>
        <v>400000</v>
      </c>
      <c r="D60" s="113">
        <f t="shared" si="11"/>
        <v>415599.99999999994</v>
      </c>
      <c r="E60" s="113">
        <f t="shared" si="12"/>
        <v>430977.1999999999</v>
      </c>
      <c r="F60" s="113">
        <f t="shared" si="13"/>
        <v>446492.37919999991</v>
      </c>
      <c r="G60" s="113">
        <f t="shared" si="14"/>
        <v>462119.61247199989</v>
      </c>
    </row>
    <row r="61" spans="2:10" s="57" customFormat="1" ht="15.75" customHeight="1" x14ac:dyDescent="0.2">
      <c r="B61" s="68" t="s">
        <v>28</v>
      </c>
      <c r="C61" s="113">
        <f t="shared" si="10"/>
        <v>2400000</v>
      </c>
      <c r="D61" s="113">
        <f t="shared" si="11"/>
        <v>2493600</v>
      </c>
      <c r="E61" s="113">
        <f t="shared" si="12"/>
        <v>2585863.1999999997</v>
      </c>
      <c r="F61" s="113">
        <f t="shared" si="13"/>
        <v>2678954.2751999996</v>
      </c>
      <c r="G61" s="113">
        <f t="shared" si="14"/>
        <v>2772717.6748319995</v>
      </c>
    </row>
    <row r="62" spans="2:10" s="57" customFormat="1" ht="15.75" customHeight="1" x14ac:dyDescent="0.2">
      <c r="B62" s="111" t="s">
        <v>32</v>
      </c>
      <c r="C62" s="113">
        <f>$F$36</f>
        <v>9240000</v>
      </c>
      <c r="D62" s="113">
        <f>+C62</f>
        <v>9240000</v>
      </c>
      <c r="E62" s="113">
        <f>$F$36-$F$34</f>
        <v>8440000</v>
      </c>
      <c r="F62" s="113">
        <f>+E62</f>
        <v>8440000</v>
      </c>
      <c r="G62" s="113">
        <f>+F62-F32</f>
        <v>4440000</v>
      </c>
    </row>
    <row r="63" spans="2:10" s="57" customFormat="1" ht="15.75" customHeight="1" x14ac:dyDescent="0.2">
      <c r="B63" s="115" t="s">
        <v>168</v>
      </c>
      <c r="C63" s="116">
        <f>SUM(C58:C62)</f>
        <v>21340000</v>
      </c>
      <c r="D63" s="116">
        <f t="shared" ref="D63:G63" si="15">SUM(D58:D62)</f>
        <v>21811900</v>
      </c>
      <c r="E63" s="116">
        <f t="shared" si="15"/>
        <v>21477060.299999997</v>
      </c>
      <c r="F63" s="116">
        <f t="shared" si="15"/>
        <v>21946394.470799997</v>
      </c>
      <c r="G63" s="116">
        <f t="shared" si="15"/>
        <v>18419118.277277999</v>
      </c>
      <c r="J63" s="83"/>
    </row>
    <row r="64" spans="2:10" s="57" customFormat="1" ht="15.75" x14ac:dyDescent="0.2">
      <c r="B64" s="117" t="s">
        <v>12</v>
      </c>
      <c r="C64" s="157">
        <f>C56+C63</f>
        <v>134479312.16</v>
      </c>
      <c r="D64" s="157">
        <f t="shared" ref="D64:G64" si="16">D56+D63</f>
        <v>139363645.33424002</v>
      </c>
      <c r="E64" s="157">
        <f t="shared" si="16"/>
        <v>143378220.21160686</v>
      </c>
      <c r="F64" s="157">
        <f t="shared" si="16"/>
        <v>148235996.13922471</v>
      </c>
      <c r="G64" s="157">
        <f t="shared" si="16"/>
        <v>149128856.00409758</v>
      </c>
      <c r="I64" s="83" t="s">
        <v>197</v>
      </c>
      <c r="J64" s="83"/>
    </row>
    <row r="65" s="57" customFormat="1" ht="15" x14ac:dyDescent="0.2"/>
  </sheetData>
  <mergeCells count="16">
    <mergeCell ref="B3:G3"/>
    <mergeCell ref="B43:G43"/>
    <mergeCell ref="B57:G57"/>
    <mergeCell ref="B41:G41"/>
    <mergeCell ref="B10:G10"/>
    <mergeCell ref="B12:C12"/>
    <mergeCell ref="B13:C13"/>
    <mergeCell ref="B14:C14"/>
    <mergeCell ref="B15:C15"/>
    <mergeCell ref="B16:C16"/>
    <mergeCell ref="B17:C17"/>
    <mergeCell ref="B18:C18"/>
    <mergeCell ref="B19:C19"/>
    <mergeCell ref="B20:C20"/>
    <mergeCell ref="B22:G22"/>
    <mergeCell ref="E31:E36"/>
  </mergeCells>
  <hyperlinks>
    <hyperlink ref="B22:G22" r:id="rId1" location="108" display="Nota: para este caso no se contempla Sena e ICBF conforme a lo estipulado en el parágrafo III del artículo 108 del ET." xr:uid="{E5A0C2EE-C371-4BF2-8D78-0FA00DE4B9C6}"/>
  </hyperlinks>
  <pageMargins left="0.7" right="0.7" top="0.75" bottom="0.75" header="0.3" footer="0.3"/>
  <ignoredErrors>
    <ignoredError sqref="E62" formula="1"/>
  </ignoredError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A832F-B920-4B3A-87D6-6D8EA1C6C81B}">
  <dimension ref="B3:K18"/>
  <sheetViews>
    <sheetView showGridLines="0" workbookViewId="0">
      <selection activeCell="B3" sqref="B3:G3"/>
    </sheetView>
  </sheetViews>
  <sheetFormatPr baseColWidth="10" defaultColWidth="11.5703125" defaultRowHeight="14.25" x14ac:dyDescent="0.2"/>
  <cols>
    <col min="1" max="1" width="11.7109375" style="2" customWidth="1"/>
    <col min="2" max="2" width="32.140625" style="2" customWidth="1"/>
    <col min="3" max="7" width="25.5703125" style="2" customWidth="1"/>
    <col min="8" max="8" width="6" style="2" customWidth="1"/>
    <col min="9" max="9" width="7.5703125" style="2" customWidth="1"/>
    <col min="10" max="16384" width="11.5703125" style="2"/>
  </cols>
  <sheetData>
    <row r="3" spans="2:11" ht="26.25" x14ac:dyDescent="0.2">
      <c r="B3" s="207" t="s">
        <v>171</v>
      </c>
      <c r="C3" s="207"/>
      <c r="D3" s="207"/>
      <c r="E3" s="207"/>
      <c r="F3" s="207"/>
      <c r="G3" s="207"/>
    </row>
    <row r="4" spans="2:11" ht="15" x14ac:dyDescent="0.25">
      <c r="B4" s="3"/>
    </row>
    <row r="5" spans="2:11" s="57" customFormat="1" ht="15.75" x14ac:dyDescent="0.25">
      <c r="B5" s="231" t="s">
        <v>170</v>
      </c>
      <c r="C5" s="233"/>
      <c r="D5" s="68">
        <f>'Datos base'!F17</f>
        <v>15</v>
      </c>
    </row>
    <row r="6" spans="2:11" s="57" customFormat="1" ht="15.75" x14ac:dyDescent="0.2">
      <c r="B6" s="253" t="s">
        <v>169</v>
      </c>
      <c r="C6" s="254"/>
      <c r="D6" s="79">
        <f>'Datos base'!F18</f>
        <v>0.6</v>
      </c>
    </row>
    <row r="7" spans="2:11" s="57" customFormat="1" ht="15.75" x14ac:dyDescent="0.25">
      <c r="B7" s="73"/>
    </row>
    <row r="8" spans="2:11" s="57" customFormat="1" ht="15.75" x14ac:dyDescent="0.25">
      <c r="C8" s="154">
        <v>2025</v>
      </c>
      <c r="D8" s="154">
        <v>2026</v>
      </c>
      <c r="E8" s="154">
        <v>2027</v>
      </c>
      <c r="F8" s="154">
        <v>2028</v>
      </c>
      <c r="G8" s="154">
        <v>2029</v>
      </c>
    </row>
    <row r="9" spans="2:11" s="57" customFormat="1" ht="15.75" x14ac:dyDescent="0.25">
      <c r="B9" s="65" t="s">
        <v>172</v>
      </c>
      <c r="C9" s="88">
        <f>'Ppto Ventas'!D37</f>
        <v>308860000</v>
      </c>
      <c r="D9" s="88">
        <f>'Ppto Ventas'!E37</f>
        <v>354901619.99999994</v>
      </c>
      <c r="E9" s="88">
        <f>'Ppto Ventas'!F37</f>
        <v>408404769.15000004</v>
      </c>
      <c r="F9" s="88">
        <f>'Ppto Ventas'!G37</f>
        <v>469620684.44255996</v>
      </c>
      <c r="G9" s="88">
        <f>'Ppto Ventas'!H37</f>
        <v>539258928.78388846</v>
      </c>
    </row>
    <row r="10" spans="2:11" s="57" customFormat="1" ht="15" x14ac:dyDescent="0.2"/>
    <row r="11" spans="2:11" s="57" customFormat="1" ht="15.75" x14ac:dyDescent="0.25">
      <c r="B11" s="225" t="s">
        <v>14</v>
      </c>
      <c r="C11" s="225"/>
      <c r="D11" s="225"/>
      <c r="E11" s="225"/>
      <c r="F11" s="225"/>
      <c r="G11" s="225"/>
    </row>
    <row r="12" spans="2:11" s="57" customFormat="1" ht="15.75" x14ac:dyDescent="0.25">
      <c r="B12" s="71" t="s">
        <v>116</v>
      </c>
      <c r="C12" s="154">
        <v>2025</v>
      </c>
      <c r="D12" s="154">
        <v>2026</v>
      </c>
      <c r="E12" s="154">
        <v>2027</v>
      </c>
      <c r="F12" s="154">
        <v>2028</v>
      </c>
      <c r="G12" s="154">
        <v>2029</v>
      </c>
    </row>
    <row r="13" spans="2:11" s="57" customFormat="1" ht="15" customHeight="1" x14ac:dyDescent="0.2">
      <c r="B13" s="82" t="s">
        <v>15</v>
      </c>
      <c r="C13" s="88">
        <v>0</v>
      </c>
      <c r="D13" s="88">
        <f>C15</f>
        <v>7721500</v>
      </c>
      <c r="E13" s="88">
        <f>D15</f>
        <v>8872540.5</v>
      </c>
      <c r="F13" s="88">
        <f t="shared" ref="F13:G13" si="0">E15</f>
        <v>10210119.22875</v>
      </c>
      <c r="G13" s="88">
        <f t="shared" si="0"/>
        <v>11740517.111063998</v>
      </c>
      <c r="J13" s="83"/>
    </row>
    <row r="14" spans="2:11" s="57" customFormat="1" ht="13.9" customHeight="1" x14ac:dyDescent="0.2">
      <c r="B14" s="134" t="s">
        <v>173</v>
      </c>
      <c r="C14" s="88">
        <f>C9*$D$6</f>
        <v>185316000</v>
      </c>
      <c r="D14" s="88">
        <f>D9*$D$6</f>
        <v>212940971.99999997</v>
      </c>
      <c r="E14" s="88">
        <f>E9*$D$6</f>
        <v>245042861.49000001</v>
      </c>
      <c r="F14" s="88">
        <f>F9*$D$6</f>
        <v>281772410.66553599</v>
      </c>
      <c r="G14" s="88">
        <f>G9*$D$6</f>
        <v>323555357.27033305</v>
      </c>
      <c r="I14" s="83"/>
      <c r="J14" s="83"/>
      <c r="K14" s="74"/>
    </row>
    <row r="15" spans="2:11" s="57" customFormat="1" ht="15" x14ac:dyDescent="0.2">
      <c r="B15" s="134" t="s">
        <v>174</v>
      </c>
      <c r="C15" s="88">
        <f>(C14/360)*$D$5</f>
        <v>7721500</v>
      </c>
      <c r="D15" s="88">
        <f t="shared" ref="D15:G15" si="1">(D14/360)*$D$5</f>
        <v>8872540.5</v>
      </c>
      <c r="E15" s="88">
        <f t="shared" si="1"/>
        <v>10210119.22875</v>
      </c>
      <c r="F15" s="88">
        <f t="shared" si="1"/>
        <v>11740517.111063998</v>
      </c>
      <c r="G15" s="88">
        <f t="shared" si="1"/>
        <v>13481473.219597211</v>
      </c>
      <c r="I15" s="83" t="s">
        <v>208</v>
      </c>
      <c r="J15" s="83"/>
      <c r="K15" s="74"/>
    </row>
    <row r="16" spans="2:11" s="57" customFormat="1" ht="15.75" customHeight="1" x14ac:dyDescent="0.2">
      <c r="B16" s="143" t="s">
        <v>16</v>
      </c>
      <c r="C16" s="101">
        <f>C13+C14-C15</f>
        <v>177594500</v>
      </c>
      <c r="D16" s="101">
        <f t="shared" ref="D16:G16" si="2">D13+D14-D15</f>
        <v>211789931.49999997</v>
      </c>
      <c r="E16" s="101">
        <f t="shared" si="2"/>
        <v>243705282.76125002</v>
      </c>
      <c r="F16" s="101">
        <f t="shared" si="2"/>
        <v>280242012.78322196</v>
      </c>
      <c r="G16" s="101">
        <f t="shared" si="2"/>
        <v>321814401.16179985</v>
      </c>
      <c r="I16" s="57" t="s">
        <v>213</v>
      </c>
    </row>
    <row r="17" s="57" customFormat="1" ht="15" x14ac:dyDescent="0.2"/>
    <row r="18" s="57" customFormat="1" ht="15" x14ac:dyDescent="0.2"/>
  </sheetData>
  <mergeCells count="4">
    <mergeCell ref="B3:G3"/>
    <mergeCell ref="B5:C5"/>
    <mergeCell ref="B6:C6"/>
    <mergeCell ref="B11:G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FD56-B7E3-4733-87E1-41D4A8EEBB1D}">
  <dimension ref="B3:G43"/>
  <sheetViews>
    <sheetView showGridLines="0" workbookViewId="0">
      <selection activeCell="B3" sqref="B3:E3"/>
    </sheetView>
  </sheetViews>
  <sheetFormatPr baseColWidth="10" defaultColWidth="11.5703125" defaultRowHeight="14.25" x14ac:dyDescent="0.2"/>
  <cols>
    <col min="1" max="1" width="11.85546875" style="2" customWidth="1"/>
    <col min="2" max="2" width="34.140625" style="2" customWidth="1"/>
    <col min="3" max="5" width="28" style="2" customWidth="1"/>
    <col min="6" max="6" width="6.42578125" style="2" customWidth="1"/>
    <col min="7" max="7" width="12.7109375" style="2" customWidth="1"/>
    <col min="8" max="8" width="8.140625" style="2" customWidth="1"/>
    <col min="9" max="9" width="7.5703125" style="2" customWidth="1"/>
    <col min="10" max="16384" width="11.5703125" style="2"/>
  </cols>
  <sheetData>
    <row r="3" spans="2:7" ht="23.25" customHeight="1" x14ac:dyDescent="0.2">
      <c r="B3" s="207" t="s">
        <v>259</v>
      </c>
      <c r="C3" s="207"/>
      <c r="D3" s="207"/>
      <c r="E3" s="207"/>
      <c r="F3" s="54"/>
      <c r="G3" s="54"/>
    </row>
    <row r="5" spans="2:7" s="57" customFormat="1" ht="15.75" x14ac:dyDescent="0.2">
      <c r="B5" s="117" t="s">
        <v>178</v>
      </c>
      <c r="C5" s="88">
        <v>155000000</v>
      </c>
    </row>
    <row r="6" spans="2:7" s="57" customFormat="1" ht="15" x14ac:dyDescent="0.2"/>
    <row r="7" spans="2:7" s="57" customFormat="1" ht="15.75" x14ac:dyDescent="0.25">
      <c r="B7" s="225" t="s">
        <v>261</v>
      </c>
      <c r="C7" s="225"/>
    </row>
    <row r="8" spans="2:7" s="57" customFormat="1" ht="15.75" x14ac:dyDescent="0.2">
      <c r="B8" s="105" t="s">
        <v>116</v>
      </c>
      <c r="C8" s="105" t="s">
        <v>158</v>
      </c>
      <c r="D8" s="118"/>
      <c r="E8" s="104"/>
      <c r="F8" s="104"/>
      <c r="G8" s="104"/>
    </row>
    <row r="9" spans="2:7" s="57" customFormat="1" ht="15.75" x14ac:dyDescent="0.2">
      <c r="B9" s="248" t="s">
        <v>34</v>
      </c>
      <c r="C9" s="250"/>
      <c r="D9" s="118"/>
      <c r="E9" s="104"/>
      <c r="F9" s="104"/>
      <c r="G9" s="104"/>
    </row>
    <row r="10" spans="2:7" s="57" customFormat="1" ht="15" x14ac:dyDescent="0.2">
      <c r="B10" s="144" t="s">
        <v>175</v>
      </c>
      <c r="C10" s="149">
        <v>150000000</v>
      </c>
      <c r="D10" s="119"/>
      <c r="E10" s="104"/>
      <c r="F10" s="104"/>
      <c r="G10" s="104"/>
    </row>
    <row r="11" spans="2:7" s="57" customFormat="1" ht="15" x14ac:dyDescent="0.2">
      <c r="B11" s="82" t="s">
        <v>176</v>
      </c>
      <c r="C11" s="88">
        <v>50000000</v>
      </c>
      <c r="D11" s="119"/>
      <c r="E11" s="104"/>
      <c r="F11" s="104"/>
      <c r="G11" s="104"/>
    </row>
    <row r="12" spans="2:7" s="57" customFormat="1" ht="15" x14ac:dyDescent="0.2">
      <c r="B12" s="82" t="s">
        <v>37</v>
      </c>
      <c r="C12" s="88">
        <v>24000000</v>
      </c>
      <c r="D12" s="119"/>
      <c r="E12" s="104"/>
      <c r="F12" s="104"/>
      <c r="G12" s="104"/>
    </row>
    <row r="13" spans="2:7" s="57" customFormat="1" ht="15" x14ac:dyDescent="0.2">
      <c r="B13" s="82" t="s">
        <v>177</v>
      </c>
      <c r="C13" s="88">
        <v>6000000</v>
      </c>
      <c r="D13" s="119"/>
      <c r="E13" s="104"/>
      <c r="F13" s="104"/>
      <c r="G13" s="104"/>
    </row>
    <row r="14" spans="2:7" s="57" customFormat="1" ht="15" x14ac:dyDescent="0.2">
      <c r="B14" s="82" t="s">
        <v>38</v>
      </c>
      <c r="C14" s="88">
        <v>12000000</v>
      </c>
      <c r="D14" s="104"/>
      <c r="E14" s="104"/>
      <c r="F14" s="104"/>
      <c r="G14" s="104"/>
    </row>
    <row r="15" spans="2:7" s="57" customFormat="1" ht="15.75" x14ac:dyDescent="0.2">
      <c r="B15" s="143" t="s">
        <v>218</v>
      </c>
      <c r="C15" s="101">
        <f>SUM(C10:C14)</f>
        <v>242000000</v>
      </c>
      <c r="D15" s="104"/>
      <c r="E15" s="57" t="s">
        <v>213</v>
      </c>
      <c r="F15" s="104"/>
      <c r="G15" s="104"/>
    </row>
    <row r="16" spans="2:7" s="57" customFormat="1" ht="15" x14ac:dyDescent="0.2">
      <c r="B16" s="82" t="s">
        <v>78</v>
      </c>
      <c r="C16" s="88">
        <v>3000000</v>
      </c>
      <c r="D16" s="104"/>
      <c r="E16" s="104"/>
      <c r="F16" s="104"/>
      <c r="G16" s="104"/>
    </row>
    <row r="17" spans="2:7" s="57" customFormat="1" ht="15.75" x14ac:dyDescent="0.2">
      <c r="B17" s="143" t="s">
        <v>12</v>
      </c>
      <c r="C17" s="101">
        <f>C15+C16</f>
        <v>245000000</v>
      </c>
    </row>
    <row r="18" spans="2:7" s="57" customFormat="1" ht="15" x14ac:dyDescent="0.2"/>
    <row r="19" spans="2:7" s="57" customFormat="1" ht="15" x14ac:dyDescent="0.2">
      <c r="B19" s="82" t="s">
        <v>178</v>
      </c>
      <c r="C19" s="88">
        <f>C5</f>
        <v>155000000</v>
      </c>
      <c r="E19" s="57" t="s">
        <v>213</v>
      </c>
    </row>
    <row r="20" spans="2:7" s="57" customFormat="1" ht="15" x14ac:dyDescent="0.2">
      <c r="B20" s="82" t="s">
        <v>179</v>
      </c>
      <c r="C20" s="88">
        <f>C17-C19</f>
        <v>90000000</v>
      </c>
    </row>
    <row r="21" spans="2:7" s="57" customFormat="1" ht="15" x14ac:dyDescent="0.2"/>
    <row r="22" spans="2:7" s="57" customFormat="1" ht="15.75" x14ac:dyDescent="0.25">
      <c r="B22" s="234" t="s">
        <v>180</v>
      </c>
      <c r="C22" s="234"/>
      <c r="D22" s="234"/>
      <c r="E22" s="234"/>
    </row>
    <row r="23" spans="2:7" s="57" customFormat="1" ht="15" x14ac:dyDescent="0.2"/>
    <row r="24" spans="2:7" s="57" customFormat="1" ht="31.5" x14ac:dyDescent="0.2">
      <c r="B24" s="117" t="s">
        <v>181</v>
      </c>
      <c r="C24" s="120">
        <f>'Datos base'!F21</f>
        <v>0.25</v>
      </c>
    </row>
    <row r="25" spans="2:7" s="57" customFormat="1" ht="15" x14ac:dyDescent="0.2"/>
    <row r="26" spans="2:7" s="57" customFormat="1" ht="31.9" customHeight="1" x14ac:dyDescent="0.2">
      <c r="B26" s="256" t="s">
        <v>182</v>
      </c>
      <c r="C26" s="256"/>
      <c r="D26" s="256"/>
      <c r="E26" s="256"/>
    </row>
    <row r="27" spans="2:7" s="57" customFormat="1" ht="15.75" customHeight="1" x14ac:dyDescent="0.2">
      <c r="B27" s="56" t="s">
        <v>39</v>
      </c>
      <c r="C27" s="56" t="s">
        <v>40</v>
      </c>
      <c r="D27" s="56" t="s">
        <v>41</v>
      </c>
      <c r="E27" s="56" t="s">
        <v>42</v>
      </c>
    </row>
    <row r="28" spans="2:7" s="57" customFormat="1" ht="15.75" customHeight="1" x14ac:dyDescent="0.2">
      <c r="B28" s="58">
        <v>0</v>
      </c>
      <c r="C28" s="58"/>
      <c r="D28" s="58"/>
      <c r="E28" s="59">
        <f>C20</f>
        <v>90000000</v>
      </c>
      <c r="G28" s="83" t="s">
        <v>213</v>
      </c>
    </row>
    <row r="29" spans="2:7" s="57" customFormat="1" ht="15.75" customHeight="1" x14ac:dyDescent="0.2">
      <c r="B29" s="58">
        <v>1</v>
      </c>
      <c r="C29" s="59">
        <f>E28*$C$24</f>
        <v>22500000</v>
      </c>
      <c r="D29" s="59">
        <f>$E$28/$B$33</f>
        <v>18000000</v>
      </c>
      <c r="E29" s="59">
        <f>E28-D29</f>
        <v>72000000</v>
      </c>
      <c r="G29" s="83"/>
    </row>
    <row r="30" spans="2:7" s="57" customFormat="1" ht="15.75" customHeight="1" x14ac:dyDescent="0.2">
      <c r="B30" s="58">
        <v>2</v>
      </c>
      <c r="C30" s="59">
        <f t="shared" ref="C30:C33" si="0">E29*$C$24</f>
        <v>18000000</v>
      </c>
      <c r="D30" s="59">
        <f t="shared" ref="D30:D33" si="1">$E$28/$B$33</f>
        <v>18000000</v>
      </c>
      <c r="E30" s="59">
        <f>E29-D30</f>
        <v>54000000</v>
      </c>
    </row>
    <row r="31" spans="2:7" s="57" customFormat="1" ht="15.75" customHeight="1" x14ac:dyDescent="0.2">
      <c r="B31" s="58">
        <v>3</v>
      </c>
      <c r="C31" s="59">
        <f t="shared" si="0"/>
        <v>13500000</v>
      </c>
      <c r="D31" s="59">
        <f t="shared" si="1"/>
        <v>18000000</v>
      </c>
      <c r="E31" s="59">
        <f t="shared" ref="E31:E33" si="2">E30-D31</f>
        <v>36000000</v>
      </c>
    </row>
    <row r="32" spans="2:7" s="57" customFormat="1" ht="15.75" customHeight="1" x14ac:dyDescent="0.2">
      <c r="B32" s="58">
        <v>4</v>
      </c>
      <c r="C32" s="59">
        <f t="shared" si="0"/>
        <v>9000000</v>
      </c>
      <c r="D32" s="59">
        <f t="shared" si="1"/>
        <v>18000000</v>
      </c>
      <c r="E32" s="59">
        <f t="shared" si="2"/>
        <v>18000000</v>
      </c>
    </row>
    <row r="33" spans="2:5" s="57" customFormat="1" ht="15.75" customHeight="1" x14ac:dyDescent="0.2">
      <c r="B33" s="58">
        <v>5</v>
      </c>
      <c r="C33" s="59">
        <f t="shared" si="0"/>
        <v>4500000</v>
      </c>
      <c r="D33" s="59">
        <f t="shared" si="1"/>
        <v>18000000</v>
      </c>
      <c r="E33" s="59">
        <f t="shared" si="2"/>
        <v>0</v>
      </c>
    </row>
    <row r="34" spans="2:5" s="57" customFormat="1" ht="15" x14ac:dyDescent="0.2"/>
    <row r="35" spans="2:5" s="57" customFormat="1" ht="15" x14ac:dyDescent="0.2"/>
    <row r="36" spans="2:5" s="57" customFormat="1" ht="15" customHeight="1" x14ac:dyDescent="0.2">
      <c r="C36" s="255" t="s">
        <v>213</v>
      </c>
      <c r="D36" s="255"/>
      <c r="E36" s="57" t="s">
        <v>208</v>
      </c>
    </row>
    <row r="37" spans="2:5" s="57" customFormat="1" ht="15" x14ac:dyDescent="0.2"/>
    <row r="38" spans="2:5" s="57" customFormat="1" ht="15" x14ac:dyDescent="0.2"/>
    <row r="39" spans="2:5" s="57" customFormat="1" ht="7.9" customHeight="1" x14ac:dyDescent="0.2"/>
    <row r="40" spans="2:5" s="57" customFormat="1" ht="15" x14ac:dyDescent="0.2">
      <c r="C40" s="57" t="s">
        <v>249</v>
      </c>
    </row>
    <row r="41" spans="2:5" s="57" customFormat="1" ht="15" x14ac:dyDescent="0.2"/>
    <row r="42" spans="2:5" s="57" customFormat="1" ht="15" x14ac:dyDescent="0.2"/>
    <row r="43" spans="2:5" s="57" customFormat="1" ht="15" x14ac:dyDescent="0.2"/>
  </sheetData>
  <mergeCells count="6">
    <mergeCell ref="C36:D36"/>
    <mergeCell ref="B3:E3"/>
    <mergeCell ref="B9:C9"/>
    <mergeCell ref="B22:E22"/>
    <mergeCell ref="B7:C7"/>
    <mergeCell ref="B26:E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91B6-7CE3-45E1-90E5-6B26B9CEB272}">
  <dimension ref="B3:L21"/>
  <sheetViews>
    <sheetView showGridLines="0" workbookViewId="0">
      <selection activeCell="B3" sqref="B3:G3"/>
    </sheetView>
  </sheetViews>
  <sheetFormatPr baseColWidth="10" defaultRowHeight="15" x14ac:dyDescent="0.25"/>
  <cols>
    <col min="1" max="1" width="11.85546875" customWidth="1"/>
    <col min="2" max="2" width="46.28515625" customWidth="1"/>
    <col min="3" max="7" width="21.140625" customWidth="1"/>
    <col min="8" max="8" width="6.28515625" customWidth="1"/>
  </cols>
  <sheetData>
    <row r="3" spans="2:12" ht="26.25" customHeight="1" x14ac:dyDescent="0.25">
      <c r="B3" s="207" t="s">
        <v>2294</v>
      </c>
      <c r="C3" s="207"/>
      <c r="D3" s="207"/>
      <c r="E3" s="207"/>
      <c r="F3" s="207"/>
      <c r="G3" s="207"/>
    </row>
    <row r="5" spans="2:12" s="57" customFormat="1" ht="15.75" x14ac:dyDescent="0.25">
      <c r="B5" s="55" t="s">
        <v>43</v>
      </c>
      <c r="C5" s="64">
        <v>2025</v>
      </c>
      <c r="D5" s="64">
        <v>2026</v>
      </c>
      <c r="E5" s="64">
        <v>2027</v>
      </c>
      <c r="F5" s="64">
        <v>2028</v>
      </c>
      <c r="G5" s="64">
        <v>2029</v>
      </c>
    </row>
    <row r="6" spans="2:12" s="57" customFormat="1" x14ac:dyDescent="0.2">
      <c r="B6" s="68" t="s">
        <v>44</v>
      </c>
      <c r="C6" s="66">
        <f>'Ppto Producción'!C69</f>
        <v>0</v>
      </c>
      <c r="D6" s="66">
        <f>'Ppto Producción'!D69</f>
        <v>432812.03697195475</v>
      </c>
      <c r="E6" s="66">
        <f>'Ppto Producción'!E69</f>
        <v>495115.11110212974</v>
      </c>
      <c r="F6" s="66">
        <f>'Ppto Producción'!F69</f>
        <v>565248.84794081666</v>
      </c>
      <c r="G6" s="66">
        <f>'Ppto Producción'!G69</f>
        <v>644157.5871133547</v>
      </c>
      <c r="J6" s="83"/>
      <c r="K6" s="83"/>
      <c r="L6" s="83"/>
    </row>
    <row r="7" spans="2:12" s="57" customFormat="1" ht="14.45" customHeight="1" x14ac:dyDescent="0.2">
      <c r="B7" s="81" t="s">
        <v>45</v>
      </c>
      <c r="C7" s="66">
        <f>'Ppto Producción'!C70</f>
        <v>31531887.036971956</v>
      </c>
      <c r="D7" s="66">
        <f>'Ppto Producción'!D70</f>
        <v>35605435.891630173</v>
      </c>
      <c r="E7" s="66">
        <f>'Ppto Producción'!E70</f>
        <v>40614185.341760941</v>
      </c>
      <c r="F7" s="66">
        <f>'Ppto Producción'!F70</f>
        <v>46282909.94814194</v>
      </c>
      <c r="G7" s="66">
        <f>'Ppto Producción'!G70</f>
        <v>52691461.046010703</v>
      </c>
      <c r="J7" s="83"/>
      <c r="K7" s="83"/>
      <c r="L7" s="83"/>
    </row>
    <row r="8" spans="2:12" s="57" customFormat="1" x14ac:dyDescent="0.2">
      <c r="B8" s="81" t="s">
        <v>46</v>
      </c>
      <c r="C8" s="66">
        <f>C6+C7</f>
        <v>31531887.036971956</v>
      </c>
      <c r="D8" s="66">
        <f t="shared" ref="D8:G8" si="0">D6+D7</f>
        <v>36038247.928602129</v>
      </c>
      <c r="E8" s="66">
        <f t="shared" si="0"/>
        <v>41109300.452863067</v>
      </c>
      <c r="F8" s="66">
        <f t="shared" si="0"/>
        <v>46848158.796082757</v>
      </c>
      <c r="G8" s="66">
        <f t="shared" si="0"/>
        <v>53335618.633124061</v>
      </c>
      <c r="I8" s="83" t="s">
        <v>184</v>
      </c>
      <c r="J8" s="83"/>
      <c r="K8" s="83"/>
      <c r="L8" s="83"/>
    </row>
    <row r="9" spans="2:12" s="57" customFormat="1" x14ac:dyDescent="0.2">
      <c r="B9" s="81" t="s">
        <v>49</v>
      </c>
      <c r="C9" s="66">
        <f>'Ppto Producción'!C68</f>
        <v>432812.03697195475</v>
      </c>
      <c r="D9" s="66">
        <f>'Ppto Producción'!D68</f>
        <v>495115.11110212974</v>
      </c>
      <c r="E9" s="66">
        <f>'Ppto Producción'!E68</f>
        <v>565248.84794081666</v>
      </c>
      <c r="F9" s="66">
        <f>'Ppto Producción'!F68</f>
        <v>644157.5871133547</v>
      </c>
      <c r="G9" s="66">
        <f>'Ppto Producción'!G68</f>
        <v>732363.25671239931</v>
      </c>
      <c r="I9" s="83"/>
      <c r="J9" s="83"/>
      <c r="K9" s="83"/>
      <c r="L9" s="83"/>
    </row>
    <row r="10" spans="2:12" s="57" customFormat="1" ht="14.45" customHeight="1" x14ac:dyDescent="0.2">
      <c r="B10" s="81" t="s">
        <v>47</v>
      </c>
      <c r="C10" s="66">
        <f>C8-C9</f>
        <v>31099075</v>
      </c>
      <c r="D10" s="66">
        <f t="shared" ref="D10:G10" si="1">D8-D9</f>
        <v>35543132.817500003</v>
      </c>
      <c r="E10" s="66">
        <f t="shared" si="1"/>
        <v>40544051.60492225</v>
      </c>
      <c r="F10" s="66">
        <f t="shared" si="1"/>
        <v>46204001.208969399</v>
      </c>
      <c r="G10" s="66">
        <f t="shared" si="1"/>
        <v>52603255.376411662</v>
      </c>
      <c r="J10" s="83"/>
      <c r="K10" s="83"/>
      <c r="L10" s="83"/>
    </row>
    <row r="11" spans="2:12" s="57" customFormat="1" x14ac:dyDescent="0.2">
      <c r="B11" s="81" t="s">
        <v>2307</v>
      </c>
      <c r="C11" s="66">
        <f>MOD!C38</f>
        <v>85910332.560000002</v>
      </c>
      <c r="D11" s="66">
        <f>MOD!D38</f>
        <v>89260835.529839993</v>
      </c>
      <c r="E11" s="66">
        <f>MOD!E38</f>
        <v>92563486.444444075</v>
      </c>
      <c r="F11" s="66">
        <f>MOD!F38</f>
        <v>95895771.95644407</v>
      </c>
      <c r="G11" s="66">
        <f>MOD!G38</f>
        <v>99252123.974919617</v>
      </c>
      <c r="I11" s="83" t="s">
        <v>186</v>
      </c>
      <c r="J11" s="83"/>
      <c r="K11" s="83"/>
      <c r="L11" s="83"/>
    </row>
    <row r="12" spans="2:12" s="57" customFormat="1" x14ac:dyDescent="0.2">
      <c r="B12" s="81" t="s">
        <v>48</v>
      </c>
      <c r="C12" s="66">
        <f>CIF!C39</f>
        <v>40930000</v>
      </c>
      <c r="D12" s="66">
        <f>CIF!D39</f>
        <v>42203920</v>
      </c>
      <c r="E12" s="66">
        <f>CIF!E39</f>
        <v>42322005.789999992</v>
      </c>
      <c r="F12" s="66">
        <f>CIF!F39</f>
        <v>43724707.282839991</v>
      </c>
      <c r="G12" s="66">
        <f>CIF!G39</f>
        <v>39170114.737405196</v>
      </c>
      <c r="I12" s="83" t="s">
        <v>188</v>
      </c>
      <c r="J12" s="83"/>
      <c r="K12" s="83"/>
    </row>
    <row r="13" spans="2:12" s="57" customFormat="1" x14ac:dyDescent="0.2">
      <c r="B13" s="81" t="s">
        <v>50</v>
      </c>
      <c r="C13" s="66">
        <f>C10+C11+C12</f>
        <v>157939407.56</v>
      </c>
      <c r="D13" s="66">
        <f t="shared" ref="D13:G13" si="2">D10+D11+D12</f>
        <v>167007888.34733999</v>
      </c>
      <c r="E13" s="66">
        <f t="shared" si="2"/>
        <v>175429543.83936632</v>
      </c>
      <c r="F13" s="66">
        <f t="shared" si="2"/>
        <v>185824480.44825345</v>
      </c>
      <c r="G13" s="66">
        <f t="shared" si="2"/>
        <v>191025494.08873647</v>
      </c>
      <c r="I13" s="83"/>
      <c r="J13" s="83"/>
      <c r="K13" s="83"/>
    </row>
    <row r="14" spans="2:12" s="57" customFormat="1" x14ac:dyDescent="0.2">
      <c r="B14" s="81" t="s">
        <v>51</v>
      </c>
      <c r="C14" s="66">
        <v>0</v>
      </c>
      <c r="D14" s="66">
        <f>C16</f>
        <v>2183494.1137327189</v>
      </c>
      <c r="E14" s="66">
        <f t="shared" ref="E14:G14" si="3">D16</f>
        <v>2806855.2663418488</v>
      </c>
      <c r="F14" s="66">
        <f t="shared" si="3"/>
        <v>2668129.9443249628</v>
      </c>
      <c r="G14" s="66">
        <f t="shared" si="3"/>
        <v>3171066.2192534721</v>
      </c>
      <c r="I14" s="57" t="s">
        <v>184</v>
      </c>
    </row>
    <row r="15" spans="2:12" s="57" customFormat="1" x14ac:dyDescent="0.2">
      <c r="B15" s="81" t="s">
        <v>52</v>
      </c>
      <c r="C15" s="66">
        <f>C13+C14</f>
        <v>157939407.56</v>
      </c>
      <c r="D15" s="66">
        <f t="shared" ref="D15:G15" si="4">D13+D14</f>
        <v>169191382.46107271</v>
      </c>
      <c r="E15" s="66">
        <f t="shared" si="4"/>
        <v>178236399.10570815</v>
      </c>
      <c r="F15" s="66">
        <f t="shared" si="4"/>
        <v>188492610.39257842</v>
      </c>
      <c r="G15" s="66">
        <f t="shared" si="4"/>
        <v>194196560.30798995</v>
      </c>
    </row>
    <row r="16" spans="2:12" s="57" customFormat="1" x14ac:dyDescent="0.2">
      <c r="B16" s="81" t="s">
        <v>53</v>
      </c>
      <c r="C16" s="66">
        <f>(C13/'Ppto Producción'!C65)*'Ppto Producción'!C60</f>
        <v>2183494.1137327189</v>
      </c>
      <c r="D16" s="66">
        <f>(D13/'Ppto Producción'!D65)*'Ppto Producción'!D60</f>
        <v>2806855.2663418488</v>
      </c>
      <c r="E16" s="66">
        <f>(E13/'Ppto Producción'!E65)*'Ppto Producción'!E60</f>
        <v>2668129.9443249628</v>
      </c>
      <c r="F16" s="66">
        <f>(F13/'Ppto Producción'!F65)*'Ppto Producción'!F60</f>
        <v>3171066.2192534721</v>
      </c>
      <c r="G16" s="66">
        <f>(G13/'Ppto Producción'!G65)*'Ppto Producción'!G60</f>
        <v>2947924.2914928468</v>
      </c>
      <c r="H16" s="85"/>
    </row>
    <row r="17" spans="2:9" s="57" customFormat="1" ht="15.75" x14ac:dyDescent="0.25">
      <c r="B17" s="158" t="s">
        <v>54</v>
      </c>
      <c r="C17" s="133">
        <f>C15-C16</f>
        <v>155755913.44626728</v>
      </c>
      <c r="D17" s="133">
        <f t="shared" ref="D17:G17" si="5">D15-D16</f>
        <v>166384527.19473088</v>
      </c>
      <c r="E17" s="133">
        <f t="shared" si="5"/>
        <v>175568269.16138318</v>
      </c>
      <c r="F17" s="133">
        <f t="shared" si="5"/>
        <v>185321544.17332494</v>
      </c>
      <c r="G17" s="133">
        <f t="shared" si="5"/>
        <v>191248636.01649711</v>
      </c>
      <c r="I17" s="57" t="s">
        <v>197</v>
      </c>
    </row>
    <row r="18" spans="2:9" s="57" customFormat="1" x14ac:dyDescent="0.2"/>
    <row r="19" spans="2:9" s="57" customFormat="1" x14ac:dyDescent="0.2"/>
    <row r="20" spans="2:9" s="57" customFormat="1" x14ac:dyDescent="0.2"/>
    <row r="21" spans="2:9" s="57" customFormat="1" x14ac:dyDescent="0.2"/>
  </sheetData>
  <mergeCells count="1">
    <mergeCell ref="B3:G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3EB21-A7FB-4566-9742-312B59D75B84}">
  <dimension ref="B3:L21"/>
  <sheetViews>
    <sheetView showGridLines="0" workbookViewId="0">
      <selection activeCell="B3" sqref="B3:G3"/>
    </sheetView>
  </sheetViews>
  <sheetFormatPr baseColWidth="10" defaultRowHeight="15" x14ac:dyDescent="0.25"/>
  <cols>
    <col min="1" max="1" width="11.7109375" customWidth="1"/>
    <col min="2" max="2" width="38.28515625" customWidth="1"/>
    <col min="3" max="7" width="21.5703125" customWidth="1"/>
    <col min="8" max="8" width="6.28515625" customWidth="1"/>
    <col min="11" max="11" width="15.7109375" customWidth="1"/>
  </cols>
  <sheetData>
    <row r="3" spans="2:12" ht="26.25" x14ac:dyDescent="0.25">
      <c r="B3" s="207" t="s">
        <v>203</v>
      </c>
      <c r="C3" s="207"/>
      <c r="D3" s="207"/>
      <c r="E3" s="207"/>
      <c r="F3" s="207"/>
      <c r="G3" s="207"/>
    </row>
    <row r="5" spans="2:12" s="57" customFormat="1" ht="15.75" x14ac:dyDescent="0.2">
      <c r="B5" s="117" t="s">
        <v>202</v>
      </c>
      <c r="C5" s="79">
        <f>'Datos base'!F22</f>
        <v>0.35</v>
      </c>
    </row>
    <row r="6" spans="2:12" s="57" customFormat="1" ht="15.75" x14ac:dyDescent="0.2">
      <c r="B6" s="117" t="s">
        <v>57</v>
      </c>
      <c r="C6" s="79">
        <f>'Datos base'!F23</f>
        <v>0.1</v>
      </c>
    </row>
    <row r="7" spans="2:12" s="57" customFormat="1" x14ac:dyDescent="0.2"/>
    <row r="8" spans="2:12" s="57" customFormat="1" ht="15.75" x14ac:dyDescent="0.25">
      <c r="B8" s="155" t="s">
        <v>55</v>
      </c>
      <c r="C8" s="64">
        <v>2025</v>
      </c>
      <c r="D8" s="64">
        <v>2026</v>
      </c>
      <c r="E8" s="64">
        <v>2027</v>
      </c>
      <c r="F8" s="64">
        <v>2028</v>
      </c>
      <c r="G8" s="64">
        <v>2029</v>
      </c>
    </row>
    <row r="9" spans="2:12" s="57" customFormat="1" x14ac:dyDescent="0.2">
      <c r="B9" s="82" t="s">
        <v>56</v>
      </c>
      <c r="C9" s="88">
        <f>'Ppto Ventas'!D37</f>
        <v>308860000</v>
      </c>
      <c r="D9" s="88">
        <f>'Ppto Ventas'!E37</f>
        <v>354901619.99999994</v>
      </c>
      <c r="E9" s="88">
        <f>'Ppto Ventas'!F37</f>
        <v>408404769.15000004</v>
      </c>
      <c r="F9" s="88">
        <f>'Ppto Ventas'!G37</f>
        <v>469620684.44255996</v>
      </c>
      <c r="G9" s="88">
        <f>'Ppto Ventas'!H37</f>
        <v>539258928.78388846</v>
      </c>
      <c r="I9" s="83" t="s">
        <v>190</v>
      </c>
      <c r="J9" s="83"/>
      <c r="K9" s="83"/>
      <c r="L9" s="83"/>
    </row>
    <row r="10" spans="2:12" s="57" customFormat="1" x14ac:dyDescent="0.2">
      <c r="B10" s="134" t="s">
        <v>192</v>
      </c>
      <c r="C10" s="88">
        <f>'Estado costos'!C17</f>
        <v>155755913.44626728</v>
      </c>
      <c r="D10" s="88">
        <f>'Estado costos'!D17</f>
        <v>166384527.19473088</v>
      </c>
      <c r="E10" s="88">
        <f>'Estado costos'!E17</f>
        <v>175568269.16138318</v>
      </c>
      <c r="F10" s="88">
        <f>'Estado costos'!F17</f>
        <v>185321544.17332494</v>
      </c>
      <c r="G10" s="88">
        <f>'Estado costos'!G17</f>
        <v>191248636.01649711</v>
      </c>
      <c r="I10" s="83" t="s">
        <v>191</v>
      </c>
      <c r="J10" s="83"/>
      <c r="K10" s="83"/>
      <c r="L10" s="83"/>
    </row>
    <row r="11" spans="2:12" s="57" customFormat="1" ht="15.75" x14ac:dyDescent="0.2">
      <c r="B11" s="135" t="s">
        <v>193</v>
      </c>
      <c r="C11" s="101">
        <f>C9-C10</f>
        <v>153104086.55373272</v>
      </c>
      <c r="D11" s="101">
        <f t="shared" ref="D11:G11" si="0">D9-D10</f>
        <v>188517092.80526906</v>
      </c>
      <c r="E11" s="101">
        <f>E9-E10</f>
        <v>232836499.98861685</v>
      </c>
      <c r="F11" s="101">
        <f t="shared" si="0"/>
        <v>284299140.26923501</v>
      </c>
      <c r="G11" s="101">
        <f t="shared" si="0"/>
        <v>348010292.76739132</v>
      </c>
      <c r="I11" s="83"/>
      <c r="J11" s="83"/>
      <c r="K11" s="83"/>
      <c r="L11" s="83"/>
    </row>
    <row r="12" spans="2:12" s="57" customFormat="1" ht="15" customHeight="1" x14ac:dyDescent="0.2">
      <c r="B12" s="134" t="s">
        <v>194</v>
      </c>
      <c r="C12" s="88">
        <f>'Admón y ventas'!C64</f>
        <v>134479312.16</v>
      </c>
      <c r="D12" s="88">
        <f>'Admón y ventas'!D64</f>
        <v>139363645.33424002</v>
      </c>
      <c r="E12" s="88">
        <f>'Admón y ventas'!E64</f>
        <v>143378220.21160686</v>
      </c>
      <c r="F12" s="88">
        <f>'Admón y ventas'!F64</f>
        <v>148235996.13922471</v>
      </c>
      <c r="G12" s="88">
        <f>'Admón y ventas'!G64</f>
        <v>149128856.00409758</v>
      </c>
      <c r="I12" s="83" t="s">
        <v>195</v>
      </c>
      <c r="J12" s="83"/>
      <c r="K12" s="83"/>
      <c r="L12" s="83"/>
    </row>
    <row r="13" spans="2:12" s="57" customFormat="1" ht="15.75" x14ac:dyDescent="0.2">
      <c r="B13" s="135" t="s">
        <v>196</v>
      </c>
      <c r="C13" s="101">
        <f>C11-C12</f>
        <v>18624774.393732727</v>
      </c>
      <c r="D13" s="101">
        <f>D11-D12</f>
        <v>49153447.471029043</v>
      </c>
      <c r="E13" s="101">
        <f t="shared" ref="E13:G13" si="1">E11-E12</f>
        <v>89458279.777009994</v>
      </c>
      <c r="F13" s="101">
        <f t="shared" si="1"/>
        <v>136063144.13001031</v>
      </c>
      <c r="G13" s="101">
        <f t="shared" si="1"/>
        <v>198881436.76329374</v>
      </c>
      <c r="I13" s="83"/>
      <c r="J13" s="83"/>
      <c r="K13" s="83"/>
      <c r="L13" s="83"/>
    </row>
    <row r="14" spans="2:12" s="57" customFormat="1" x14ac:dyDescent="0.2">
      <c r="B14" s="134" t="s">
        <v>198</v>
      </c>
      <c r="C14" s="88">
        <v>10000000</v>
      </c>
      <c r="D14" s="88">
        <v>0</v>
      </c>
      <c r="E14" s="88">
        <v>0</v>
      </c>
      <c r="F14" s="88">
        <v>0</v>
      </c>
      <c r="G14" s="88">
        <v>0</v>
      </c>
      <c r="I14" s="57" t="s">
        <v>213</v>
      </c>
    </row>
    <row r="15" spans="2:12" s="57" customFormat="1" ht="15" customHeight="1" x14ac:dyDescent="0.2">
      <c r="B15" s="134" t="s">
        <v>199</v>
      </c>
      <c r="C15" s="88">
        <f>'Ppto inversión y plan pagos'!C29</f>
        <v>22500000</v>
      </c>
      <c r="D15" s="88">
        <f>'Ppto inversión y plan pagos'!C30</f>
        <v>18000000</v>
      </c>
      <c r="E15" s="88">
        <f>'Ppto inversión y plan pagos'!C31</f>
        <v>13500000</v>
      </c>
      <c r="F15" s="88">
        <f>'Ppto inversión y plan pagos'!C32</f>
        <v>9000000</v>
      </c>
      <c r="G15" s="88">
        <f>'Ppto inversión y plan pagos'!C33</f>
        <v>4500000</v>
      </c>
      <c r="I15" s="83" t="s">
        <v>201</v>
      </c>
      <c r="J15" s="83"/>
      <c r="K15" s="83"/>
    </row>
    <row r="16" spans="2:12" s="57" customFormat="1" ht="15.75" x14ac:dyDescent="0.2">
      <c r="B16" s="135" t="s">
        <v>200</v>
      </c>
      <c r="C16" s="101">
        <f>C13+C14-C15</f>
        <v>6124774.3937327266</v>
      </c>
      <c r="D16" s="101">
        <f>D13+D14-D15</f>
        <v>31153447.471029043</v>
      </c>
      <c r="E16" s="101">
        <f>E13+E14-E15</f>
        <v>75958279.777009994</v>
      </c>
      <c r="F16" s="101">
        <f>F13+F14-F15</f>
        <v>127063144.13001031</v>
      </c>
      <c r="G16" s="101">
        <f>G13+G14-G15</f>
        <v>194381436.76329374</v>
      </c>
      <c r="I16" s="83"/>
      <c r="J16" s="83"/>
      <c r="K16" s="83"/>
    </row>
    <row r="17" spans="2:9" s="57" customFormat="1" x14ac:dyDescent="0.2">
      <c r="B17" s="134" t="s">
        <v>204</v>
      </c>
      <c r="C17" s="88">
        <f>C16*$C$5</f>
        <v>2143671.0378064541</v>
      </c>
      <c r="D17" s="88">
        <f t="shared" ref="D17:G17" si="2">D16*$C$5</f>
        <v>10903706.614860164</v>
      </c>
      <c r="E17" s="88">
        <f t="shared" si="2"/>
        <v>26585397.921953496</v>
      </c>
      <c r="F17" s="88">
        <f t="shared" si="2"/>
        <v>44472100.445503607</v>
      </c>
      <c r="G17" s="88">
        <f t="shared" si="2"/>
        <v>68033502.86715281</v>
      </c>
      <c r="I17" s="57" t="s">
        <v>213</v>
      </c>
    </row>
    <row r="18" spans="2:9" s="57" customFormat="1" ht="15.75" x14ac:dyDescent="0.2">
      <c r="B18" s="135" t="s">
        <v>205</v>
      </c>
      <c r="C18" s="101">
        <f>C16-C17</f>
        <v>3981103.3559262725</v>
      </c>
      <c r="D18" s="101">
        <f t="shared" ref="D18:G18" si="3">D16-D17</f>
        <v>20249740.856168881</v>
      </c>
      <c r="E18" s="101">
        <f t="shared" si="3"/>
        <v>49372881.855056494</v>
      </c>
      <c r="F18" s="101">
        <f t="shared" si="3"/>
        <v>82591043.684506699</v>
      </c>
      <c r="G18" s="101">
        <f t="shared" si="3"/>
        <v>126347933.89614093</v>
      </c>
      <c r="H18" s="85"/>
    </row>
    <row r="19" spans="2:9" s="57" customFormat="1" x14ac:dyDescent="0.2">
      <c r="B19" s="134" t="s">
        <v>206</v>
      </c>
      <c r="C19" s="88">
        <f>C18*$C$6</f>
        <v>398110.33559262729</v>
      </c>
      <c r="D19" s="88">
        <f t="shared" ref="D19:G19" si="4">D18*$C$6</f>
        <v>2024974.0856168882</v>
      </c>
      <c r="E19" s="88">
        <f t="shared" si="4"/>
        <v>4937288.18550565</v>
      </c>
      <c r="F19" s="88">
        <f t="shared" si="4"/>
        <v>8259104.3684506705</v>
      </c>
      <c r="G19" s="88">
        <f t="shared" si="4"/>
        <v>12634793.389614094</v>
      </c>
      <c r="I19" s="57" t="s">
        <v>208</v>
      </c>
    </row>
    <row r="20" spans="2:9" s="57" customFormat="1" ht="15.75" x14ac:dyDescent="0.2">
      <c r="B20" s="159" t="s">
        <v>207</v>
      </c>
      <c r="C20" s="160">
        <f>C18-C19</f>
        <v>3582993.0203336449</v>
      </c>
      <c r="D20" s="160">
        <f t="shared" ref="D20:G20" si="5">D18-D19</f>
        <v>18224766.770551994</v>
      </c>
      <c r="E20" s="160">
        <f t="shared" si="5"/>
        <v>44435593.669550844</v>
      </c>
      <c r="F20" s="160">
        <f t="shared" si="5"/>
        <v>74331939.316056028</v>
      </c>
      <c r="G20" s="160">
        <f t="shared" si="5"/>
        <v>113713140.50652684</v>
      </c>
      <c r="I20" s="57" t="s">
        <v>208</v>
      </c>
    </row>
    <row r="21" spans="2:9" s="57" customFormat="1" x14ac:dyDescent="0.2"/>
  </sheetData>
  <mergeCells count="1">
    <mergeCell ref="B3:G3"/>
  </mergeCells>
  <pageMargins left="0.7" right="0.7" top="0.75" bottom="0.75" header="0.3" footer="0.3"/>
  <ignoredErrors>
    <ignoredError sqref="C12:G12 C19:G19" formula="1"/>
  </ignoredError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C4E1-F978-4965-855B-A91B52A7D191}">
  <dimension ref="B3:P57"/>
  <sheetViews>
    <sheetView showGridLines="0" workbookViewId="0">
      <selection activeCell="B3" sqref="B3:G3"/>
    </sheetView>
  </sheetViews>
  <sheetFormatPr baseColWidth="10" defaultRowHeight="15" x14ac:dyDescent="0.25"/>
  <cols>
    <col min="1" max="1" width="11.85546875" customWidth="1"/>
    <col min="2" max="2" width="34.5703125" customWidth="1"/>
    <col min="3" max="8" width="22.7109375" customWidth="1"/>
    <col min="9" max="9" width="6.28515625" customWidth="1"/>
    <col min="10" max="10" width="12.7109375" bestFit="1" customWidth="1"/>
  </cols>
  <sheetData>
    <row r="3" spans="2:10" ht="26.25" x14ac:dyDescent="0.25">
      <c r="B3" s="207" t="s">
        <v>229</v>
      </c>
      <c r="C3" s="207"/>
      <c r="D3" s="207"/>
      <c r="E3" s="207"/>
      <c r="F3" s="207"/>
      <c r="G3" s="207"/>
    </row>
    <row r="4" spans="2:10" x14ac:dyDescent="0.25">
      <c r="B4" s="3"/>
      <c r="C4" s="3"/>
    </row>
    <row r="5" spans="2:10" s="57" customFormat="1" ht="15.75" x14ac:dyDescent="0.2">
      <c r="B5" s="117" t="s">
        <v>178</v>
      </c>
      <c r="C5" s="66">
        <f>'Datos base'!F20</f>
        <v>155000000</v>
      </c>
    </row>
    <row r="6" spans="2:10" s="57" customFormat="1" ht="31.5" x14ac:dyDescent="0.2">
      <c r="B6" s="117" t="s">
        <v>210</v>
      </c>
      <c r="C6" s="79">
        <f>'Datos base'!F19</f>
        <v>0.4</v>
      </c>
    </row>
    <row r="7" spans="2:10" s="57" customFormat="1" ht="31.5" x14ac:dyDescent="0.2">
      <c r="B7" s="98" t="s">
        <v>216</v>
      </c>
      <c r="C7" s="66">
        <f>'Datos base'!F24</f>
        <v>30</v>
      </c>
    </row>
    <row r="8" spans="2:10" s="57" customFormat="1" ht="15.75" x14ac:dyDescent="0.2">
      <c r="B8" s="121"/>
      <c r="C8" s="102"/>
    </row>
    <row r="9" spans="2:10" s="57" customFormat="1" ht="42" customHeight="1" x14ac:dyDescent="0.2">
      <c r="B9" s="223" t="s">
        <v>2308</v>
      </c>
      <c r="C9" s="223"/>
      <c r="D9" s="223"/>
      <c r="E9" s="223"/>
      <c r="F9" s="223"/>
      <c r="G9" s="223"/>
      <c r="H9" s="63"/>
    </row>
    <row r="10" spans="2:10" s="57" customFormat="1" ht="15.75" x14ac:dyDescent="0.2">
      <c r="B10" s="121"/>
      <c r="C10" s="102"/>
    </row>
    <row r="11" spans="2:10" s="57" customFormat="1" ht="48.6" customHeight="1" x14ac:dyDescent="0.2">
      <c r="B11" s="56" t="s">
        <v>219</v>
      </c>
      <c r="C11" s="55">
        <v>2025</v>
      </c>
      <c r="D11" s="55">
        <v>2026</v>
      </c>
      <c r="E11" s="55">
        <v>2027</v>
      </c>
      <c r="F11" s="55">
        <v>2028</v>
      </c>
      <c r="G11" s="55">
        <v>2029</v>
      </c>
    </row>
    <row r="12" spans="2:10" s="57" customFormat="1" x14ac:dyDescent="0.2">
      <c r="B12" s="82" t="s">
        <v>151</v>
      </c>
      <c r="C12" s="88">
        <f>MOD!C29</f>
        <v>4870500</v>
      </c>
      <c r="D12" s="88">
        <f>MOD!D29</f>
        <v>5060449.5</v>
      </c>
      <c r="E12" s="88">
        <f>MOD!E29</f>
        <v>5247686.1314999992</v>
      </c>
      <c r="F12" s="88">
        <f>MOD!F29</f>
        <v>5436602.8322339999</v>
      </c>
      <c r="G12" s="88">
        <f>MOD!G29</f>
        <v>5626883.9313621903</v>
      </c>
      <c r="I12" s="257" t="s">
        <v>241</v>
      </c>
      <c r="J12" s="257"/>
    </row>
    <row r="13" spans="2:10" s="57" customFormat="1" x14ac:dyDescent="0.2">
      <c r="B13" s="82" t="s">
        <v>19</v>
      </c>
      <c r="C13" s="88">
        <f>MOD!C30</f>
        <v>584460</v>
      </c>
      <c r="D13" s="88">
        <f>MOD!D30</f>
        <v>607253.93999999994</v>
      </c>
      <c r="E13" s="88">
        <f>MOD!E30</f>
        <v>629722.33577999985</v>
      </c>
      <c r="F13" s="88">
        <f>MOD!F30</f>
        <v>652392.33986807999</v>
      </c>
      <c r="G13" s="88">
        <f>MOD!G30</f>
        <v>675226.07176346285</v>
      </c>
      <c r="I13" s="257"/>
      <c r="J13" s="257"/>
    </row>
    <row r="14" spans="2:10" s="57" customFormat="1" x14ac:dyDescent="0.2">
      <c r="B14" s="82" t="s">
        <v>20</v>
      </c>
      <c r="C14" s="88">
        <f>MOD!C32</f>
        <v>2135250</v>
      </c>
      <c r="D14" s="88">
        <f>MOD!D32</f>
        <v>2218524.75</v>
      </c>
      <c r="E14" s="88">
        <f>MOD!E32</f>
        <v>2300610.1657499997</v>
      </c>
      <c r="F14" s="88">
        <f>MOD!F32</f>
        <v>2383432.1317170002</v>
      </c>
      <c r="G14" s="88">
        <f>MOD!G32</f>
        <v>2466852.256327095</v>
      </c>
      <c r="I14" s="257"/>
      <c r="J14" s="257"/>
    </row>
    <row r="15" spans="2:10" s="57" customFormat="1" x14ac:dyDescent="0.2">
      <c r="B15" s="82" t="s">
        <v>22</v>
      </c>
      <c r="C15" s="88">
        <f>MOD!C33/12</f>
        <v>362992.5</v>
      </c>
      <c r="D15" s="88">
        <f>MOD!D33/12</f>
        <v>377149.20750000002</v>
      </c>
      <c r="E15" s="88">
        <f>MOD!E33/12</f>
        <v>391103.72817749996</v>
      </c>
      <c r="F15" s="88">
        <f>MOD!F33/12</f>
        <v>405183.46239189006</v>
      </c>
      <c r="G15" s="88">
        <f>MOD!G33/12</f>
        <v>419364.88357560622</v>
      </c>
      <c r="I15" s="257"/>
      <c r="J15" s="257"/>
    </row>
    <row r="16" spans="2:10" s="57" customFormat="1" x14ac:dyDescent="0.2">
      <c r="B16" s="82" t="s">
        <v>23</v>
      </c>
      <c r="C16" s="88">
        <f>MOD!C34/12</f>
        <v>512460</v>
      </c>
      <c r="D16" s="88">
        <f>MOD!D34/12</f>
        <v>532445.93999999994</v>
      </c>
      <c r="E16" s="88">
        <f>MOD!E34/12</f>
        <v>552146.4397799999</v>
      </c>
      <c r="F16" s="88">
        <f>MOD!F34/12</f>
        <v>572023.71161207999</v>
      </c>
      <c r="G16" s="88">
        <f>MOD!G34/12</f>
        <v>592044.54151850275</v>
      </c>
      <c r="I16" s="257"/>
      <c r="J16" s="257"/>
    </row>
    <row r="17" spans="2:10" s="57" customFormat="1" x14ac:dyDescent="0.2">
      <c r="B17" s="82" t="s">
        <v>155</v>
      </c>
      <c r="C17" s="88">
        <f>MOD!C35/12</f>
        <v>170820</v>
      </c>
      <c r="D17" s="88">
        <f>MOD!D35/12</f>
        <v>177481.98</v>
      </c>
      <c r="E17" s="88">
        <f>MOD!E35/12</f>
        <v>184048.81325999997</v>
      </c>
      <c r="F17" s="88">
        <f>MOD!F35/12</f>
        <v>190674.57053736004</v>
      </c>
      <c r="G17" s="88">
        <f>MOD!G35/12</f>
        <v>197348.18050616761</v>
      </c>
      <c r="I17" s="257"/>
      <c r="J17" s="257"/>
    </row>
    <row r="18" spans="2:10" s="57" customFormat="1" x14ac:dyDescent="0.2">
      <c r="B18" s="82" t="s">
        <v>24</v>
      </c>
      <c r="C18" s="88">
        <f>MOD!C36/12</f>
        <v>104029.38</v>
      </c>
      <c r="D18" s="88">
        <f>MOD!D36/12</f>
        <v>108086.52582</v>
      </c>
      <c r="E18" s="88">
        <f>MOD!E36/12</f>
        <v>112085.72727533999</v>
      </c>
      <c r="F18" s="88">
        <f>MOD!F36/12</f>
        <v>116120.81345725224</v>
      </c>
      <c r="G18" s="88">
        <f>MOD!G36/12</f>
        <v>120185.04192825606</v>
      </c>
      <c r="I18" s="257"/>
      <c r="J18" s="257"/>
    </row>
    <row r="19" spans="2:10" s="57" customFormat="1" ht="15.75" x14ac:dyDescent="0.2">
      <c r="B19" s="71" t="s">
        <v>12</v>
      </c>
      <c r="C19" s="160">
        <f>SUM(C12:C18)</f>
        <v>8740511.8800000008</v>
      </c>
      <c r="D19" s="160">
        <f t="shared" ref="D19:G19" si="0">SUM(D12:D18)</f>
        <v>9081391.8433199991</v>
      </c>
      <c r="E19" s="160">
        <f t="shared" si="0"/>
        <v>9417403.3415228389</v>
      </c>
      <c r="F19" s="160">
        <f t="shared" si="0"/>
        <v>9756429.8618176617</v>
      </c>
      <c r="G19" s="160">
        <f t="shared" si="0"/>
        <v>10097904.90698128</v>
      </c>
      <c r="I19" s="257"/>
      <c r="J19" s="257"/>
    </row>
    <row r="20" spans="2:10" s="57" customFormat="1" x14ac:dyDescent="0.2">
      <c r="C20" s="102"/>
      <c r="D20" s="102"/>
      <c r="E20" s="102"/>
      <c r="F20" s="102"/>
      <c r="G20" s="102"/>
    </row>
    <row r="21" spans="2:10" s="57" customFormat="1" ht="43.9" customHeight="1" x14ac:dyDescent="0.2">
      <c r="B21" s="56" t="s">
        <v>245</v>
      </c>
      <c r="C21" s="55">
        <v>2025</v>
      </c>
      <c r="D21" s="55">
        <v>2026</v>
      </c>
      <c r="E21" s="55">
        <v>2027</v>
      </c>
      <c r="F21" s="55">
        <v>2028</v>
      </c>
      <c r="G21" s="55">
        <v>2029</v>
      </c>
    </row>
    <row r="22" spans="2:10" s="57" customFormat="1" x14ac:dyDescent="0.2">
      <c r="B22" s="82" t="s">
        <v>151</v>
      </c>
      <c r="C22" s="88">
        <f>'Admón y ventas'!C47</f>
        <v>6494000</v>
      </c>
      <c r="D22" s="88">
        <f>'Admón y ventas'!D47</f>
        <v>6747266</v>
      </c>
      <c r="E22" s="88">
        <f>'Admón y ventas'!E47</f>
        <v>6996914.8419999983</v>
      </c>
      <c r="F22" s="88">
        <f>'Admón y ventas'!F47</f>
        <v>7248803.7763119992</v>
      </c>
      <c r="G22" s="88">
        <f>'Admón y ventas'!G47</f>
        <v>7502511.9084829185</v>
      </c>
      <c r="I22" s="257" t="s">
        <v>241</v>
      </c>
      <c r="J22" s="257"/>
    </row>
    <row r="23" spans="2:10" s="57" customFormat="1" x14ac:dyDescent="0.2">
      <c r="B23" s="82" t="s">
        <v>19</v>
      </c>
      <c r="C23" s="88">
        <f>'Admón y ventas'!C48</f>
        <v>779280</v>
      </c>
      <c r="D23" s="88">
        <f>'Admón y ventas'!D48</f>
        <v>809671.91999999993</v>
      </c>
      <c r="E23" s="88">
        <f>'Admón y ventas'!E48</f>
        <v>839629.7810399998</v>
      </c>
      <c r="F23" s="88">
        <f>'Admón y ventas'!F48</f>
        <v>869856.45315743983</v>
      </c>
      <c r="G23" s="88">
        <f>'Admón y ventas'!G48</f>
        <v>900301.4290179502</v>
      </c>
      <c r="I23" s="257"/>
      <c r="J23" s="257"/>
    </row>
    <row r="24" spans="2:10" s="57" customFormat="1" x14ac:dyDescent="0.2">
      <c r="B24" s="82" t="s">
        <v>20</v>
      </c>
      <c r="C24" s="88">
        <f>'Admón y ventas'!C50</f>
        <v>2847000</v>
      </c>
      <c r="D24" s="88">
        <f>'Admón y ventas'!D50</f>
        <v>2958033</v>
      </c>
      <c r="E24" s="88">
        <f>'Admón y ventas'!E50</f>
        <v>3067480.2209999994</v>
      </c>
      <c r="F24" s="88">
        <f>'Admón y ventas'!F50</f>
        <v>3177909.5089560002</v>
      </c>
      <c r="G24" s="88">
        <f>'Admón y ventas'!G50</f>
        <v>3289136.3417694597</v>
      </c>
      <c r="I24" s="257"/>
      <c r="J24" s="257"/>
    </row>
    <row r="25" spans="2:10" s="57" customFormat="1" x14ac:dyDescent="0.2">
      <c r="B25" s="82" t="s">
        <v>22</v>
      </c>
      <c r="C25" s="88">
        <f>'Admón y ventas'!C51/12</f>
        <v>483990</v>
      </c>
      <c r="D25" s="88">
        <f>'Admón y ventas'!D51/12</f>
        <v>502865.61000000004</v>
      </c>
      <c r="E25" s="88">
        <f>'Admón y ventas'!E51/12</f>
        <v>521471.63756999996</v>
      </c>
      <c r="F25" s="88">
        <f>'Admón y ventas'!F51/12</f>
        <v>540244.61652252008</v>
      </c>
      <c r="G25" s="88">
        <f>'Admón y ventas'!G51/12</f>
        <v>559153.17810080817</v>
      </c>
      <c r="I25" s="257"/>
      <c r="J25" s="257"/>
    </row>
    <row r="26" spans="2:10" s="57" customFormat="1" x14ac:dyDescent="0.2">
      <c r="B26" s="82" t="s">
        <v>23</v>
      </c>
      <c r="C26" s="88">
        <f>'Admón y ventas'!C52/12</f>
        <v>683280</v>
      </c>
      <c r="D26" s="88">
        <f>'Admón y ventas'!D52/12</f>
        <v>709927.91999999993</v>
      </c>
      <c r="E26" s="88">
        <f>'Admón y ventas'!E52/12</f>
        <v>736195.25303999986</v>
      </c>
      <c r="F26" s="88">
        <f>'Admón y ventas'!F52/12</f>
        <v>762698.28214944003</v>
      </c>
      <c r="G26" s="88">
        <f>'Admón y ventas'!G52/12</f>
        <v>789392.72202467034</v>
      </c>
      <c r="I26" s="257"/>
      <c r="J26" s="257"/>
    </row>
    <row r="27" spans="2:10" s="57" customFormat="1" x14ac:dyDescent="0.2">
      <c r="B27" s="82" t="s">
        <v>155</v>
      </c>
      <c r="C27" s="88">
        <f>'Admón y ventas'!C53/12</f>
        <v>227760</v>
      </c>
      <c r="D27" s="88">
        <f>'Admón y ventas'!D53/12</f>
        <v>236642.64</v>
      </c>
      <c r="E27" s="88">
        <f>'Admón y ventas'!E53/12</f>
        <v>245398.41767999995</v>
      </c>
      <c r="F27" s="88">
        <f>'Admón y ventas'!F53/12</f>
        <v>254232.76071648</v>
      </c>
      <c r="G27" s="88">
        <f>'Admón y ventas'!G53/12</f>
        <v>263130.9073415568</v>
      </c>
      <c r="I27" s="257"/>
      <c r="J27" s="257"/>
    </row>
    <row r="28" spans="2:10" s="57" customFormat="1" x14ac:dyDescent="0.2">
      <c r="B28" s="82" t="s">
        <v>24</v>
      </c>
      <c r="C28" s="88">
        <f>'Admón y ventas'!C54/12</f>
        <v>29722.679999999997</v>
      </c>
      <c r="D28" s="88">
        <f>'Admón y ventas'!D54/12</f>
        <v>30881.864519999999</v>
      </c>
      <c r="E28" s="88">
        <f>'Admón y ventas'!E54/12</f>
        <v>32024.493507239997</v>
      </c>
      <c r="F28" s="88">
        <f>'Admón y ventas'!F54/12</f>
        <v>33177.375273500642</v>
      </c>
      <c r="G28" s="88">
        <f>'Admón y ventas'!G54/12</f>
        <v>34338.583408073166</v>
      </c>
      <c r="I28" s="257"/>
      <c r="J28" s="257"/>
    </row>
    <row r="29" spans="2:10" s="57" customFormat="1" ht="15.75" x14ac:dyDescent="0.2">
      <c r="B29" s="71" t="s">
        <v>12</v>
      </c>
      <c r="C29" s="160">
        <f>SUM(C22:C28)</f>
        <v>11545032.68</v>
      </c>
      <c r="D29" s="160">
        <f t="shared" ref="D29" si="1">SUM(D22:D28)</f>
        <v>11995288.95452</v>
      </c>
      <c r="E29" s="160">
        <f t="shared" ref="E29" si="2">SUM(E22:E28)</f>
        <v>12439114.645837236</v>
      </c>
      <c r="F29" s="160">
        <f t="shared" ref="F29" si="3">SUM(F22:F28)</f>
        <v>12886922.77308738</v>
      </c>
      <c r="G29" s="160">
        <f t="shared" ref="G29" si="4">SUM(G22:G28)</f>
        <v>13337965.070145434</v>
      </c>
      <c r="I29" s="257"/>
      <c r="J29" s="257"/>
    </row>
    <row r="30" spans="2:10" s="57" customFormat="1" x14ac:dyDescent="0.2">
      <c r="C30" s="102"/>
      <c r="D30" s="102"/>
      <c r="E30" s="102"/>
      <c r="F30" s="102"/>
      <c r="G30" s="102"/>
    </row>
    <row r="31" spans="2:10" s="57" customFormat="1" x14ac:dyDescent="0.2"/>
    <row r="32" spans="2:10" s="57" customFormat="1" ht="15.75" x14ac:dyDescent="0.25">
      <c r="B32" s="55" t="s">
        <v>58</v>
      </c>
      <c r="C32" s="64" t="s">
        <v>103</v>
      </c>
      <c r="D32" s="64">
        <v>2025</v>
      </c>
      <c r="E32" s="64">
        <v>2026</v>
      </c>
      <c r="F32" s="64">
        <v>2027</v>
      </c>
      <c r="G32" s="64">
        <v>2028</v>
      </c>
      <c r="H32" s="64">
        <v>2029</v>
      </c>
    </row>
    <row r="33" spans="2:16" s="57" customFormat="1" x14ac:dyDescent="0.2">
      <c r="B33" s="82" t="s">
        <v>59</v>
      </c>
      <c r="C33" s="82">
        <v>0</v>
      </c>
      <c r="D33" s="88">
        <v>0</v>
      </c>
      <c r="E33" s="88">
        <f>D53</f>
        <v>23800170.056109071</v>
      </c>
      <c r="F33" s="88">
        <f t="shared" ref="F33:H33" si="5">E53</f>
        <v>59831497.65806824</v>
      </c>
      <c r="G33" s="88">
        <f t="shared" si="5"/>
        <v>130881436.31131309</v>
      </c>
      <c r="H33" s="88">
        <f t="shared" si="5"/>
        <v>236990683.43284512</v>
      </c>
      <c r="J33" s="83"/>
      <c r="K33" s="83"/>
      <c r="L33" s="83"/>
      <c r="M33" s="83"/>
    </row>
    <row r="34" spans="2:16" s="57" customFormat="1" ht="15.75" x14ac:dyDescent="0.2">
      <c r="B34" s="143" t="s">
        <v>102</v>
      </c>
      <c r="C34" s="101">
        <f>SUM(C35:C39)</f>
        <v>245000000</v>
      </c>
      <c r="D34" s="101">
        <f t="shared" ref="D34:H34" si="6">SUM(D35:D39)</f>
        <v>311138500</v>
      </c>
      <c r="E34" s="101">
        <f t="shared" si="6"/>
        <v>353750579.49999994</v>
      </c>
      <c r="F34" s="101">
        <f t="shared" si="6"/>
        <v>407067190.42125005</v>
      </c>
      <c r="G34" s="101">
        <f>SUM(G35:G39)</f>
        <v>468090286.56024599</v>
      </c>
      <c r="H34" s="101">
        <f t="shared" si="6"/>
        <v>537517972.6753552</v>
      </c>
      <c r="K34" s="83"/>
      <c r="L34" s="83"/>
      <c r="M34" s="83"/>
    </row>
    <row r="35" spans="2:16" s="57" customFormat="1" ht="15" customHeight="1" x14ac:dyDescent="0.2">
      <c r="B35" s="82" t="s">
        <v>60</v>
      </c>
      <c r="C35" s="88">
        <f>C5</f>
        <v>155000000</v>
      </c>
      <c r="D35" s="88">
        <v>0</v>
      </c>
      <c r="E35" s="88">
        <v>0</v>
      </c>
      <c r="F35" s="88">
        <v>0</v>
      </c>
      <c r="G35" s="88">
        <v>0</v>
      </c>
      <c r="H35" s="88">
        <v>0</v>
      </c>
      <c r="J35" s="83" t="s">
        <v>209</v>
      </c>
      <c r="K35" s="83"/>
      <c r="L35" s="83"/>
      <c r="M35" s="83"/>
      <c r="N35" s="83"/>
      <c r="O35" s="83"/>
      <c r="P35" s="83"/>
    </row>
    <row r="36" spans="2:16" s="57" customFormat="1" x14ac:dyDescent="0.2">
      <c r="B36" s="82" t="s">
        <v>61</v>
      </c>
      <c r="C36" s="88">
        <f>'Ppto inversión y plan pagos'!E28</f>
        <v>90000000</v>
      </c>
      <c r="D36" s="88">
        <v>0</v>
      </c>
      <c r="E36" s="88">
        <v>0</v>
      </c>
      <c r="F36" s="88">
        <v>0</v>
      </c>
      <c r="G36" s="88">
        <v>0</v>
      </c>
      <c r="H36" s="88">
        <v>0</v>
      </c>
      <c r="J36" s="83"/>
      <c r="K36" s="83"/>
      <c r="L36" s="83"/>
      <c r="M36" s="83"/>
      <c r="N36" s="83"/>
      <c r="O36" s="83"/>
      <c r="P36" s="83"/>
    </row>
    <row r="37" spans="2:16" s="57" customFormat="1" x14ac:dyDescent="0.2">
      <c r="B37" s="82" t="s">
        <v>62</v>
      </c>
      <c r="C37" s="88">
        <v>0</v>
      </c>
      <c r="D37" s="88">
        <f>'Ppto Ventas'!D37*FC!$C$6</f>
        <v>123544000</v>
      </c>
      <c r="E37" s="88">
        <f>'Ppto Ventas'!E37*FC!$C$6</f>
        <v>141960647.99999997</v>
      </c>
      <c r="F37" s="88">
        <f>'Ppto Ventas'!F37*FC!$C$6</f>
        <v>163361907.66000003</v>
      </c>
      <c r="G37" s="88">
        <f>'Ppto Ventas'!G37*FC!$C$6</f>
        <v>187848273.777024</v>
      </c>
      <c r="H37" s="88">
        <f>'Ppto Ventas'!H37*FC!$C$6</f>
        <v>215703571.51355541</v>
      </c>
      <c r="J37" s="83"/>
      <c r="K37" s="83"/>
      <c r="L37" s="83"/>
      <c r="M37" s="83"/>
    </row>
    <row r="38" spans="2:16" s="57" customFormat="1" x14ac:dyDescent="0.2">
      <c r="B38" s="82" t="s">
        <v>63</v>
      </c>
      <c r="C38" s="82">
        <v>0</v>
      </c>
      <c r="D38" s="88">
        <f>'Ppto Cartera'!C16</f>
        <v>177594500</v>
      </c>
      <c r="E38" s="88">
        <f>'Ppto Cartera'!D16</f>
        <v>211789931.49999997</v>
      </c>
      <c r="F38" s="88">
        <f>'Ppto Cartera'!E16</f>
        <v>243705282.76125002</v>
      </c>
      <c r="G38" s="88">
        <f>'Ppto Cartera'!F16</f>
        <v>280242012.78322196</v>
      </c>
      <c r="H38" s="88">
        <f>'Ppto Cartera'!G16</f>
        <v>321814401.16179985</v>
      </c>
      <c r="J38" s="83" t="s">
        <v>212</v>
      </c>
    </row>
    <row r="39" spans="2:16" s="57" customFormat="1" x14ac:dyDescent="0.2">
      <c r="B39" s="82" t="s">
        <v>64</v>
      </c>
      <c r="C39" s="82">
        <v>0</v>
      </c>
      <c r="D39" s="88">
        <f>ER!C14</f>
        <v>10000000</v>
      </c>
      <c r="E39" s="88">
        <f>ER!D14</f>
        <v>0</v>
      </c>
      <c r="F39" s="88">
        <f>ER!E14</f>
        <v>0</v>
      </c>
      <c r="G39" s="88">
        <f>ER!F14</f>
        <v>0</v>
      </c>
      <c r="H39" s="88">
        <f>ER!G14</f>
        <v>0</v>
      </c>
      <c r="J39" s="83" t="s">
        <v>214</v>
      </c>
    </row>
    <row r="40" spans="2:16" s="57" customFormat="1" ht="15.75" x14ac:dyDescent="0.2">
      <c r="B40" s="143" t="s">
        <v>65</v>
      </c>
      <c r="C40" s="101">
        <f t="shared" ref="C40:H40" si="7">SUM(C41:C50)</f>
        <v>242000000</v>
      </c>
      <c r="D40" s="101">
        <f t="shared" si="7"/>
        <v>287338329.94389093</v>
      </c>
      <c r="E40" s="101">
        <f t="shared" si="7"/>
        <v>317719251.89804077</v>
      </c>
      <c r="F40" s="101">
        <f t="shared" si="7"/>
        <v>336017251.76800519</v>
      </c>
      <c r="G40" s="101">
        <f t="shared" si="7"/>
        <v>361981039.43871403</v>
      </c>
      <c r="H40" s="101">
        <f t="shared" si="7"/>
        <v>390931183.77854747</v>
      </c>
    </row>
    <row r="41" spans="2:16" s="57" customFormat="1" x14ac:dyDescent="0.2">
      <c r="B41" s="82" t="s">
        <v>34</v>
      </c>
      <c r="C41" s="88">
        <f>'Ppto inversión y plan pagos'!C15</f>
        <v>242000000</v>
      </c>
      <c r="D41" s="88">
        <v>0</v>
      </c>
      <c r="E41" s="88">
        <v>0</v>
      </c>
      <c r="F41" s="88">
        <v>0</v>
      </c>
      <c r="G41" s="88">
        <v>0</v>
      </c>
      <c r="H41" s="88">
        <v>0</v>
      </c>
      <c r="J41" s="57" t="s">
        <v>215</v>
      </c>
    </row>
    <row r="42" spans="2:16" s="57" customFormat="1" x14ac:dyDescent="0.2">
      <c r="B42" s="82" t="s">
        <v>66</v>
      </c>
      <c r="C42" s="82">
        <v>0</v>
      </c>
      <c r="D42" s="88">
        <f>('Ppto Producción'!C70/12)*11</f>
        <v>28904229.783890959</v>
      </c>
      <c r="E42" s="88">
        <f>('Ppto Producción'!D70/12)*11</f>
        <v>32638316.233994324</v>
      </c>
      <c r="F42" s="88">
        <f>('Ppto Producción'!E70/12)*11</f>
        <v>37229669.896614194</v>
      </c>
      <c r="G42" s="88">
        <f>('Ppto Producción'!F70/12)*11</f>
        <v>42426000.785796776</v>
      </c>
      <c r="H42" s="88">
        <f>('Ppto Producción'!G70/12)*11</f>
        <v>48300505.958843142</v>
      </c>
      <c r="J42" s="83" t="s">
        <v>217</v>
      </c>
    </row>
    <row r="43" spans="2:16" s="57" customFormat="1" x14ac:dyDescent="0.2">
      <c r="B43" s="82" t="s">
        <v>67</v>
      </c>
      <c r="C43" s="88">
        <v>0</v>
      </c>
      <c r="D43" s="88">
        <f>MOD!C38-FC!C19</f>
        <v>77169820.680000007</v>
      </c>
      <c r="E43" s="88">
        <f>MOD!D38-FC!D19</f>
        <v>80179443.686519995</v>
      </c>
      <c r="F43" s="88">
        <f>MOD!E38-FC!E19</f>
        <v>83146083.102921233</v>
      </c>
      <c r="G43" s="88">
        <f>MOD!F38-FC!F19</f>
        <v>86139342.094626412</v>
      </c>
      <c r="H43" s="88">
        <f>MOD!G38-FC!G19</f>
        <v>89154219.067938343</v>
      </c>
      <c r="J43" s="83" t="s">
        <v>221</v>
      </c>
    </row>
    <row r="44" spans="2:16" s="57" customFormat="1" x14ac:dyDescent="0.2">
      <c r="B44" s="82" t="s">
        <v>68</v>
      </c>
      <c r="C44" s="82">
        <v>0</v>
      </c>
      <c r="D44" s="88">
        <f>CIF!C39-CIF!C34</f>
        <v>27070000</v>
      </c>
      <c r="E44" s="88">
        <f>CIF!D39-CIF!D34</f>
        <v>28343920</v>
      </c>
      <c r="F44" s="88">
        <f>CIF!E39-CIF!E34</f>
        <v>29662005.789999992</v>
      </c>
      <c r="G44" s="88">
        <f>CIF!F39-CIF!F34</f>
        <v>31064707.282839991</v>
      </c>
      <c r="H44" s="88">
        <f>CIF!G39-CIF!G34</f>
        <v>32510114.737405196</v>
      </c>
      <c r="J44" s="83" t="s">
        <v>220</v>
      </c>
    </row>
    <row r="45" spans="2:16" s="57" customFormat="1" x14ac:dyDescent="0.2">
      <c r="B45" s="82" t="s">
        <v>69</v>
      </c>
      <c r="C45" s="82">
        <v>0</v>
      </c>
      <c r="D45" s="88">
        <f>'Admón y ventas'!C64-'Admón y ventas'!C62-FC!C29</f>
        <v>113694279.47999999</v>
      </c>
      <c r="E45" s="88">
        <f>'Admón y ventas'!D64-'Admón y ventas'!D62-FC!D29</f>
        <v>118128356.37972002</v>
      </c>
      <c r="F45" s="88">
        <f>'Admón y ventas'!E64-'Admón y ventas'!E62-FC!E29</f>
        <v>122499105.56576963</v>
      </c>
      <c r="G45" s="88">
        <f>'Admón y ventas'!F64-'Admón y ventas'!F62-FC!F29</f>
        <v>126909073.36613733</v>
      </c>
      <c r="H45" s="88">
        <f>'Admón y ventas'!G64-'Admón y ventas'!G62-FC!G29</f>
        <v>131350890.93395215</v>
      </c>
      <c r="J45" s="83" t="s">
        <v>222</v>
      </c>
    </row>
    <row r="46" spans="2:16" s="57" customFormat="1" x14ac:dyDescent="0.2">
      <c r="B46" s="82" t="s">
        <v>71</v>
      </c>
      <c r="C46" s="82">
        <v>0</v>
      </c>
      <c r="D46" s="88">
        <v>0</v>
      </c>
      <c r="E46" s="88">
        <f>SUM(C15:C18,C25:C28)</f>
        <v>2575054.56</v>
      </c>
      <c r="F46" s="88">
        <f t="shared" ref="F46:G46" si="8">SUM(D15:D18,D25:D28)</f>
        <v>2675481.6878399998</v>
      </c>
      <c r="G46" s="88">
        <f t="shared" si="8"/>
        <v>2774474.5102900798</v>
      </c>
      <c r="H46" s="88">
        <f>SUM(F15:F18,F25:F28)</f>
        <v>2874355.5926605235</v>
      </c>
    </row>
    <row r="47" spans="2:16" s="57" customFormat="1" x14ac:dyDescent="0.2">
      <c r="B47" s="82" t="s">
        <v>70</v>
      </c>
      <c r="C47" s="82">
        <v>0</v>
      </c>
      <c r="D47" s="88">
        <v>0</v>
      </c>
      <c r="E47" s="88">
        <f>SUM(C12:C14,C22:C24)</f>
        <v>17710490</v>
      </c>
      <c r="F47" s="88">
        <f t="shared" ref="F47:H47" si="9">SUM(D12:D14,D22:D24)</f>
        <v>18401199.109999999</v>
      </c>
      <c r="G47" s="88">
        <f t="shared" si="9"/>
        <v>19082043.477069996</v>
      </c>
      <c r="H47" s="88">
        <f t="shared" si="9"/>
        <v>19768997.042244516</v>
      </c>
      <c r="I47" s="161">
        <f>+C19+C29-E46-E47</f>
        <v>0</v>
      </c>
      <c r="J47" s="161">
        <f t="shared" ref="J47:L47" si="10">+D19+D29-F46-F47</f>
        <v>0</v>
      </c>
      <c r="K47" s="161">
        <f t="shared" si="10"/>
        <v>0</v>
      </c>
      <c r="L47" s="161">
        <f t="shared" si="10"/>
        <v>0</v>
      </c>
      <c r="M47" s="161"/>
      <c r="N47" s="102"/>
    </row>
    <row r="48" spans="2:16" s="57" customFormat="1" x14ac:dyDescent="0.2">
      <c r="B48" s="82" t="s">
        <v>72</v>
      </c>
      <c r="C48" s="82">
        <v>0</v>
      </c>
      <c r="D48" s="82">
        <v>0</v>
      </c>
      <c r="E48" s="88">
        <f>ER!C17</f>
        <v>2143671.0378064541</v>
      </c>
      <c r="F48" s="88">
        <f>ER!D17</f>
        <v>10903706.614860164</v>
      </c>
      <c r="G48" s="88">
        <f>ER!E17</f>
        <v>26585397.921953496</v>
      </c>
      <c r="H48" s="88">
        <f>ER!F17</f>
        <v>44472100.445503607</v>
      </c>
      <c r="J48" s="83" t="s">
        <v>214</v>
      </c>
    </row>
    <row r="49" spans="2:10" s="57" customFormat="1" x14ac:dyDescent="0.2">
      <c r="B49" s="82" t="s">
        <v>73</v>
      </c>
      <c r="C49" s="82">
        <v>0</v>
      </c>
      <c r="D49" s="88">
        <f>'Ppto inversión y plan pagos'!C29</f>
        <v>22500000</v>
      </c>
      <c r="E49" s="88">
        <f>'Ppto inversión y plan pagos'!C30</f>
        <v>18000000</v>
      </c>
      <c r="F49" s="88">
        <f>'Ppto inversión y plan pagos'!C31</f>
        <v>13500000</v>
      </c>
      <c r="G49" s="88">
        <f>'Ppto inversión y plan pagos'!C32</f>
        <v>9000000</v>
      </c>
      <c r="H49" s="88">
        <f>'Ppto inversión y plan pagos'!C33</f>
        <v>4500000</v>
      </c>
      <c r="J49" s="83" t="s">
        <v>201</v>
      </c>
    </row>
    <row r="50" spans="2:10" s="57" customFormat="1" x14ac:dyDescent="0.2">
      <c r="B50" s="82" t="s">
        <v>104</v>
      </c>
      <c r="C50" s="82">
        <v>0</v>
      </c>
      <c r="D50" s="88">
        <f>'Ppto inversión y plan pagos'!D29</f>
        <v>18000000</v>
      </c>
      <c r="E50" s="88">
        <f>'Ppto inversión y plan pagos'!D30</f>
        <v>18000000</v>
      </c>
      <c r="F50" s="88">
        <f>'Ppto inversión y plan pagos'!D31</f>
        <v>18000000</v>
      </c>
      <c r="G50" s="88">
        <f>'Ppto inversión y plan pagos'!D32</f>
        <v>18000000</v>
      </c>
      <c r="H50" s="88">
        <f>'Ppto inversión y plan pagos'!D33</f>
        <v>18000000</v>
      </c>
      <c r="J50" s="83" t="s">
        <v>201</v>
      </c>
    </row>
    <row r="51" spans="2:10" s="57" customFormat="1" ht="15.75" x14ac:dyDescent="0.2">
      <c r="B51" s="143" t="s">
        <v>74</v>
      </c>
      <c r="C51" s="101">
        <f t="shared" ref="C51:H51" si="11">C33+C34-C40</f>
        <v>3000000</v>
      </c>
      <c r="D51" s="101">
        <f t="shared" si="11"/>
        <v>23800170.056109071</v>
      </c>
      <c r="E51" s="101">
        <f t="shared" si="11"/>
        <v>59831497.65806824</v>
      </c>
      <c r="F51" s="101">
        <f t="shared" si="11"/>
        <v>130881436.31131309</v>
      </c>
      <c r="G51" s="101">
        <f t="shared" si="11"/>
        <v>236990683.43284512</v>
      </c>
      <c r="H51" s="101">
        <f t="shared" si="11"/>
        <v>383577472.32965285</v>
      </c>
      <c r="I51" s="161">
        <f>+SUM(D49:H49)-SUM('Ppto inversión y plan pagos'!C28:C33)</f>
        <v>0</v>
      </c>
      <c r="J51" s="161">
        <f>+SUM(D50:H50)-SUM('Ppto inversión y plan pagos'!D28:D33)</f>
        <v>0</v>
      </c>
    </row>
    <row r="52" spans="2:10" s="57" customFormat="1" x14ac:dyDescent="0.2">
      <c r="B52" s="82" t="s">
        <v>75</v>
      </c>
      <c r="C52" s="88">
        <v>0</v>
      </c>
      <c r="D52" s="88">
        <v>0</v>
      </c>
      <c r="E52" s="88">
        <v>0</v>
      </c>
      <c r="F52" s="88">
        <v>0</v>
      </c>
      <c r="G52" s="88">
        <v>0</v>
      </c>
      <c r="H52" s="88">
        <v>0</v>
      </c>
    </row>
    <row r="53" spans="2:10" s="57" customFormat="1" ht="15.75" x14ac:dyDescent="0.2">
      <c r="B53" s="71" t="s">
        <v>76</v>
      </c>
      <c r="C53" s="160">
        <f>C51-C52</f>
        <v>3000000</v>
      </c>
      <c r="D53" s="160">
        <f t="shared" ref="D53:H53" si="12">D51-D52</f>
        <v>23800170.056109071</v>
      </c>
      <c r="E53" s="160">
        <f t="shared" si="12"/>
        <v>59831497.65806824</v>
      </c>
      <c r="F53" s="160">
        <f t="shared" si="12"/>
        <v>130881436.31131309</v>
      </c>
      <c r="G53" s="160">
        <f t="shared" si="12"/>
        <v>236990683.43284512</v>
      </c>
      <c r="H53" s="160">
        <f t="shared" si="12"/>
        <v>383577472.32965285</v>
      </c>
      <c r="J53" s="57" t="s">
        <v>208</v>
      </c>
    </row>
    <row r="54" spans="2:10" s="57" customFormat="1" x14ac:dyDescent="0.2"/>
    <row r="55" spans="2:10" x14ac:dyDescent="0.25">
      <c r="D55" s="1"/>
      <c r="E55" s="1"/>
      <c r="F55" s="1"/>
      <c r="G55" s="1"/>
      <c r="H55" s="1"/>
      <c r="J55" s="1"/>
    </row>
    <row r="56" spans="2:10" x14ac:dyDescent="0.25">
      <c r="D56" s="1"/>
      <c r="E56" s="1"/>
      <c r="F56" s="1"/>
      <c r="G56" s="1"/>
      <c r="H56" s="1"/>
    </row>
    <row r="57" spans="2:10" x14ac:dyDescent="0.25">
      <c r="D57" s="1"/>
      <c r="E57" s="1"/>
      <c r="F57" s="1"/>
      <c r="G57" s="1"/>
      <c r="H57" s="1"/>
    </row>
  </sheetData>
  <mergeCells count="4">
    <mergeCell ref="B9:G9"/>
    <mergeCell ref="I12:J19"/>
    <mergeCell ref="I22:J29"/>
    <mergeCell ref="B3:G3"/>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4C3B-70F5-4285-BA2C-042C24EE5404}">
  <dimension ref="B3:P52"/>
  <sheetViews>
    <sheetView showGridLines="0" workbookViewId="0">
      <selection activeCell="B3" sqref="B3:H3"/>
    </sheetView>
  </sheetViews>
  <sheetFormatPr baseColWidth="10" defaultRowHeight="15" x14ac:dyDescent="0.25"/>
  <cols>
    <col min="1" max="1" width="11.85546875" customWidth="1"/>
    <col min="2" max="2" width="31.140625" customWidth="1"/>
    <col min="3" max="8" width="25" customWidth="1"/>
    <col min="9" max="9" width="19.28515625" customWidth="1"/>
    <col min="12" max="12" width="16" customWidth="1"/>
  </cols>
  <sheetData>
    <row r="3" spans="2:16" ht="26.25" customHeight="1" x14ac:dyDescent="0.25">
      <c r="B3" s="207" t="s">
        <v>228</v>
      </c>
      <c r="C3" s="207"/>
      <c r="D3" s="207"/>
      <c r="E3" s="207"/>
      <c r="F3" s="207"/>
      <c r="G3" s="207"/>
      <c r="H3" s="207"/>
    </row>
    <row r="4" spans="2:16" x14ac:dyDescent="0.25">
      <c r="B4" s="3"/>
      <c r="C4" s="3"/>
    </row>
    <row r="5" spans="2:16" s="57" customFormat="1" ht="15.75" x14ac:dyDescent="0.2">
      <c r="B5" s="117" t="s">
        <v>178</v>
      </c>
      <c r="C5" s="66">
        <f>'Datos base'!F20</f>
        <v>155000000</v>
      </c>
    </row>
    <row r="6" spans="2:16" s="57" customFormat="1" x14ac:dyDescent="0.2"/>
    <row r="7" spans="2:16" s="57" customFormat="1" ht="31.15" customHeight="1" x14ac:dyDescent="0.2">
      <c r="B7" s="56" t="s">
        <v>223</v>
      </c>
      <c r="C7" s="55" t="s">
        <v>103</v>
      </c>
      <c r="D7" s="55">
        <v>2025</v>
      </c>
      <c r="E7" s="55">
        <v>2026</v>
      </c>
      <c r="F7" s="55">
        <v>2027</v>
      </c>
      <c r="G7" s="55">
        <v>2028</v>
      </c>
      <c r="H7" s="55">
        <v>2029</v>
      </c>
    </row>
    <row r="8" spans="2:16" s="57" customFormat="1" ht="15.75" x14ac:dyDescent="0.2">
      <c r="B8" s="262" t="s">
        <v>77</v>
      </c>
      <c r="C8" s="263"/>
      <c r="D8" s="263"/>
      <c r="E8" s="263"/>
      <c r="F8" s="263"/>
      <c r="G8" s="263"/>
      <c r="H8" s="264"/>
    </row>
    <row r="9" spans="2:16" s="57" customFormat="1" ht="15.75" x14ac:dyDescent="0.25">
      <c r="B9" s="258" t="s">
        <v>232</v>
      </c>
      <c r="C9" s="259"/>
      <c r="D9" s="259"/>
      <c r="E9" s="259"/>
      <c r="F9" s="259"/>
      <c r="G9" s="259"/>
      <c r="H9" s="260"/>
      <c r="J9" s="83"/>
      <c r="K9" s="83"/>
      <c r="L9" s="83"/>
      <c r="M9" s="83"/>
    </row>
    <row r="10" spans="2:16" s="57" customFormat="1" x14ac:dyDescent="0.2">
      <c r="B10" s="68" t="s">
        <v>78</v>
      </c>
      <c r="C10" s="66">
        <f>FC!C53</f>
        <v>3000000</v>
      </c>
      <c r="D10" s="66">
        <f>FC!D53</f>
        <v>23800170.056109071</v>
      </c>
      <c r="E10" s="66">
        <f>FC!E53</f>
        <v>59831497.65806824</v>
      </c>
      <c r="F10" s="66">
        <f>FC!F53</f>
        <v>130881436.31131309</v>
      </c>
      <c r="G10" s="66">
        <f>FC!G53</f>
        <v>236990683.43284512</v>
      </c>
      <c r="H10" s="66">
        <f>FC!H53</f>
        <v>383577472.32965285</v>
      </c>
      <c r="J10" s="83" t="s">
        <v>224</v>
      </c>
      <c r="K10" s="83"/>
      <c r="L10" s="83"/>
      <c r="M10" s="83"/>
    </row>
    <row r="11" spans="2:16" s="57" customFormat="1" x14ac:dyDescent="0.2">
      <c r="B11" s="68" t="s">
        <v>79</v>
      </c>
      <c r="C11" s="112">
        <v>0</v>
      </c>
      <c r="D11" s="66">
        <f>'Ppto Cartera'!C15</f>
        <v>7721500</v>
      </c>
      <c r="E11" s="66">
        <f>'Ppto Cartera'!D15</f>
        <v>8872540.5</v>
      </c>
      <c r="F11" s="66">
        <f>'Ppto Cartera'!E15</f>
        <v>10210119.22875</v>
      </c>
      <c r="G11" s="66">
        <f>'Ppto Cartera'!F15</f>
        <v>11740517.111063998</v>
      </c>
      <c r="H11" s="66">
        <f>'Ppto Cartera'!G15</f>
        <v>13481473.219597211</v>
      </c>
      <c r="J11" s="83" t="s">
        <v>225</v>
      </c>
      <c r="K11" s="83"/>
      <c r="L11" s="83"/>
      <c r="M11" s="83"/>
      <c r="N11" s="83"/>
      <c r="O11" s="83"/>
      <c r="P11" s="83"/>
    </row>
    <row r="12" spans="2:16" s="57" customFormat="1" x14ac:dyDescent="0.2">
      <c r="B12" s="68" t="s">
        <v>80</v>
      </c>
      <c r="C12" s="112">
        <v>0</v>
      </c>
      <c r="D12" s="66">
        <f>'Estado costos'!C9</f>
        <v>432812.03697195475</v>
      </c>
      <c r="E12" s="66">
        <f>'Estado costos'!D9</f>
        <v>495115.11110212974</v>
      </c>
      <c r="F12" s="66">
        <f>'Estado costos'!E9</f>
        <v>565248.84794081666</v>
      </c>
      <c r="G12" s="66">
        <f>'Estado costos'!F9</f>
        <v>644157.5871133547</v>
      </c>
      <c r="H12" s="66">
        <f>'Estado costos'!G9</f>
        <v>732363.25671239931</v>
      </c>
      <c r="J12" s="83" t="s">
        <v>191</v>
      </c>
      <c r="K12" s="83"/>
      <c r="L12" s="83"/>
      <c r="M12" s="83"/>
      <c r="N12" s="83"/>
      <c r="O12" s="83"/>
      <c r="P12" s="83"/>
    </row>
    <row r="13" spans="2:16" s="57" customFormat="1" x14ac:dyDescent="0.2">
      <c r="B13" s="68" t="s">
        <v>81</v>
      </c>
      <c r="C13" s="112">
        <v>0</v>
      </c>
      <c r="D13" s="66">
        <f>'Estado costos'!C16</f>
        <v>2183494.1137327189</v>
      </c>
      <c r="E13" s="66">
        <f>'Estado costos'!D16</f>
        <v>2806855.2663418488</v>
      </c>
      <c r="F13" s="66">
        <f>'Estado costos'!E16</f>
        <v>2668129.9443249628</v>
      </c>
      <c r="G13" s="66">
        <f>'Estado costos'!F16</f>
        <v>3171066.2192534721</v>
      </c>
      <c r="H13" s="66">
        <f>'Estado costos'!G16</f>
        <v>2947924.2914928468</v>
      </c>
      <c r="J13" s="83" t="s">
        <v>191</v>
      </c>
      <c r="K13" s="83"/>
      <c r="L13" s="83"/>
      <c r="M13" s="83"/>
    </row>
    <row r="14" spans="2:16" s="57" customFormat="1" x14ac:dyDescent="0.2">
      <c r="B14" s="68" t="s">
        <v>75</v>
      </c>
      <c r="C14" s="66">
        <f>FC!C52</f>
        <v>0</v>
      </c>
      <c r="D14" s="66">
        <f>FC!D52</f>
        <v>0</v>
      </c>
      <c r="E14" s="66">
        <f>FC!E52</f>
        <v>0</v>
      </c>
      <c r="F14" s="66">
        <f>FC!F52</f>
        <v>0</v>
      </c>
      <c r="G14" s="66">
        <f>FC!G52</f>
        <v>0</v>
      </c>
      <c r="H14" s="66">
        <f>FC!H52</f>
        <v>0</v>
      </c>
      <c r="J14" s="83" t="s">
        <v>224</v>
      </c>
    </row>
    <row r="15" spans="2:16" s="57" customFormat="1" ht="15.75" x14ac:dyDescent="0.25">
      <c r="B15" s="103" t="s">
        <v>82</v>
      </c>
      <c r="C15" s="123">
        <f>SUM(C10:C14)</f>
        <v>3000000</v>
      </c>
      <c r="D15" s="123">
        <f t="shared" ref="D15:H15" si="0">SUM(D10:D14)</f>
        <v>34137976.206813745</v>
      </c>
      <c r="E15" s="123">
        <f t="shared" si="0"/>
        <v>72006008.535512224</v>
      </c>
      <c r="F15" s="123">
        <f t="shared" si="0"/>
        <v>144324934.33232886</v>
      </c>
      <c r="G15" s="123">
        <f t="shared" si="0"/>
        <v>252546424.35027593</v>
      </c>
      <c r="H15" s="123">
        <f t="shared" si="0"/>
        <v>400739233.09745526</v>
      </c>
      <c r="J15" s="83"/>
    </row>
    <row r="16" spans="2:16" s="57" customFormat="1" ht="15.75" x14ac:dyDescent="0.25">
      <c r="B16" s="258" t="s">
        <v>233</v>
      </c>
      <c r="C16" s="259"/>
      <c r="D16" s="259"/>
      <c r="E16" s="259"/>
      <c r="F16" s="259"/>
      <c r="G16" s="259"/>
      <c r="H16" s="260"/>
      <c r="J16" s="83"/>
    </row>
    <row r="17" spans="2:13" s="57" customFormat="1" x14ac:dyDescent="0.2">
      <c r="B17" s="68" t="s">
        <v>35</v>
      </c>
      <c r="C17" s="112">
        <f>'Ppto inversión y plan pagos'!C10</f>
        <v>150000000</v>
      </c>
      <c r="D17" s="66">
        <f>$C$17</f>
        <v>150000000</v>
      </c>
      <c r="E17" s="66">
        <f t="shared" ref="E17:H17" si="1">$C$17</f>
        <v>150000000</v>
      </c>
      <c r="F17" s="66">
        <f t="shared" si="1"/>
        <v>150000000</v>
      </c>
      <c r="G17" s="66">
        <f t="shared" si="1"/>
        <v>150000000</v>
      </c>
      <c r="H17" s="66">
        <f t="shared" si="1"/>
        <v>150000000</v>
      </c>
      <c r="K17" s="83"/>
      <c r="L17" s="83"/>
      <c r="M17" s="83"/>
    </row>
    <row r="18" spans="2:13" s="57" customFormat="1" x14ac:dyDescent="0.2">
      <c r="B18" s="68" t="s">
        <v>36</v>
      </c>
      <c r="C18" s="112">
        <f>'Ppto inversión y plan pagos'!C11</f>
        <v>50000000</v>
      </c>
      <c r="D18" s="66">
        <f>$C$18</f>
        <v>50000000</v>
      </c>
      <c r="E18" s="66">
        <f t="shared" ref="E18:H18" si="2">$C$18</f>
        <v>50000000</v>
      </c>
      <c r="F18" s="66">
        <f t="shared" si="2"/>
        <v>50000000</v>
      </c>
      <c r="G18" s="66">
        <f t="shared" si="2"/>
        <v>50000000</v>
      </c>
      <c r="H18" s="66">
        <f t="shared" si="2"/>
        <v>50000000</v>
      </c>
      <c r="J18" s="83"/>
      <c r="K18" s="83"/>
      <c r="L18" s="83"/>
      <c r="M18" s="83"/>
    </row>
    <row r="19" spans="2:13" s="57" customFormat="1" x14ac:dyDescent="0.2">
      <c r="B19" s="68" t="s">
        <v>37</v>
      </c>
      <c r="C19" s="112">
        <f>'Ppto inversión y plan pagos'!C12</f>
        <v>24000000</v>
      </c>
      <c r="D19" s="66">
        <f>$C$19</f>
        <v>24000000</v>
      </c>
      <c r="E19" s="66">
        <f t="shared" ref="E19:H19" si="3">$C$19</f>
        <v>24000000</v>
      </c>
      <c r="F19" s="66">
        <f t="shared" si="3"/>
        <v>24000000</v>
      </c>
      <c r="G19" s="66">
        <f t="shared" si="3"/>
        <v>24000000</v>
      </c>
      <c r="H19" s="66">
        <f t="shared" si="3"/>
        <v>24000000</v>
      </c>
      <c r="J19" s="83" t="s">
        <v>226</v>
      </c>
      <c r="K19" s="83"/>
      <c r="L19" s="83"/>
      <c r="M19" s="83"/>
    </row>
    <row r="20" spans="2:13" s="57" customFormat="1" x14ac:dyDescent="0.2">
      <c r="B20" s="68" t="s">
        <v>83</v>
      </c>
      <c r="C20" s="112">
        <f>'Ppto inversión y plan pagos'!C13</f>
        <v>6000000</v>
      </c>
      <c r="D20" s="66">
        <f>$C$20</f>
        <v>6000000</v>
      </c>
      <c r="E20" s="66">
        <f t="shared" ref="E20:H20" si="4">$C$20</f>
        <v>6000000</v>
      </c>
      <c r="F20" s="66">
        <f t="shared" si="4"/>
        <v>6000000</v>
      </c>
      <c r="G20" s="66">
        <f t="shared" si="4"/>
        <v>6000000</v>
      </c>
      <c r="H20" s="66">
        <f t="shared" si="4"/>
        <v>6000000</v>
      </c>
      <c r="J20" s="83"/>
      <c r="K20" s="83"/>
      <c r="L20" s="83"/>
      <c r="M20" s="83"/>
    </row>
    <row r="21" spans="2:13" s="57" customFormat="1" x14ac:dyDescent="0.2">
      <c r="B21" s="68" t="s">
        <v>38</v>
      </c>
      <c r="C21" s="112">
        <f>'Ppto inversión y plan pagos'!C14</f>
        <v>12000000</v>
      </c>
      <c r="D21" s="66">
        <f>$C$21</f>
        <v>12000000</v>
      </c>
      <c r="E21" s="66">
        <f t="shared" ref="E21:H21" si="5">$C$21</f>
        <v>12000000</v>
      </c>
      <c r="F21" s="66">
        <f t="shared" si="5"/>
        <v>12000000</v>
      </c>
      <c r="G21" s="66">
        <f t="shared" si="5"/>
        <v>12000000</v>
      </c>
      <c r="H21" s="66">
        <f t="shared" si="5"/>
        <v>12000000</v>
      </c>
      <c r="J21" s="83"/>
      <c r="K21" s="83"/>
      <c r="L21" s="83"/>
      <c r="M21" s="83"/>
    </row>
    <row r="22" spans="2:13" s="57" customFormat="1" ht="15" customHeight="1" x14ac:dyDescent="0.2">
      <c r="B22" s="68" t="s">
        <v>32</v>
      </c>
      <c r="C22" s="122"/>
      <c r="D22" s="66">
        <f>-CIF!C34-'Admón y ventas'!C62</f>
        <v>-23100000</v>
      </c>
      <c r="E22" s="66">
        <f>D22-CIF!D34-'Admón y ventas'!D62</f>
        <v>-46200000</v>
      </c>
      <c r="F22" s="66">
        <f>E22-CIF!E34-'Admón y ventas'!E62</f>
        <v>-67300000</v>
      </c>
      <c r="G22" s="66">
        <f>F22-CIF!F34-'Admón y ventas'!F62</f>
        <v>-88400000</v>
      </c>
      <c r="H22" s="66">
        <f>G22-CIF!G34-'Admón y ventas'!G62</f>
        <v>-99500000</v>
      </c>
      <c r="J22" s="83" t="s">
        <v>231</v>
      </c>
      <c r="K22" s="83"/>
      <c r="L22" s="83"/>
    </row>
    <row r="23" spans="2:13" s="57" customFormat="1" ht="15.75" x14ac:dyDescent="0.25">
      <c r="B23" s="103" t="s">
        <v>84</v>
      </c>
      <c r="C23" s="123">
        <f>SUM(C17:C22)</f>
        <v>242000000</v>
      </c>
      <c r="D23" s="123">
        <f t="shared" ref="D23:H23" si="6">SUM(D17:D22)</f>
        <v>218900000</v>
      </c>
      <c r="E23" s="123">
        <f t="shared" si="6"/>
        <v>195800000</v>
      </c>
      <c r="F23" s="123">
        <f t="shared" si="6"/>
        <v>174700000</v>
      </c>
      <c r="G23" s="123">
        <f t="shared" si="6"/>
        <v>153600000</v>
      </c>
      <c r="H23" s="123">
        <f t="shared" si="6"/>
        <v>142500000</v>
      </c>
      <c r="I23" s="161">
        <f>+SUM(CIF!C34:G34)+SUM('Admón y ventas'!C62:G62)+SUM(ESF!C22:H22)-(D22+E22+F22+G22)</f>
        <v>0</v>
      </c>
      <c r="J23" s="83"/>
      <c r="K23" s="83"/>
      <c r="L23" s="83"/>
    </row>
    <row r="24" spans="2:13" s="57" customFormat="1" x14ac:dyDescent="0.2">
      <c r="B24" s="68" t="s">
        <v>85</v>
      </c>
      <c r="C24" s="122">
        <v>0</v>
      </c>
      <c r="D24" s="66">
        <v>856329</v>
      </c>
      <c r="E24" s="112">
        <v>0</v>
      </c>
      <c r="F24" s="112">
        <v>0</v>
      </c>
      <c r="G24" s="112">
        <v>0</v>
      </c>
      <c r="H24" s="112">
        <v>0</v>
      </c>
    </row>
    <row r="25" spans="2:13" s="57" customFormat="1" ht="15.75" x14ac:dyDescent="0.25">
      <c r="B25" s="103" t="s">
        <v>86</v>
      </c>
      <c r="C25" s="162">
        <f>C24</f>
        <v>0</v>
      </c>
      <c r="D25" s="123">
        <f t="shared" ref="D25:H25" si="7">D24</f>
        <v>856329</v>
      </c>
      <c r="E25" s="123">
        <f t="shared" si="7"/>
        <v>0</v>
      </c>
      <c r="F25" s="123">
        <f t="shared" si="7"/>
        <v>0</v>
      </c>
      <c r="G25" s="123">
        <f t="shared" si="7"/>
        <v>0</v>
      </c>
      <c r="H25" s="123">
        <f t="shared" si="7"/>
        <v>0</v>
      </c>
      <c r="J25" s="83"/>
    </row>
    <row r="26" spans="2:13" s="57" customFormat="1" ht="15.75" x14ac:dyDescent="0.25">
      <c r="B26" s="103" t="s">
        <v>234</v>
      </c>
      <c r="C26" s="123">
        <f>C23+C25</f>
        <v>242000000</v>
      </c>
      <c r="D26" s="123">
        <f t="shared" ref="D26:H26" si="8">D23+D25</f>
        <v>219756329</v>
      </c>
      <c r="E26" s="123">
        <f t="shared" si="8"/>
        <v>195800000</v>
      </c>
      <c r="F26" s="123">
        <f t="shared" si="8"/>
        <v>174700000</v>
      </c>
      <c r="G26" s="123">
        <f t="shared" si="8"/>
        <v>153600000</v>
      </c>
      <c r="H26" s="123">
        <f t="shared" si="8"/>
        <v>142500000</v>
      </c>
      <c r="J26" s="83"/>
    </row>
    <row r="27" spans="2:13" s="57" customFormat="1" ht="15.75" x14ac:dyDescent="0.25">
      <c r="B27" s="65" t="s">
        <v>87</v>
      </c>
      <c r="C27" s="133">
        <f>C15+C26</f>
        <v>245000000</v>
      </c>
      <c r="D27" s="133">
        <f t="shared" ref="D27:H27" si="9">D15+D26</f>
        <v>253894305.20681375</v>
      </c>
      <c r="E27" s="133">
        <f t="shared" si="9"/>
        <v>267806008.53551221</v>
      </c>
      <c r="F27" s="133">
        <f t="shared" si="9"/>
        <v>319024934.33232886</v>
      </c>
      <c r="G27" s="133">
        <f t="shared" si="9"/>
        <v>406146424.35027593</v>
      </c>
      <c r="H27" s="133">
        <f t="shared" si="9"/>
        <v>543239233.09745526</v>
      </c>
      <c r="J27" s="83"/>
    </row>
    <row r="28" spans="2:13" s="57" customFormat="1" ht="5.45" customHeight="1" x14ac:dyDescent="0.25">
      <c r="B28" s="73"/>
      <c r="C28" s="124"/>
      <c r="D28" s="124"/>
      <c r="E28" s="124"/>
      <c r="F28" s="124"/>
      <c r="G28" s="124"/>
      <c r="H28" s="124"/>
      <c r="J28" s="83"/>
    </row>
    <row r="29" spans="2:13" s="57" customFormat="1" ht="15.75" x14ac:dyDescent="0.2">
      <c r="B29" s="268" t="s">
        <v>88</v>
      </c>
      <c r="C29" s="268"/>
      <c r="D29" s="268"/>
      <c r="E29" s="268"/>
      <c r="F29" s="268"/>
      <c r="G29" s="268"/>
      <c r="H29" s="268"/>
    </row>
    <row r="30" spans="2:13" s="57" customFormat="1" ht="15.75" x14ac:dyDescent="0.25">
      <c r="B30" s="258" t="s">
        <v>89</v>
      </c>
      <c r="C30" s="259"/>
      <c r="D30" s="259"/>
      <c r="E30" s="259"/>
      <c r="F30" s="259"/>
      <c r="G30" s="259"/>
      <c r="H30" s="260"/>
    </row>
    <row r="31" spans="2:13" s="57" customFormat="1" x14ac:dyDescent="0.2">
      <c r="B31" s="68" t="s">
        <v>90</v>
      </c>
      <c r="C31" s="112">
        <v>0</v>
      </c>
      <c r="D31" s="112">
        <f>'Ppto Producción'!C70/12</f>
        <v>2627657.2530809962</v>
      </c>
      <c r="E31" s="112">
        <f>'Ppto Producción'!D70/12</f>
        <v>2967119.6576358476</v>
      </c>
      <c r="F31" s="112">
        <f>'Ppto Producción'!E70/12</f>
        <v>3384515.4451467451</v>
      </c>
      <c r="G31" s="112">
        <f>'Ppto Producción'!F70/12</f>
        <v>3856909.1623451617</v>
      </c>
      <c r="H31" s="112">
        <f>'Ppto Producción'!G70/12</f>
        <v>4390955.0871675583</v>
      </c>
      <c r="J31" s="83" t="s">
        <v>184</v>
      </c>
    </row>
    <row r="32" spans="2:13" s="57" customFormat="1" x14ac:dyDescent="0.2">
      <c r="B32" s="68" t="s">
        <v>91</v>
      </c>
      <c r="C32" s="112">
        <v>0</v>
      </c>
      <c r="D32" s="112">
        <v>0</v>
      </c>
      <c r="E32" s="112">
        <f>ER!C17</f>
        <v>2143671.0378064541</v>
      </c>
      <c r="F32" s="112">
        <f>ER!D17</f>
        <v>10903706.614860164</v>
      </c>
      <c r="G32" s="112">
        <f>ER!E17</f>
        <v>26585397.921953496</v>
      </c>
      <c r="H32" s="112">
        <f>ER!F17</f>
        <v>44472100.445503607</v>
      </c>
      <c r="J32" s="83" t="s">
        <v>214</v>
      </c>
    </row>
    <row r="33" spans="2:15" s="57" customFormat="1" ht="14.45" customHeight="1" x14ac:dyDescent="0.2">
      <c r="B33" s="68" t="s">
        <v>92</v>
      </c>
      <c r="C33" s="112">
        <v>0</v>
      </c>
      <c r="D33" s="112">
        <f>+FC!E47</f>
        <v>17710490</v>
      </c>
      <c r="E33" s="112">
        <f>+FC!F47</f>
        <v>18401199.109999999</v>
      </c>
      <c r="F33" s="112">
        <f>+FC!G47</f>
        <v>19082043.477069996</v>
      </c>
      <c r="G33" s="112">
        <f>+FC!H47</f>
        <v>19768997.042244516</v>
      </c>
      <c r="H33" s="112">
        <f>SUM(FC!G12:G14,FC!G22:G24)</f>
        <v>20460911.938723076</v>
      </c>
      <c r="J33" s="238" t="s">
        <v>242</v>
      </c>
      <c r="K33" s="238"/>
      <c r="L33" s="238"/>
      <c r="M33" s="238"/>
      <c r="N33" s="238"/>
      <c r="O33" s="238"/>
    </row>
    <row r="34" spans="2:15" s="57" customFormat="1" x14ac:dyDescent="0.2">
      <c r="B34" s="68" t="s">
        <v>93</v>
      </c>
      <c r="C34" s="112">
        <v>0</v>
      </c>
      <c r="D34" s="112">
        <f>+FC!E46</f>
        <v>2575054.56</v>
      </c>
      <c r="E34" s="112">
        <f>+FC!F46</f>
        <v>2675481.6878399998</v>
      </c>
      <c r="F34" s="112">
        <f>+FC!G46</f>
        <v>2774474.5102900798</v>
      </c>
      <c r="G34" s="112">
        <f>+FC!H46</f>
        <v>2874355.5926605235</v>
      </c>
      <c r="H34" s="112">
        <f>SUM(FC!G15:G18,FC!G25:G28)</f>
        <v>2974958.038403641</v>
      </c>
      <c r="J34" s="238"/>
      <c r="K34" s="238"/>
      <c r="L34" s="238"/>
      <c r="M34" s="238"/>
      <c r="N34" s="238"/>
      <c r="O34" s="238"/>
    </row>
    <row r="35" spans="2:15" s="57" customFormat="1" ht="15.75" x14ac:dyDescent="0.25">
      <c r="B35" s="103" t="s">
        <v>94</v>
      </c>
      <c r="C35" s="123">
        <f>SUM(C31:C34)</f>
        <v>0</v>
      </c>
      <c r="D35" s="123">
        <f t="shared" ref="D35:H35" si="10">SUM(D31:D34)</f>
        <v>22913201.813080996</v>
      </c>
      <c r="E35" s="123">
        <f t="shared" si="10"/>
        <v>26187471.493282303</v>
      </c>
      <c r="F35" s="123">
        <f t="shared" si="10"/>
        <v>36144740.047366984</v>
      </c>
      <c r="G35" s="123">
        <f t="shared" si="10"/>
        <v>53085659.719203696</v>
      </c>
      <c r="H35" s="123">
        <f t="shared" si="10"/>
        <v>72298925.509797886</v>
      </c>
      <c r="J35" s="63"/>
      <c r="K35" s="63"/>
      <c r="L35" s="63"/>
    </row>
    <row r="36" spans="2:15" s="57" customFormat="1" ht="15.75" x14ac:dyDescent="0.25">
      <c r="B36" s="258" t="s">
        <v>236</v>
      </c>
      <c r="C36" s="259"/>
      <c r="D36" s="259"/>
      <c r="E36" s="259"/>
      <c r="F36" s="259"/>
      <c r="G36" s="259"/>
      <c r="H36" s="260"/>
    </row>
    <row r="37" spans="2:15" s="57" customFormat="1" ht="15" customHeight="1" x14ac:dyDescent="0.2">
      <c r="B37" s="68" t="s">
        <v>235</v>
      </c>
      <c r="C37" s="112">
        <f>'Ppto inversión y plan pagos'!E28</f>
        <v>90000000</v>
      </c>
      <c r="D37" s="112">
        <f>'Ppto inversión y plan pagos'!E29</f>
        <v>72000000</v>
      </c>
      <c r="E37" s="112">
        <f>'Ppto inversión y plan pagos'!E30</f>
        <v>54000000</v>
      </c>
      <c r="F37" s="112">
        <f>'Ppto inversión y plan pagos'!E31</f>
        <v>36000000</v>
      </c>
      <c r="G37" s="112">
        <f>'Ppto inversión y plan pagos'!E32</f>
        <v>18000000</v>
      </c>
      <c r="H37" s="112">
        <f>'Ppto inversión y plan pagos'!E33</f>
        <v>0</v>
      </c>
      <c r="J37" s="57" t="s">
        <v>201</v>
      </c>
    </row>
    <row r="38" spans="2:15" s="57" customFormat="1" x14ac:dyDescent="0.2">
      <c r="B38" s="68" t="s">
        <v>250</v>
      </c>
      <c r="C38" s="112">
        <v>0</v>
      </c>
      <c r="D38" s="112">
        <v>0</v>
      </c>
      <c r="E38" s="112">
        <v>8387693.2280474994</v>
      </c>
      <c r="F38" s="112">
        <v>18276468.622604001</v>
      </c>
      <c r="G38" s="112">
        <v>23865995.1834521</v>
      </c>
      <c r="H38" s="112">
        <v>33397603.486019798</v>
      </c>
    </row>
    <row r="39" spans="2:15" s="57" customFormat="1" ht="15.75" x14ac:dyDescent="0.25">
      <c r="B39" s="103" t="s">
        <v>237</v>
      </c>
      <c r="C39" s="123">
        <f>SUM(C37:C38)</f>
        <v>90000000</v>
      </c>
      <c r="D39" s="123">
        <f t="shared" ref="D39:H39" si="11">SUM(D37:D38)</f>
        <v>72000000</v>
      </c>
      <c r="E39" s="123">
        <f t="shared" si="11"/>
        <v>62387693.228047498</v>
      </c>
      <c r="F39" s="123">
        <f t="shared" si="11"/>
        <v>54276468.622603998</v>
      </c>
      <c r="G39" s="123">
        <f t="shared" si="11"/>
        <v>41865995.1834521</v>
      </c>
      <c r="H39" s="123">
        <f t="shared" si="11"/>
        <v>33397603.486019798</v>
      </c>
    </row>
    <row r="40" spans="2:15" s="57" customFormat="1" ht="15.75" x14ac:dyDescent="0.25">
      <c r="B40" s="65" t="s">
        <v>95</v>
      </c>
      <c r="C40" s="163">
        <f>C35+C39</f>
        <v>90000000</v>
      </c>
      <c r="D40" s="163">
        <f>D35+D39</f>
        <v>94913201.813080996</v>
      </c>
      <c r="E40" s="163">
        <f t="shared" ref="E40:H40" si="12">E35+E39</f>
        <v>88575164.721329808</v>
      </c>
      <c r="F40" s="163">
        <f t="shared" si="12"/>
        <v>90421208.669970989</v>
      </c>
      <c r="G40" s="163">
        <f t="shared" si="12"/>
        <v>94951654.902655795</v>
      </c>
      <c r="H40" s="163">
        <f t="shared" si="12"/>
        <v>105696528.99581769</v>
      </c>
    </row>
    <row r="41" spans="2:15" s="57" customFormat="1" x14ac:dyDescent="0.2">
      <c r="B41" s="265"/>
      <c r="C41" s="266"/>
      <c r="D41" s="266"/>
      <c r="E41" s="266"/>
      <c r="F41" s="266"/>
      <c r="G41" s="266"/>
      <c r="H41" s="267"/>
    </row>
    <row r="42" spans="2:15" s="57" customFormat="1" ht="15.75" x14ac:dyDescent="0.2">
      <c r="B42" s="262" t="s">
        <v>96</v>
      </c>
      <c r="C42" s="263"/>
      <c r="D42" s="263"/>
      <c r="E42" s="263"/>
      <c r="F42" s="263"/>
      <c r="G42" s="263"/>
      <c r="H42" s="264"/>
    </row>
    <row r="43" spans="2:15" s="57" customFormat="1" x14ac:dyDescent="0.2">
      <c r="B43" s="68" t="s">
        <v>97</v>
      </c>
      <c r="C43" s="112">
        <f>C5</f>
        <v>155000000</v>
      </c>
      <c r="D43" s="112">
        <f>C43</f>
        <v>155000000</v>
      </c>
      <c r="E43" s="112">
        <f t="shared" ref="E43:H43" si="13">D43</f>
        <v>155000000</v>
      </c>
      <c r="F43" s="112">
        <f t="shared" si="13"/>
        <v>155000000</v>
      </c>
      <c r="G43" s="112">
        <f t="shared" si="13"/>
        <v>155000000</v>
      </c>
      <c r="H43" s="112">
        <f t="shared" si="13"/>
        <v>155000000</v>
      </c>
    </row>
    <row r="44" spans="2:15" s="57" customFormat="1" x14ac:dyDescent="0.2">
      <c r="B44" s="68" t="s">
        <v>98</v>
      </c>
      <c r="C44" s="68">
        <v>0</v>
      </c>
      <c r="D44" s="112">
        <f>ER!C19</f>
        <v>398110.33559262729</v>
      </c>
      <c r="E44" s="112">
        <f>D44+ER!D19</f>
        <v>2423084.4212095155</v>
      </c>
      <c r="F44" s="112">
        <f>E44+ER!E19</f>
        <v>7360372.6067151651</v>
      </c>
      <c r="G44" s="112">
        <f>F44+ER!F19</f>
        <v>15619476.975165837</v>
      </c>
      <c r="H44" s="112">
        <f>G44+ER!G19</f>
        <v>28254270.364779931</v>
      </c>
      <c r="J44" s="83" t="s">
        <v>246</v>
      </c>
    </row>
    <row r="45" spans="2:15" s="57" customFormat="1" x14ac:dyDescent="0.2">
      <c r="B45" s="68" t="s">
        <v>99</v>
      </c>
      <c r="C45" s="68">
        <v>0</v>
      </c>
      <c r="D45" s="112">
        <v>0</v>
      </c>
      <c r="E45" s="112">
        <f>D46</f>
        <v>3582993.0203336449</v>
      </c>
      <c r="F45" s="112">
        <f>E45+E46</f>
        <v>21807759.790885638</v>
      </c>
      <c r="G45" s="112">
        <f t="shared" ref="G45:H45" si="14">F45+F46</f>
        <v>66243353.460436478</v>
      </c>
      <c r="H45" s="112">
        <f t="shared" si="14"/>
        <v>140575292.77649251</v>
      </c>
      <c r="I45" s="161">
        <f>+H44-SUM(ER!C19:G19)</f>
        <v>0</v>
      </c>
    </row>
    <row r="46" spans="2:15" s="57" customFormat="1" x14ac:dyDescent="0.2">
      <c r="B46" s="68" t="s">
        <v>100</v>
      </c>
      <c r="C46" s="68">
        <v>0</v>
      </c>
      <c r="D46" s="112">
        <f>ER!C20</f>
        <v>3582993.0203336449</v>
      </c>
      <c r="E46" s="112">
        <f>ER!D20</f>
        <v>18224766.770551994</v>
      </c>
      <c r="F46" s="112">
        <f>ER!E20</f>
        <v>44435593.669550844</v>
      </c>
      <c r="G46" s="112">
        <f>ER!F20</f>
        <v>74331939.316056028</v>
      </c>
      <c r="H46" s="112">
        <f>ER!G20</f>
        <v>113713140.50652684</v>
      </c>
      <c r="J46" s="83" t="s">
        <v>214</v>
      </c>
    </row>
    <row r="47" spans="2:15" s="57" customFormat="1" ht="15.75" x14ac:dyDescent="0.25">
      <c r="B47" s="65" t="s">
        <v>96</v>
      </c>
      <c r="C47" s="163">
        <f>SUM(C43:C46)</f>
        <v>155000000</v>
      </c>
      <c r="D47" s="163">
        <f>SUM(D43:D46)</f>
        <v>158981103.35592628</v>
      </c>
      <c r="E47" s="163">
        <f>SUM(E43:E46)</f>
        <v>179230844.21209514</v>
      </c>
      <c r="F47" s="163">
        <f t="shared" ref="F47:H47" si="15">SUM(F43:F46)</f>
        <v>228603726.06715164</v>
      </c>
      <c r="G47" s="163">
        <f t="shared" si="15"/>
        <v>311194769.75165832</v>
      </c>
      <c r="H47" s="163">
        <f t="shared" si="15"/>
        <v>437542703.64779925</v>
      </c>
      <c r="I47" s="161">
        <f>+H45+H46-SUM(ER!C20:G20)</f>
        <v>0</v>
      </c>
    </row>
    <row r="48" spans="2:15" s="57" customFormat="1" ht="15.75" x14ac:dyDescent="0.25">
      <c r="B48" s="103" t="s">
        <v>101</v>
      </c>
      <c r="C48" s="123">
        <f>C40+C47</f>
        <v>245000000</v>
      </c>
      <c r="D48" s="123">
        <f>D40+D47</f>
        <v>253894305.16900727</v>
      </c>
      <c r="E48" s="123">
        <f t="shared" ref="E48:H48" si="16">E40+E47</f>
        <v>267806008.93342495</v>
      </c>
      <c r="F48" s="123">
        <f t="shared" si="16"/>
        <v>319024934.73712265</v>
      </c>
      <c r="G48" s="123">
        <f t="shared" si="16"/>
        <v>406146424.6543141</v>
      </c>
      <c r="H48" s="123">
        <f t="shared" si="16"/>
        <v>543239232.64361691</v>
      </c>
    </row>
    <row r="49" spans="2:8" s="57" customFormat="1" ht="19.5" customHeight="1" x14ac:dyDescent="0.2">
      <c r="C49" s="164">
        <f>+C48-C27</f>
        <v>0</v>
      </c>
      <c r="D49" s="164">
        <f t="shared" ref="D49:H49" si="17">+D48-D27</f>
        <v>-3.7806481122970581E-2</v>
      </c>
      <c r="E49" s="164">
        <f t="shared" si="17"/>
        <v>0.39791274070739746</v>
      </c>
      <c r="F49" s="164">
        <f t="shared" si="17"/>
        <v>0.40479379892349243</v>
      </c>
      <c r="G49" s="164">
        <f t="shared" si="17"/>
        <v>0.30403816699981689</v>
      </c>
      <c r="H49" s="164">
        <f t="shared" si="17"/>
        <v>-0.45383834838867188</v>
      </c>
    </row>
    <row r="50" spans="2:8" s="57" customFormat="1" ht="51.75" customHeight="1" x14ac:dyDescent="0.2">
      <c r="B50" s="261" t="s">
        <v>2309</v>
      </c>
      <c r="C50" s="261"/>
      <c r="D50" s="261"/>
      <c r="E50" s="261"/>
      <c r="F50" s="261"/>
      <c r="G50" s="261"/>
      <c r="H50" s="261"/>
    </row>
    <row r="51" spans="2:8" s="57" customFormat="1" x14ac:dyDescent="0.2">
      <c r="D51" s="102"/>
      <c r="E51" s="102"/>
      <c r="F51" s="102"/>
      <c r="G51" s="102"/>
      <c r="H51" s="102"/>
    </row>
    <row r="52" spans="2:8" s="57" customFormat="1" x14ac:dyDescent="0.2"/>
  </sheetData>
  <mergeCells count="11">
    <mergeCell ref="B3:H3"/>
    <mergeCell ref="J33:O34"/>
    <mergeCell ref="B16:H16"/>
    <mergeCell ref="B29:H29"/>
    <mergeCell ref="B30:H30"/>
    <mergeCell ref="B36:H36"/>
    <mergeCell ref="B50:H50"/>
    <mergeCell ref="B42:H42"/>
    <mergeCell ref="B8:H8"/>
    <mergeCell ref="B41:H41"/>
    <mergeCell ref="B9:H9"/>
  </mergeCell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3584-C9AE-41F5-B090-C9F41BE542DC}">
  <dimension ref="A1:I4923"/>
  <sheetViews>
    <sheetView workbookViewId="0">
      <selection activeCell="A7" sqref="A7"/>
    </sheetView>
  </sheetViews>
  <sheetFormatPr baseColWidth="10" defaultColWidth="11.42578125" defaultRowHeight="15" customHeight="1" x14ac:dyDescent="0.25"/>
  <cols>
    <col min="1" max="1" width="11.42578125" style="44"/>
    <col min="2" max="2" width="151.5703125" style="44" customWidth="1"/>
    <col min="3" max="257" width="11.42578125" style="44"/>
    <col min="258" max="258" width="137.28515625" style="44" bestFit="1" customWidth="1"/>
    <col min="259" max="513" width="11.42578125" style="44"/>
    <col min="514" max="514" width="137.28515625" style="44" bestFit="1" customWidth="1"/>
    <col min="515" max="769" width="11.42578125" style="44"/>
    <col min="770" max="770" width="137.28515625" style="44" bestFit="1" customWidth="1"/>
    <col min="771" max="1025" width="11.42578125" style="44"/>
    <col min="1026" max="1026" width="137.28515625" style="44" bestFit="1" customWidth="1"/>
    <col min="1027" max="1281" width="11.42578125" style="44"/>
    <col min="1282" max="1282" width="137.28515625" style="44" bestFit="1" customWidth="1"/>
    <col min="1283" max="1537" width="11.42578125" style="44"/>
    <col min="1538" max="1538" width="137.28515625" style="44" bestFit="1" customWidth="1"/>
    <col min="1539" max="1793" width="11.42578125" style="44"/>
    <col min="1794" max="1794" width="137.28515625" style="44" bestFit="1" customWidth="1"/>
    <col min="1795" max="2049" width="11.42578125" style="44"/>
    <col min="2050" max="2050" width="137.28515625" style="44" bestFit="1" customWidth="1"/>
    <col min="2051" max="2305" width="11.42578125" style="44"/>
    <col min="2306" max="2306" width="137.28515625" style="44" bestFit="1" customWidth="1"/>
    <col min="2307" max="2561" width="11.42578125" style="44"/>
    <col min="2562" max="2562" width="137.28515625" style="44" bestFit="1" customWidth="1"/>
    <col min="2563" max="2817" width="11.42578125" style="44"/>
    <col min="2818" max="2818" width="137.28515625" style="44" bestFit="1" customWidth="1"/>
    <col min="2819" max="3073" width="11.42578125" style="44"/>
    <col min="3074" max="3074" width="137.28515625" style="44" bestFit="1" customWidth="1"/>
    <col min="3075" max="3329" width="11.42578125" style="44"/>
    <col min="3330" max="3330" width="137.28515625" style="44" bestFit="1" customWidth="1"/>
    <col min="3331" max="3585" width="11.42578125" style="44"/>
    <col min="3586" max="3586" width="137.28515625" style="44" bestFit="1" customWidth="1"/>
    <col min="3587" max="3841" width="11.42578125" style="44"/>
    <col min="3842" max="3842" width="137.28515625" style="44" bestFit="1" customWidth="1"/>
    <col min="3843" max="4097" width="11.42578125" style="44"/>
    <col min="4098" max="4098" width="137.28515625" style="44" bestFit="1" customWidth="1"/>
    <col min="4099" max="4353" width="11.42578125" style="44"/>
    <col min="4354" max="4354" width="137.28515625" style="44" bestFit="1" customWidth="1"/>
    <col min="4355" max="4609" width="11.42578125" style="44"/>
    <col min="4610" max="4610" width="137.28515625" style="44" bestFit="1" customWidth="1"/>
    <col min="4611" max="4865" width="11.42578125" style="44"/>
    <col min="4866" max="4866" width="137.28515625" style="44" bestFit="1" customWidth="1"/>
    <col min="4867" max="5121" width="11.42578125" style="44"/>
    <col min="5122" max="5122" width="137.28515625" style="44" bestFit="1" customWidth="1"/>
    <col min="5123" max="5377" width="11.42578125" style="44"/>
    <col min="5378" max="5378" width="137.28515625" style="44" bestFit="1" customWidth="1"/>
    <col min="5379" max="5633" width="11.42578125" style="44"/>
    <col min="5634" max="5634" width="137.28515625" style="44" bestFit="1" customWidth="1"/>
    <col min="5635" max="5889" width="11.42578125" style="44"/>
    <col min="5890" max="5890" width="137.28515625" style="44" bestFit="1" customWidth="1"/>
    <col min="5891" max="6145" width="11.42578125" style="44"/>
    <col min="6146" max="6146" width="137.28515625" style="44" bestFit="1" customWidth="1"/>
    <col min="6147" max="6401" width="11.42578125" style="44"/>
    <col min="6402" max="6402" width="137.28515625" style="44" bestFit="1" customWidth="1"/>
    <col min="6403" max="6657" width="11.42578125" style="44"/>
    <col min="6658" max="6658" width="137.28515625" style="44" bestFit="1" customWidth="1"/>
    <col min="6659" max="6913" width="11.42578125" style="44"/>
    <col min="6914" max="6914" width="137.28515625" style="44" bestFit="1" customWidth="1"/>
    <col min="6915" max="7169" width="11.42578125" style="44"/>
    <col min="7170" max="7170" width="137.28515625" style="44" bestFit="1" customWidth="1"/>
    <col min="7171" max="7425" width="11.42578125" style="44"/>
    <col min="7426" max="7426" width="137.28515625" style="44" bestFit="1" customWidth="1"/>
    <col min="7427" max="7681" width="11.42578125" style="44"/>
    <col min="7682" max="7682" width="137.28515625" style="44" bestFit="1" customWidth="1"/>
    <col min="7683" max="7937" width="11.42578125" style="44"/>
    <col min="7938" max="7938" width="137.28515625" style="44" bestFit="1" customWidth="1"/>
    <col min="7939" max="8193" width="11.42578125" style="44"/>
    <col min="8194" max="8194" width="137.28515625" style="44" bestFit="1" customWidth="1"/>
    <col min="8195" max="8449" width="11.42578125" style="44"/>
    <col min="8450" max="8450" width="137.28515625" style="44" bestFit="1" customWidth="1"/>
    <col min="8451" max="8705" width="11.42578125" style="44"/>
    <col min="8706" max="8706" width="137.28515625" style="44" bestFit="1" customWidth="1"/>
    <col min="8707" max="8961" width="11.42578125" style="44"/>
    <col min="8962" max="8962" width="137.28515625" style="44" bestFit="1" customWidth="1"/>
    <col min="8963" max="9217" width="11.42578125" style="44"/>
    <col min="9218" max="9218" width="137.28515625" style="44" bestFit="1" customWidth="1"/>
    <col min="9219" max="9473" width="11.42578125" style="44"/>
    <col min="9474" max="9474" width="137.28515625" style="44" bestFit="1" customWidth="1"/>
    <col min="9475" max="9729" width="11.42578125" style="44"/>
    <col min="9730" max="9730" width="137.28515625" style="44" bestFit="1" customWidth="1"/>
    <col min="9731" max="9985" width="11.42578125" style="44"/>
    <col min="9986" max="9986" width="137.28515625" style="44" bestFit="1" customWidth="1"/>
    <col min="9987" max="10241" width="11.42578125" style="44"/>
    <col min="10242" max="10242" width="137.28515625" style="44" bestFit="1" customWidth="1"/>
    <col min="10243" max="10497" width="11.42578125" style="44"/>
    <col min="10498" max="10498" width="137.28515625" style="44" bestFit="1" customWidth="1"/>
    <col min="10499" max="10753" width="11.42578125" style="44"/>
    <col min="10754" max="10754" width="137.28515625" style="44" bestFit="1" customWidth="1"/>
    <col min="10755" max="11009" width="11.42578125" style="44"/>
    <col min="11010" max="11010" width="137.28515625" style="44" bestFit="1" customWidth="1"/>
    <col min="11011" max="11265" width="11.42578125" style="44"/>
    <col min="11266" max="11266" width="137.28515625" style="44" bestFit="1" customWidth="1"/>
    <col min="11267" max="11521" width="11.42578125" style="44"/>
    <col min="11522" max="11522" width="137.28515625" style="44" bestFit="1" customWidth="1"/>
    <col min="11523" max="11777" width="11.42578125" style="44"/>
    <col min="11778" max="11778" width="137.28515625" style="44" bestFit="1" customWidth="1"/>
    <col min="11779" max="12033" width="11.42578125" style="44"/>
    <col min="12034" max="12034" width="137.28515625" style="44" bestFit="1" customWidth="1"/>
    <col min="12035" max="12289" width="11.42578125" style="44"/>
    <col min="12290" max="12290" width="137.28515625" style="44" bestFit="1" customWidth="1"/>
    <col min="12291" max="12545" width="11.42578125" style="44"/>
    <col min="12546" max="12546" width="137.28515625" style="44" bestFit="1" customWidth="1"/>
    <col min="12547" max="12801" width="11.42578125" style="44"/>
    <col min="12802" max="12802" width="137.28515625" style="44" bestFit="1" customWidth="1"/>
    <col min="12803" max="13057" width="11.42578125" style="44"/>
    <col min="13058" max="13058" width="137.28515625" style="44" bestFit="1" customWidth="1"/>
    <col min="13059" max="13313" width="11.42578125" style="44"/>
    <col min="13314" max="13314" width="137.28515625" style="44" bestFit="1" customWidth="1"/>
    <col min="13315" max="13569" width="11.42578125" style="44"/>
    <col min="13570" max="13570" width="137.28515625" style="44" bestFit="1" customWidth="1"/>
    <col min="13571" max="13825" width="11.42578125" style="44"/>
    <col min="13826" max="13826" width="137.28515625" style="44" bestFit="1" customWidth="1"/>
    <col min="13827" max="14081" width="11.42578125" style="44"/>
    <col min="14082" max="14082" width="137.28515625" style="44" bestFit="1" customWidth="1"/>
    <col min="14083" max="14337" width="11.42578125" style="44"/>
    <col min="14338" max="14338" width="137.28515625" style="44" bestFit="1" customWidth="1"/>
    <col min="14339" max="14593" width="11.42578125" style="44"/>
    <col min="14594" max="14594" width="137.28515625" style="44" bestFit="1" customWidth="1"/>
    <col min="14595" max="14849" width="11.42578125" style="44"/>
    <col min="14850" max="14850" width="137.28515625" style="44" bestFit="1" customWidth="1"/>
    <col min="14851" max="15105" width="11.42578125" style="44"/>
    <col min="15106" max="15106" width="137.28515625" style="44" bestFit="1" customWidth="1"/>
    <col min="15107" max="15361" width="11.42578125" style="44"/>
    <col min="15362" max="15362" width="137.28515625" style="44" bestFit="1" customWidth="1"/>
    <col min="15363" max="15617" width="11.42578125" style="44"/>
    <col min="15618" max="15618" width="137.28515625" style="44" bestFit="1" customWidth="1"/>
    <col min="15619" max="15873" width="11.42578125" style="44"/>
    <col min="15874" max="15874" width="137.28515625" style="44" bestFit="1" customWidth="1"/>
    <col min="15875" max="16129" width="11.42578125" style="44"/>
    <col min="16130" max="16130" width="137.28515625" style="44" bestFit="1" customWidth="1"/>
    <col min="16131" max="16384" width="11.42578125" style="44"/>
  </cols>
  <sheetData>
    <row r="1" spans="1:9" x14ac:dyDescent="0.25"/>
    <row r="2" spans="1:9" x14ac:dyDescent="0.25"/>
    <row r="3" spans="1:9" x14ac:dyDescent="0.25"/>
    <row r="4" spans="1:9" x14ac:dyDescent="0.25"/>
    <row r="5" spans="1:9" x14ac:dyDescent="0.25"/>
    <row r="6" spans="1:9" ht="30.75" customHeight="1" x14ac:dyDescent="0.4">
      <c r="A6" s="269" t="s">
        <v>267</v>
      </c>
      <c r="B6" s="269"/>
      <c r="C6" s="45"/>
      <c r="D6" s="45"/>
      <c r="E6" s="45"/>
      <c r="F6" s="45"/>
      <c r="G6" s="45"/>
      <c r="H6" s="45"/>
      <c r="I6" s="45"/>
    </row>
    <row r="7" spans="1:9" x14ac:dyDescent="0.25">
      <c r="A7" s="46" t="s">
        <v>268</v>
      </c>
      <c r="B7" s="47"/>
    </row>
    <row r="8" spans="1:9" x14ac:dyDescent="0.25">
      <c r="A8" s="48" t="s">
        <v>269</v>
      </c>
      <c r="B8" s="47"/>
    </row>
    <row r="9" spans="1:9" x14ac:dyDescent="0.25">
      <c r="A9" s="49" t="s">
        <v>270</v>
      </c>
      <c r="B9" s="47" t="s">
        <v>271</v>
      </c>
    </row>
    <row r="10" spans="1:9" ht="13.5" customHeight="1" x14ac:dyDescent="0.25">
      <c r="A10" s="50"/>
      <c r="B10" s="51"/>
    </row>
    <row r="11" spans="1:9" ht="13.5" customHeight="1" x14ac:dyDescent="0.25">
      <c r="A11" s="50"/>
      <c r="B11" s="51" t="s">
        <v>541</v>
      </c>
    </row>
    <row r="12" spans="1:9" ht="13.5" customHeight="1" x14ac:dyDescent="0.25">
      <c r="A12" s="50"/>
      <c r="B12" s="51"/>
    </row>
    <row r="13" spans="1:9" ht="13.5" customHeight="1" x14ac:dyDescent="0.25">
      <c r="A13" s="50"/>
      <c r="B13" s="51" t="s">
        <v>542</v>
      </c>
    </row>
    <row r="14" spans="1:9" ht="13.5" customHeight="1" x14ac:dyDescent="0.25">
      <c r="A14" s="50"/>
      <c r="B14" s="51"/>
    </row>
    <row r="15" spans="1:9" ht="13.5" customHeight="1" x14ac:dyDescent="0.25">
      <c r="A15" s="50"/>
      <c r="B15" s="51" t="s">
        <v>2329</v>
      </c>
    </row>
    <row r="16" spans="1:9" ht="13.5" customHeight="1" x14ac:dyDescent="0.25">
      <c r="A16" s="50"/>
      <c r="B16" s="51"/>
    </row>
    <row r="17" spans="1:2" ht="13.5" customHeight="1" x14ac:dyDescent="0.25">
      <c r="A17" s="50"/>
      <c r="B17" s="51" t="s">
        <v>2324</v>
      </c>
    </row>
    <row r="18" spans="1:2" ht="13.5" customHeight="1" x14ac:dyDescent="0.25">
      <c r="A18" s="50"/>
      <c r="B18" s="51"/>
    </row>
    <row r="19" spans="1:2" ht="13.5" customHeight="1" x14ac:dyDescent="0.25">
      <c r="A19" s="50"/>
      <c r="B19" s="51" t="s">
        <v>550</v>
      </c>
    </row>
    <row r="20" spans="1:2" ht="13.5" customHeight="1" x14ac:dyDescent="0.25">
      <c r="A20" s="50"/>
      <c r="B20" s="51"/>
    </row>
    <row r="21" spans="1:2" ht="13.5" customHeight="1" x14ac:dyDescent="0.25">
      <c r="A21" s="50"/>
      <c r="B21" s="51" t="s">
        <v>561</v>
      </c>
    </row>
    <row r="22" spans="1:2" ht="13.5" customHeight="1" x14ac:dyDescent="0.25">
      <c r="A22" s="50"/>
      <c r="B22" s="51"/>
    </row>
    <row r="23" spans="1:2" ht="13.5" customHeight="1" x14ac:dyDescent="0.25">
      <c r="A23" s="50"/>
      <c r="B23" s="51" t="s">
        <v>272</v>
      </c>
    </row>
    <row r="24" spans="1:2" ht="13.5" customHeight="1" x14ac:dyDescent="0.25">
      <c r="A24" s="50"/>
      <c r="B24" s="51"/>
    </row>
    <row r="25" spans="1:2" ht="13.5" customHeight="1" x14ac:dyDescent="0.25">
      <c r="A25" s="50"/>
      <c r="B25" s="51" t="s">
        <v>273</v>
      </c>
    </row>
    <row r="26" spans="1:2" ht="13.5" customHeight="1" x14ac:dyDescent="0.25">
      <c r="A26" s="50"/>
      <c r="B26" s="51"/>
    </row>
    <row r="27" spans="1:2" ht="13.5" customHeight="1" x14ac:dyDescent="0.25">
      <c r="A27" s="50"/>
      <c r="B27" s="51" t="s">
        <v>274</v>
      </c>
    </row>
    <row r="28" spans="1:2" ht="13.5" customHeight="1" x14ac:dyDescent="0.25">
      <c r="A28" s="50"/>
      <c r="B28" s="51"/>
    </row>
    <row r="29" spans="1:2" ht="13.5" customHeight="1" x14ac:dyDescent="0.25">
      <c r="A29" s="50"/>
      <c r="B29" s="51" t="s">
        <v>275</v>
      </c>
    </row>
    <row r="30" spans="1:2" ht="13.5" customHeight="1" x14ac:dyDescent="0.25">
      <c r="A30" s="50"/>
      <c r="B30" s="51"/>
    </row>
    <row r="31" spans="1:2" ht="13.5" customHeight="1" x14ac:dyDescent="0.25">
      <c r="A31" s="50"/>
      <c r="B31" s="51" t="s">
        <v>276</v>
      </c>
    </row>
    <row r="32" spans="1:2" ht="13.5" customHeight="1" x14ac:dyDescent="0.25">
      <c r="A32" s="50"/>
      <c r="B32" s="51"/>
    </row>
    <row r="33" spans="1:2" ht="13.5" customHeight="1" x14ac:dyDescent="0.25">
      <c r="A33" s="50"/>
      <c r="B33" s="51" t="s">
        <v>277</v>
      </c>
    </row>
    <row r="34" spans="1:2" ht="13.5" customHeight="1" x14ac:dyDescent="0.25">
      <c r="A34" s="50"/>
      <c r="B34" s="51"/>
    </row>
    <row r="35" spans="1:2" ht="13.5" customHeight="1" x14ac:dyDescent="0.25">
      <c r="A35" s="50"/>
      <c r="B35" s="51" t="s">
        <v>278</v>
      </c>
    </row>
    <row r="36" spans="1:2" ht="13.5" customHeight="1" x14ac:dyDescent="0.25">
      <c r="A36" s="50"/>
      <c r="B36" s="51"/>
    </row>
    <row r="37" spans="1:2" ht="13.5" customHeight="1" x14ac:dyDescent="0.25">
      <c r="A37" s="50"/>
      <c r="B37" s="51" t="s">
        <v>279</v>
      </c>
    </row>
    <row r="38" spans="1:2" ht="13.5" customHeight="1" x14ac:dyDescent="0.25">
      <c r="A38" s="50"/>
      <c r="B38" s="51"/>
    </row>
    <row r="39" spans="1:2" ht="13.5" customHeight="1" x14ac:dyDescent="0.25">
      <c r="A39" s="50"/>
      <c r="B39" s="51" t="s">
        <v>280</v>
      </c>
    </row>
    <row r="40" spans="1:2" ht="13.5" customHeight="1" x14ac:dyDescent="0.25">
      <c r="A40" s="50"/>
      <c r="B40" s="51"/>
    </row>
    <row r="41" spans="1:2" ht="13.5" customHeight="1" x14ac:dyDescent="0.25">
      <c r="A41" s="50"/>
      <c r="B41" s="51" t="s">
        <v>281</v>
      </c>
    </row>
    <row r="42" spans="1:2" ht="13.5" customHeight="1" x14ac:dyDescent="0.25">
      <c r="A42" s="50"/>
      <c r="B42" s="51"/>
    </row>
    <row r="43" spans="1:2" ht="13.5" customHeight="1" x14ac:dyDescent="0.25">
      <c r="A43" s="50"/>
      <c r="B43" s="51" t="s">
        <v>282</v>
      </c>
    </row>
    <row r="44" spans="1:2" ht="13.5" customHeight="1" x14ac:dyDescent="0.25">
      <c r="A44" s="50"/>
      <c r="B44" s="51"/>
    </row>
    <row r="45" spans="1:2" ht="13.5" customHeight="1" x14ac:dyDescent="0.25">
      <c r="A45" s="50"/>
      <c r="B45" s="51" t="s">
        <v>283</v>
      </c>
    </row>
    <row r="46" spans="1:2" ht="13.5" customHeight="1" x14ac:dyDescent="0.25">
      <c r="A46" s="50"/>
      <c r="B46" s="51"/>
    </row>
    <row r="47" spans="1:2" ht="13.5" customHeight="1" x14ac:dyDescent="0.25">
      <c r="A47" s="50"/>
      <c r="B47" s="51" t="s">
        <v>284</v>
      </c>
    </row>
    <row r="48" spans="1:2" ht="13.5" customHeight="1" x14ac:dyDescent="0.25">
      <c r="A48" s="50"/>
      <c r="B48" s="51"/>
    </row>
    <row r="49" spans="1:2" ht="13.5" customHeight="1" x14ac:dyDescent="0.25">
      <c r="A49" s="50"/>
      <c r="B49" s="51" t="s">
        <v>285</v>
      </c>
    </row>
    <row r="50" spans="1:2" ht="13.5" customHeight="1" x14ac:dyDescent="0.25">
      <c r="A50" s="50"/>
      <c r="B50" s="51"/>
    </row>
    <row r="51" spans="1:2" ht="13.5" customHeight="1" x14ac:dyDescent="0.25">
      <c r="A51" s="50"/>
      <c r="B51" s="51" t="s">
        <v>286</v>
      </c>
    </row>
    <row r="52" spans="1:2" ht="13.5" customHeight="1" x14ac:dyDescent="0.25">
      <c r="A52" s="50"/>
      <c r="B52" s="51"/>
    </row>
    <row r="53" spans="1:2" ht="13.5" customHeight="1" x14ac:dyDescent="0.25">
      <c r="A53" s="50"/>
      <c r="B53" s="51" t="s">
        <v>287</v>
      </c>
    </row>
    <row r="54" spans="1:2" ht="13.5" customHeight="1" x14ac:dyDescent="0.25">
      <c r="A54" s="50"/>
      <c r="B54" s="51"/>
    </row>
    <row r="55" spans="1:2" ht="13.5" customHeight="1" x14ac:dyDescent="0.25">
      <c r="A55" s="50"/>
      <c r="B55" s="51" t="s">
        <v>288</v>
      </c>
    </row>
    <row r="56" spans="1:2" ht="13.5" customHeight="1" x14ac:dyDescent="0.25">
      <c r="A56" s="50"/>
      <c r="B56" s="51"/>
    </row>
    <row r="57" spans="1:2" ht="13.5" customHeight="1" x14ac:dyDescent="0.25">
      <c r="A57" s="50"/>
      <c r="B57" s="51" t="s">
        <v>289</v>
      </c>
    </row>
    <row r="58" spans="1:2" ht="13.5" customHeight="1" x14ac:dyDescent="0.25">
      <c r="A58" s="50"/>
      <c r="B58" s="51"/>
    </row>
    <row r="59" spans="1:2" ht="13.5" customHeight="1" x14ac:dyDescent="0.25">
      <c r="A59" s="50"/>
      <c r="B59" s="51" t="s">
        <v>290</v>
      </c>
    </row>
    <row r="60" spans="1:2" ht="13.5" customHeight="1" x14ac:dyDescent="0.25">
      <c r="A60" s="50"/>
      <c r="B60" s="51"/>
    </row>
    <row r="61" spans="1:2" ht="13.5" customHeight="1" x14ac:dyDescent="0.25">
      <c r="A61" s="50"/>
      <c r="B61" s="51" t="s">
        <v>291</v>
      </c>
    </row>
    <row r="62" spans="1:2" ht="13.5" customHeight="1" x14ac:dyDescent="0.25">
      <c r="A62" s="50"/>
      <c r="B62" s="51"/>
    </row>
    <row r="63" spans="1:2" ht="13.5" customHeight="1" x14ac:dyDescent="0.25">
      <c r="A63" s="50"/>
      <c r="B63" s="51" t="s">
        <v>292</v>
      </c>
    </row>
    <row r="64" spans="1:2" ht="13.5" customHeight="1" x14ac:dyDescent="0.25">
      <c r="A64" s="50"/>
      <c r="B64" s="51"/>
    </row>
    <row r="65" spans="1:2" ht="13.5" customHeight="1" x14ac:dyDescent="0.25">
      <c r="A65" s="50"/>
      <c r="B65" s="51" t="s">
        <v>293</v>
      </c>
    </row>
    <row r="66" spans="1:2" ht="13.5" customHeight="1" x14ac:dyDescent="0.25">
      <c r="A66" s="50"/>
      <c r="B66" s="51"/>
    </row>
    <row r="67" spans="1:2" ht="13.5" customHeight="1" x14ac:dyDescent="0.25">
      <c r="A67" s="50"/>
      <c r="B67" s="51" t="s">
        <v>294</v>
      </c>
    </row>
    <row r="68" spans="1:2" ht="13.5" customHeight="1" x14ac:dyDescent="0.25">
      <c r="A68" s="50"/>
      <c r="B68" s="51"/>
    </row>
    <row r="69" spans="1:2" ht="13.5" customHeight="1" x14ac:dyDescent="0.25">
      <c r="A69" s="50"/>
      <c r="B69" s="51" t="s">
        <v>295</v>
      </c>
    </row>
    <row r="70" spans="1:2" ht="13.5" customHeight="1" x14ac:dyDescent="0.25">
      <c r="A70" s="50"/>
      <c r="B70" s="51"/>
    </row>
    <row r="71" spans="1:2" ht="13.5" customHeight="1" x14ac:dyDescent="0.25">
      <c r="A71" s="50"/>
      <c r="B71" s="51" t="s">
        <v>294</v>
      </c>
    </row>
    <row r="72" spans="1:2" ht="13.5" customHeight="1" x14ac:dyDescent="0.25">
      <c r="A72" s="50"/>
      <c r="B72" s="51"/>
    </row>
    <row r="73" spans="1:2" ht="13.5" customHeight="1" x14ac:dyDescent="0.25">
      <c r="A73" s="50"/>
      <c r="B73" s="51" t="s">
        <v>295</v>
      </c>
    </row>
    <row r="74" spans="1:2" ht="13.5" customHeight="1" x14ac:dyDescent="0.25">
      <c r="A74" s="50"/>
      <c r="B74" s="51"/>
    </row>
    <row r="75" spans="1:2" ht="13.5" customHeight="1" x14ac:dyDescent="0.25">
      <c r="A75" s="50"/>
      <c r="B75" s="51" t="s">
        <v>296</v>
      </c>
    </row>
    <row r="76" spans="1:2" ht="13.5" customHeight="1" x14ac:dyDescent="0.25">
      <c r="A76" s="50"/>
      <c r="B76" s="51"/>
    </row>
    <row r="77" spans="1:2" ht="13.5" customHeight="1" x14ac:dyDescent="0.25">
      <c r="A77" s="50"/>
      <c r="B77" s="51" t="s">
        <v>297</v>
      </c>
    </row>
    <row r="78" spans="1:2" ht="13.5" customHeight="1" x14ac:dyDescent="0.25">
      <c r="A78" s="50"/>
      <c r="B78" s="51"/>
    </row>
    <row r="79" spans="1:2" ht="13.5" customHeight="1" x14ac:dyDescent="0.25">
      <c r="A79" s="50"/>
      <c r="B79" s="51" t="s">
        <v>298</v>
      </c>
    </row>
    <row r="80" spans="1:2" ht="13.5" customHeight="1" x14ac:dyDescent="0.25">
      <c r="A80" s="50"/>
      <c r="B80" s="51"/>
    </row>
    <row r="81" spans="1:2" ht="13.5" customHeight="1" x14ac:dyDescent="0.25">
      <c r="A81" s="50"/>
      <c r="B81" s="51" t="s">
        <v>299</v>
      </c>
    </row>
    <row r="82" spans="1:2" ht="13.5" customHeight="1" x14ac:dyDescent="0.25">
      <c r="A82" s="50"/>
      <c r="B82" s="51"/>
    </row>
    <row r="83" spans="1:2" ht="13.5" customHeight="1" x14ac:dyDescent="0.25">
      <c r="A83" s="50"/>
      <c r="B83" s="51" t="s">
        <v>300</v>
      </c>
    </row>
    <row r="84" spans="1:2" ht="13.5" customHeight="1" x14ac:dyDescent="0.25">
      <c r="A84" s="50"/>
      <c r="B84" s="51"/>
    </row>
    <row r="85" spans="1:2" ht="13.5" customHeight="1" x14ac:dyDescent="0.25">
      <c r="A85" s="50"/>
      <c r="B85" s="51" t="s">
        <v>301</v>
      </c>
    </row>
    <row r="86" spans="1:2" ht="13.5" customHeight="1" x14ac:dyDescent="0.25">
      <c r="A86" s="50"/>
      <c r="B86" s="51"/>
    </row>
    <row r="87" spans="1:2" ht="13.5" customHeight="1" x14ac:dyDescent="0.25">
      <c r="A87" s="50"/>
      <c r="B87" s="51" t="s">
        <v>302</v>
      </c>
    </row>
    <row r="88" spans="1:2" ht="13.5" customHeight="1" x14ac:dyDescent="0.25">
      <c r="A88" s="50"/>
      <c r="B88" s="51"/>
    </row>
    <row r="89" spans="1:2" ht="13.5" customHeight="1" x14ac:dyDescent="0.25">
      <c r="A89" s="50"/>
      <c r="B89" s="51" t="s">
        <v>303</v>
      </c>
    </row>
    <row r="90" spans="1:2" ht="13.5" customHeight="1" x14ac:dyDescent="0.25">
      <c r="A90" s="50"/>
      <c r="B90" s="51"/>
    </row>
    <row r="91" spans="1:2" ht="13.5" customHeight="1" x14ac:dyDescent="0.25">
      <c r="A91" s="50"/>
      <c r="B91" s="51" t="s">
        <v>304</v>
      </c>
    </row>
    <row r="92" spans="1:2" ht="13.5" customHeight="1" x14ac:dyDescent="0.25">
      <c r="A92" s="50"/>
      <c r="B92" s="51"/>
    </row>
    <row r="93" spans="1:2" ht="13.5" customHeight="1" x14ac:dyDescent="0.25">
      <c r="A93" s="50"/>
      <c r="B93" s="51" t="s">
        <v>305</v>
      </c>
    </row>
    <row r="94" spans="1:2" ht="13.5" customHeight="1" x14ac:dyDescent="0.25">
      <c r="A94" s="50"/>
      <c r="B94" s="51"/>
    </row>
    <row r="95" spans="1:2" ht="13.5" customHeight="1" x14ac:dyDescent="0.25">
      <c r="A95" s="50"/>
      <c r="B95" s="51" t="s">
        <v>306</v>
      </c>
    </row>
    <row r="96" spans="1:2" ht="13.5" customHeight="1" x14ac:dyDescent="0.25">
      <c r="A96" s="50"/>
      <c r="B96" s="51"/>
    </row>
    <row r="97" spans="1:2" ht="13.5" customHeight="1" x14ac:dyDescent="0.25">
      <c r="A97" s="50"/>
      <c r="B97" s="51" t="s">
        <v>307</v>
      </c>
    </row>
    <row r="98" spans="1:2" ht="13.5" customHeight="1" x14ac:dyDescent="0.25">
      <c r="A98" s="50"/>
      <c r="B98" s="51"/>
    </row>
    <row r="99" spans="1:2" ht="13.5" customHeight="1" x14ac:dyDescent="0.25">
      <c r="A99" s="50"/>
      <c r="B99" s="51" t="s">
        <v>308</v>
      </c>
    </row>
    <row r="100" spans="1:2" ht="13.5" customHeight="1" x14ac:dyDescent="0.25">
      <c r="A100" s="50"/>
      <c r="B100" s="51"/>
    </row>
    <row r="101" spans="1:2" ht="13.5" customHeight="1" x14ac:dyDescent="0.25">
      <c r="A101" s="50"/>
      <c r="B101" s="51" t="s">
        <v>309</v>
      </c>
    </row>
    <row r="102" spans="1:2" ht="13.5" customHeight="1" x14ac:dyDescent="0.25">
      <c r="A102" s="50"/>
      <c r="B102" s="51"/>
    </row>
    <row r="103" spans="1:2" ht="13.5" customHeight="1" x14ac:dyDescent="0.25">
      <c r="A103" s="50"/>
      <c r="B103" s="51" t="s">
        <v>310</v>
      </c>
    </row>
    <row r="104" spans="1:2" ht="13.5" customHeight="1" x14ac:dyDescent="0.25">
      <c r="A104" s="50"/>
      <c r="B104" s="51"/>
    </row>
    <row r="105" spans="1:2" ht="13.5" customHeight="1" x14ac:dyDescent="0.25">
      <c r="A105" s="50"/>
      <c r="B105" s="51" t="s">
        <v>311</v>
      </c>
    </row>
    <row r="106" spans="1:2" ht="13.5" customHeight="1" x14ac:dyDescent="0.25">
      <c r="A106" s="50"/>
      <c r="B106" s="51"/>
    </row>
    <row r="107" spans="1:2" ht="13.5" customHeight="1" x14ac:dyDescent="0.25">
      <c r="A107" s="50"/>
      <c r="B107" s="51" t="s">
        <v>312</v>
      </c>
    </row>
    <row r="108" spans="1:2" ht="13.5" customHeight="1" x14ac:dyDescent="0.25">
      <c r="A108" s="50"/>
      <c r="B108" s="51"/>
    </row>
    <row r="109" spans="1:2" ht="13.5" customHeight="1" x14ac:dyDescent="0.25">
      <c r="A109" s="50"/>
      <c r="B109" s="51" t="s">
        <v>313</v>
      </c>
    </row>
    <row r="110" spans="1:2" ht="13.5" customHeight="1" x14ac:dyDescent="0.25">
      <c r="A110" s="50"/>
      <c r="B110" s="51"/>
    </row>
    <row r="111" spans="1:2" ht="13.5" customHeight="1" x14ac:dyDescent="0.25">
      <c r="A111" s="50"/>
      <c r="B111" s="51" t="s">
        <v>314</v>
      </c>
    </row>
    <row r="112" spans="1:2" ht="13.5" customHeight="1" x14ac:dyDescent="0.25">
      <c r="A112" s="50"/>
      <c r="B112" s="51"/>
    </row>
    <row r="113" spans="1:2" ht="13.5" customHeight="1" x14ac:dyDescent="0.25">
      <c r="A113" s="50"/>
      <c r="B113" s="51" t="s">
        <v>315</v>
      </c>
    </row>
    <row r="114" spans="1:2" ht="13.5" customHeight="1" x14ac:dyDescent="0.25">
      <c r="A114" s="50"/>
      <c r="B114" s="51"/>
    </row>
    <row r="115" spans="1:2" ht="13.5" customHeight="1" x14ac:dyDescent="0.25">
      <c r="A115" s="50"/>
      <c r="B115" s="51" t="s">
        <v>316</v>
      </c>
    </row>
    <row r="116" spans="1:2" ht="13.5" customHeight="1" x14ac:dyDescent="0.25">
      <c r="A116" s="50"/>
      <c r="B116" s="51"/>
    </row>
    <row r="117" spans="1:2" ht="13.5" customHeight="1" x14ac:dyDescent="0.25">
      <c r="A117" s="50"/>
      <c r="B117" s="51" t="s">
        <v>293</v>
      </c>
    </row>
    <row r="118" spans="1:2" ht="13.5" customHeight="1" x14ac:dyDescent="0.25">
      <c r="A118" s="50"/>
      <c r="B118" s="51"/>
    </row>
    <row r="119" spans="1:2" ht="13.5" customHeight="1" x14ac:dyDescent="0.25">
      <c r="A119" s="50"/>
      <c r="B119" s="51" t="s">
        <v>317</v>
      </c>
    </row>
    <row r="120" spans="1:2" ht="13.5" customHeight="1" x14ac:dyDescent="0.25">
      <c r="A120" s="50"/>
      <c r="B120" s="51"/>
    </row>
    <row r="121" spans="1:2" ht="13.5" customHeight="1" x14ac:dyDescent="0.25">
      <c r="A121" s="50"/>
      <c r="B121" s="51" t="s">
        <v>318</v>
      </c>
    </row>
    <row r="122" spans="1:2" ht="13.5" customHeight="1" x14ac:dyDescent="0.25">
      <c r="A122" s="50"/>
      <c r="B122" s="51"/>
    </row>
    <row r="123" spans="1:2" ht="13.5" customHeight="1" x14ac:dyDescent="0.25">
      <c r="A123" s="50"/>
      <c r="B123" s="51" t="s">
        <v>319</v>
      </c>
    </row>
    <row r="124" spans="1:2" ht="13.5" customHeight="1" x14ac:dyDescent="0.25">
      <c r="A124" s="50"/>
      <c r="B124" s="51"/>
    </row>
    <row r="125" spans="1:2" ht="13.5" customHeight="1" x14ac:dyDescent="0.25">
      <c r="A125" s="50"/>
      <c r="B125" s="51" t="s">
        <v>320</v>
      </c>
    </row>
    <row r="126" spans="1:2" ht="13.5" customHeight="1" x14ac:dyDescent="0.25">
      <c r="A126" s="50"/>
      <c r="B126" s="51"/>
    </row>
    <row r="127" spans="1:2" ht="13.5" customHeight="1" x14ac:dyDescent="0.25">
      <c r="A127" s="50"/>
      <c r="B127" s="51" t="s">
        <v>321</v>
      </c>
    </row>
    <row r="128" spans="1:2" ht="13.5" customHeight="1" x14ac:dyDescent="0.25">
      <c r="A128" s="50"/>
      <c r="B128" s="51"/>
    </row>
    <row r="129" spans="1:2" ht="13.5" customHeight="1" x14ac:dyDescent="0.25">
      <c r="A129" s="50"/>
      <c r="B129" s="51" t="s">
        <v>322</v>
      </c>
    </row>
    <row r="130" spans="1:2" ht="13.5" customHeight="1" x14ac:dyDescent="0.25">
      <c r="A130" s="50"/>
      <c r="B130" s="51"/>
    </row>
    <row r="131" spans="1:2" ht="13.5" customHeight="1" x14ac:dyDescent="0.25">
      <c r="A131" s="50"/>
      <c r="B131" s="51" t="s">
        <v>323</v>
      </c>
    </row>
    <row r="132" spans="1:2" ht="13.5" customHeight="1" x14ac:dyDescent="0.25">
      <c r="A132" s="50"/>
      <c r="B132" s="51"/>
    </row>
    <row r="133" spans="1:2" ht="13.5" customHeight="1" x14ac:dyDescent="0.25">
      <c r="A133" s="50"/>
      <c r="B133" s="51" t="s">
        <v>324</v>
      </c>
    </row>
    <row r="134" spans="1:2" ht="13.5" customHeight="1" x14ac:dyDescent="0.25">
      <c r="A134" s="50"/>
      <c r="B134" s="51"/>
    </row>
    <row r="135" spans="1:2" ht="13.5" customHeight="1" x14ac:dyDescent="0.25">
      <c r="A135" s="50"/>
      <c r="B135" s="51" t="s">
        <v>325</v>
      </c>
    </row>
    <row r="136" spans="1:2" ht="13.5" customHeight="1" x14ac:dyDescent="0.25">
      <c r="A136" s="50"/>
      <c r="B136" s="51"/>
    </row>
    <row r="137" spans="1:2" ht="13.5" customHeight="1" x14ac:dyDescent="0.25">
      <c r="A137" s="50"/>
      <c r="B137" s="51" t="s">
        <v>326</v>
      </c>
    </row>
    <row r="138" spans="1:2" ht="13.5" customHeight="1" x14ac:dyDescent="0.25">
      <c r="A138" s="50"/>
      <c r="B138" s="51"/>
    </row>
    <row r="139" spans="1:2" ht="13.5" customHeight="1" x14ac:dyDescent="0.25">
      <c r="A139" s="50"/>
      <c r="B139" s="51" t="s">
        <v>327</v>
      </c>
    </row>
    <row r="140" spans="1:2" ht="13.5" customHeight="1" x14ac:dyDescent="0.25">
      <c r="A140" s="50"/>
      <c r="B140" s="51"/>
    </row>
    <row r="141" spans="1:2" ht="13.5" customHeight="1" x14ac:dyDescent="0.25">
      <c r="A141" s="50"/>
      <c r="B141" s="51" t="s">
        <v>328</v>
      </c>
    </row>
    <row r="142" spans="1:2" ht="13.5" customHeight="1" x14ac:dyDescent="0.25">
      <c r="A142" s="50"/>
      <c r="B142" s="51"/>
    </row>
    <row r="143" spans="1:2" ht="13.5" customHeight="1" x14ac:dyDescent="0.25">
      <c r="A143" s="50"/>
      <c r="B143" s="51" t="s">
        <v>329</v>
      </c>
    </row>
    <row r="144" spans="1:2" ht="13.5" customHeight="1" x14ac:dyDescent="0.25">
      <c r="A144" s="50"/>
      <c r="B144" s="51"/>
    </row>
    <row r="145" spans="1:2" ht="13.5" customHeight="1" x14ac:dyDescent="0.25">
      <c r="A145" s="50"/>
      <c r="B145" s="51" t="s">
        <v>330</v>
      </c>
    </row>
    <row r="146" spans="1:2" ht="13.5" customHeight="1" x14ac:dyDescent="0.25">
      <c r="A146" s="50"/>
      <c r="B146" s="51"/>
    </row>
    <row r="147" spans="1:2" ht="13.5" customHeight="1" x14ac:dyDescent="0.25">
      <c r="A147" s="50"/>
      <c r="B147" s="51" t="s">
        <v>331</v>
      </c>
    </row>
    <row r="148" spans="1:2" ht="13.5" customHeight="1" x14ac:dyDescent="0.25">
      <c r="A148" s="50"/>
      <c r="B148" s="51"/>
    </row>
    <row r="149" spans="1:2" ht="13.5" customHeight="1" x14ac:dyDescent="0.25">
      <c r="A149" s="50"/>
      <c r="B149" s="51" t="s">
        <v>332</v>
      </c>
    </row>
    <row r="150" spans="1:2" ht="13.5" customHeight="1" x14ac:dyDescent="0.25">
      <c r="A150" s="50"/>
      <c r="B150" s="51"/>
    </row>
    <row r="151" spans="1:2" ht="13.5" customHeight="1" x14ac:dyDescent="0.25">
      <c r="A151" s="50"/>
      <c r="B151" s="51" t="s">
        <v>333</v>
      </c>
    </row>
    <row r="152" spans="1:2" ht="13.5" customHeight="1" x14ac:dyDescent="0.25">
      <c r="A152" s="50"/>
      <c r="B152" s="51"/>
    </row>
    <row r="153" spans="1:2" ht="13.5" customHeight="1" x14ac:dyDescent="0.25">
      <c r="A153" s="50"/>
      <c r="B153" s="51" t="s">
        <v>334</v>
      </c>
    </row>
    <row r="154" spans="1:2" ht="13.5" customHeight="1" x14ac:dyDescent="0.25">
      <c r="A154" s="50"/>
      <c r="B154" s="51"/>
    </row>
    <row r="155" spans="1:2" ht="13.5" customHeight="1" x14ac:dyDescent="0.25">
      <c r="A155" s="50"/>
      <c r="B155" s="51" t="s">
        <v>335</v>
      </c>
    </row>
    <row r="156" spans="1:2" ht="13.5" customHeight="1" x14ac:dyDescent="0.25">
      <c r="A156" s="50"/>
      <c r="B156" s="51"/>
    </row>
    <row r="157" spans="1:2" ht="13.5" customHeight="1" x14ac:dyDescent="0.25">
      <c r="A157" s="50"/>
      <c r="B157" s="51" t="s">
        <v>336</v>
      </c>
    </row>
    <row r="158" spans="1:2" ht="13.5" customHeight="1" x14ac:dyDescent="0.25">
      <c r="A158" s="50"/>
      <c r="B158" s="51"/>
    </row>
    <row r="159" spans="1:2" ht="13.5" customHeight="1" x14ac:dyDescent="0.25">
      <c r="A159" s="50"/>
      <c r="B159" s="51" t="s">
        <v>337</v>
      </c>
    </row>
    <row r="160" spans="1:2" ht="13.5" customHeight="1" x14ac:dyDescent="0.25">
      <c r="A160" s="50"/>
      <c r="B160" s="51"/>
    </row>
    <row r="161" spans="1:2" ht="13.5" customHeight="1" x14ac:dyDescent="0.25">
      <c r="A161" s="50"/>
      <c r="B161" s="51" t="s">
        <v>338</v>
      </c>
    </row>
    <row r="162" spans="1:2" ht="13.5" customHeight="1" x14ac:dyDescent="0.25">
      <c r="A162" s="50"/>
      <c r="B162" s="51"/>
    </row>
    <row r="163" spans="1:2" ht="13.5" customHeight="1" x14ac:dyDescent="0.25">
      <c r="A163" s="50"/>
      <c r="B163" s="51" t="s">
        <v>293</v>
      </c>
    </row>
    <row r="164" spans="1:2" ht="13.5" customHeight="1" x14ac:dyDescent="0.25">
      <c r="A164" s="50"/>
      <c r="B164" s="51"/>
    </row>
    <row r="165" spans="1:2" ht="13.5" customHeight="1" x14ac:dyDescent="0.25">
      <c r="A165" s="50"/>
      <c r="B165" s="51" t="s">
        <v>339</v>
      </c>
    </row>
    <row r="166" spans="1:2" ht="13.5" customHeight="1" x14ac:dyDescent="0.25">
      <c r="A166" s="50"/>
      <c r="B166" s="51"/>
    </row>
    <row r="167" spans="1:2" ht="13.5" customHeight="1" x14ac:dyDescent="0.25">
      <c r="A167" s="50"/>
      <c r="B167" s="51" t="s">
        <v>340</v>
      </c>
    </row>
    <row r="168" spans="1:2" ht="13.5" customHeight="1" x14ac:dyDescent="0.25">
      <c r="A168" s="50"/>
      <c r="B168" s="51"/>
    </row>
    <row r="169" spans="1:2" ht="13.5" customHeight="1" x14ac:dyDescent="0.25">
      <c r="A169" s="50"/>
      <c r="B169" s="51" t="s">
        <v>341</v>
      </c>
    </row>
    <row r="170" spans="1:2" ht="13.5" customHeight="1" x14ac:dyDescent="0.25">
      <c r="A170" s="50"/>
      <c r="B170" s="51"/>
    </row>
    <row r="171" spans="1:2" ht="13.5" customHeight="1" x14ac:dyDescent="0.25">
      <c r="A171" s="50"/>
      <c r="B171" s="51" t="s">
        <v>342</v>
      </c>
    </row>
    <row r="172" spans="1:2" ht="13.5" customHeight="1" x14ac:dyDescent="0.25">
      <c r="A172" s="50"/>
      <c r="B172" s="51"/>
    </row>
    <row r="173" spans="1:2" ht="13.5" customHeight="1" x14ac:dyDescent="0.25">
      <c r="A173" s="50"/>
      <c r="B173" s="51" t="s">
        <v>343</v>
      </c>
    </row>
    <row r="174" spans="1:2" ht="13.5" customHeight="1" x14ac:dyDescent="0.25">
      <c r="A174" s="50"/>
      <c r="B174" s="51"/>
    </row>
    <row r="175" spans="1:2" ht="13.5" customHeight="1" x14ac:dyDescent="0.25">
      <c r="A175" s="50"/>
      <c r="B175" s="51" t="s">
        <v>344</v>
      </c>
    </row>
    <row r="176" spans="1:2" ht="13.5" customHeight="1" x14ac:dyDescent="0.25">
      <c r="A176" s="50"/>
      <c r="B176" s="51"/>
    </row>
    <row r="177" spans="1:2" ht="13.5" customHeight="1" x14ac:dyDescent="0.25">
      <c r="A177" s="50"/>
      <c r="B177" s="51" t="s">
        <v>345</v>
      </c>
    </row>
    <row r="178" spans="1:2" ht="13.5" customHeight="1" x14ac:dyDescent="0.25">
      <c r="A178" s="50"/>
      <c r="B178" s="51"/>
    </row>
    <row r="179" spans="1:2" ht="13.5" customHeight="1" x14ac:dyDescent="0.25">
      <c r="A179" s="50"/>
      <c r="B179" s="51" t="s">
        <v>346</v>
      </c>
    </row>
    <row r="180" spans="1:2" ht="13.5" customHeight="1" x14ac:dyDescent="0.25">
      <c r="A180" s="50"/>
      <c r="B180" s="51"/>
    </row>
    <row r="181" spans="1:2" ht="13.5" customHeight="1" x14ac:dyDescent="0.25">
      <c r="A181" s="50"/>
      <c r="B181" s="51" t="s">
        <v>347</v>
      </c>
    </row>
    <row r="182" spans="1:2" ht="13.5" customHeight="1" x14ac:dyDescent="0.25">
      <c r="A182" s="50"/>
      <c r="B182" s="51"/>
    </row>
    <row r="183" spans="1:2" ht="13.5" customHeight="1" x14ac:dyDescent="0.25">
      <c r="A183" s="50"/>
      <c r="B183" s="51" t="s">
        <v>348</v>
      </c>
    </row>
    <row r="184" spans="1:2" ht="13.5" customHeight="1" x14ac:dyDescent="0.25">
      <c r="A184" s="50"/>
      <c r="B184" s="51"/>
    </row>
    <row r="185" spans="1:2" ht="13.5" customHeight="1" x14ac:dyDescent="0.25">
      <c r="A185" s="50"/>
      <c r="B185" s="51" t="s">
        <v>349</v>
      </c>
    </row>
    <row r="186" spans="1:2" ht="13.5" customHeight="1" x14ac:dyDescent="0.25">
      <c r="A186" s="50"/>
      <c r="B186" s="51"/>
    </row>
    <row r="187" spans="1:2" ht="13.5" customHeight="1" x14ac:dyDescent="0.25">
      <c r="A187" s="50"/>
      <c r="B187" s="51" t="s">
        <v>350</v>
      </c>
    </row>
    <row r="188" spans="1:2" ht="13.5" customHeight="1" x14ac:dyDescent="0.25">
      <c r="A188" s="50"/>
      <c r="B188" s="51"/>
    </row>
    <row r="189" spans="1:2" ht="13.5" customHeight="1" x14ac:dyDescent="0.25">
      <c r="A189" s="50"/>
      <c r="B189" s="51" t="s">
        <v>351</v>
      </c>
    </row>
    <row r="190" spans="1:2" ht="13.5" customHeight="1" x14ac:dyDescent="0.25">
      <c r="A190" s="50"/>
      <c r="B190" s="51"/>
    </row>
    <row r="191" spans="1:2" ht="13.5" customHeight="1" x14ac:dyDescent="0.25">
      <c r="A191" s="50"/>
      <c r="B191" s="51" t="s">
        <v>352</v>
      </c>
    </row>
    <row r="192" spans="1:2" ht="13.5" customHeight="1" x14ac:dyDescent="0.25">
      <c r="A192" s="50"/>
      <c r="B192" s="51"/>
    </row>
    <row r="193" spans="1:2" ht="13.5" customHeight="1" x14ac:dyDescent="0.25">
      <c r="A193" s="50"/>
      <c r="B193" s="51" t="s">
        <v>353</v>
      </c>
    </row>
    <row r="194" spans="1:2" ht="13.5" customHeight="1" x14ac:dyDescent="0.25">
      <c r="A194" s="50"/>
      <c r="B194" s="51"/>
    </row>
    <row r="195" spans="1:2" ht="13.5" customHeight="1" x14ac:dyDescent="0.25">
      <c r="A195" s="50"/>
      <c r="B195" s="51" t="s">
        <v>354</v>
      </c>
    </row>
    <row r="196" spans="1:2" ht="13.5" customHeight="1" x14ac:dyDescent="0.25">
      <c r="A196" s="50"/>
      <c r="B196" s="51"/>
    </row>
    <row r="197" spans="1:2" ht="13.5" customHeight="1" x14ac:dyDescent="0.25">
      <c r="A197" s="50"/>
      <c r="B197" s="51" t="s">
        <v>355</v>
      </c>
    </row>
    <row r="198" spans="1:2" ht="13.5" customHeight="1" x14ac:dyDescent="0.25">
      <c r="A198" s="50"/>
      <c r="B198" s="51"/>
    </row>
    <row r="199" spans="1:2" ht="13.5" customHeight="1" x14ac:dyDescent="0.25">
      <c r="A199" s="50"/>
      <c r="B199" s="51" t="s">
        <v>356</v>
      </c>
    </row>
    <row r="200" spans="1:2" ht="13.5" customHeight="1" x14ac:dyDescent="0.25">
      <c r="A200" s="50"/>
      <c r="B200" s="51"/>
    </row>
    <row r="201" spans="1:2" ht="13.5" customHeight="1" x14ac:dyDescent="0.25">
      <c r="A201" s="50"/>
      <c r="B201" s="51" t="s">
        <v>272</v>
      </c>
    </row>
    <row r="202" spans="1:2" ht="13.5" customHeight="1" x14ac:dyDescent="0.25">
      <c r="A202" s="50"/>
      <c r="B202" s="51"/>
    </row>
    <row r="203" spans="1:2" ht="13.5" customHeight="1" x14ac:dyDescent="0.25">
      <c r="A203" s="50"/>
      <c r="B203" s="51" t="s">
        <v>357</v>
      </c>
    </row>
    <row r="204" spans="1:2" ht="13.5" customHeight="1" x14ac:dyDescent="0.25">
      <c r="A204" s="50"/>
      <c r="B204" s="51"/>
    </row>
    <row r="205" spans="1:2" ht="13.5" customHeight="1" x14ac:dyDescent="0.25">
      <c r="A205" s="50"/>
      <c r="B205" s="51" t="s">
        <v>358</v>
      </c>
    </row>
    <row r="206" spans="1:2" ht="13.5" customHeight="1" x14ac:dyDescent="0.25">
      <c r="A206" s="50"/>
      <c r="B206" s="51"/>
    </row>
    <row r="207" spans="1:2" ht="13.5" customHeight="1" x14ac:dyDescent="0.25">
      <c r="A207" s="50"/>
      <c r="B207" s="51" t="s">
        <v>359</v>
      </c>
    </row>
    <row r="208" spans="1:2" ht="13.5" customHeight="1" x14ac:dyDescent="0.25">
      <c r="A208" s="50"/>
      <c r="B208" s="51"/>
    </row>
    <row r="209" spans="1:2" ht="13.5" customHeight="1" x14ac:dyDescent="0.25">
      <c r="A209" s="50"/>
      <c r="B209" s="51" t="s">
        <v>293</v>
      </c>
    </row>
    <row r="210" spans="1:2" ht="13.5" customHeight="1" x14ac:dyDescent="0.25">
      <c r="A210" s="50"/>
      <c r="B210" s="51"/>
    </row>
    <row r="211" spans="1:2" ht="13.5" customHeight="1" x14ac:dyDescent="0.25">
      <c r="A211" s="50"/>
      <c r="B211" s="51" t="s">
        <v>360</v>
      </c>
    </row>
    <row r="212" spans="1:2" ht="13.5" customHeight="1" x14ac:dyDescent="0.25">
      <c r="A212" s="50"/>
      <c r="B212" s="51"/>
    </row>
    <row r="213" spans="1:2" ht="13.5" customHeight="1" x14ac:dyDescent="0.25">
      <c r="A213" s="50"/>
      <c r="B213" s="51" t="s">
        <v>361</v>
      </c>
    </row>
    <row r="214" spans="1:2" ht="13.5" customHeight="1" x14ac:dyDescent="0.25">
      <c r="A214" s="50"/>
      <c r="B214" s="51"/>
    </row>
    <row r="215" spans="1:2" ht="13.5" customHeight="1" x14ac:dyDescent="0.25">
      <c r="A215" s="50"/>
      <c r="B215" s="51" t="s">
        <v>362</v>
      </c>
    </row>
    <row r="216" spans="1:2" ht="13.5" customHeight="1" x14ac:dyDescent="0.25">
      <c r="A216" s="50"/>
      <c r="B216" s="51"/>
    </row>
    <row r="217" spans="1:2" ht="13.5" customHeight="1" x14ac:dyDescent="0.25">
      <c r="A217" s="50"/>
      <c r="B217" s="51" t="s">
        <v>363</v>
      </c>
    </row>
    <row r="218" spans="1:2" ht="13.5" customHeight="1" x14ac:dyDescent="0.25">
      <c r="A218" s="50"/>
      <c r="B218" s="51"/>
    </row>
    <row r="219" spans="1:2" ht="13.5" customHeight="1" x14ac:dyDescent="0.25">
      <c r="A219" s="50"/>
      <c r="B219" s="51" t="s">
        <v>364</v>
      </c>
    </row>
    <row r="220" spans="1:2" ht="13.5" customHeight="1" x14ac:dyDescent="0.25">
      <c r="A220" s="50"/>
      <c r="B220" s="51"/>
    </row>
    <row r="221" spans="1:2" ht="13.5" customHeight="1" x14ac:dyDescent="0.25">
      <c r="A221" s="50"/>
      <c r="B221" s="51" t="s">
        <v>365</v>
      </c>
    </row>
    <row r="222" spans="1:2" ht="13.5" customHeight="1" x14ac:dyDescent="0.25">
      <c r="A222" s="50"/>
      <c r="B222" s="51"/>
    </row>
    <row r="223" spans="1:2" ht="13.5" customHeight="1" x14ac:dyDescent="0.25">
      <c r="A223" s="50"/>
      <c r="B223" s="51" t="s">
        <v>266</v>
      </c>
    </row>
    <row r="224" spans="1:2" ht="13.5" customHeight="1" x14ac:dyDescent="0.25">
      <c r="A224" s="50"/>
      <c r="B224" s="51"/>
    </row>
    <row r="225" spans="1:2" ht="13.5" customHeight="1" x14ac:dyDescent="0.25">
      <c r="A225" s="50"/>
      <c r="B225" s="51" t="s">
        <v>366</v>
      </c>
    </row>
    <row r="226" spans="1:2" ht="13.5" customHeight="1" x14ac:dyDescent="0.25">
      <c r="A226" s="50"/>
      <c r="B226" s="51"/>
    </row>
    <row r="227" spans="1:2" ht="13.5" customHeight="1" x14ac:dyDescent="0.25">
      <c r="A227" s="50"/>
      <c r="B227" s="51" t="s">
        <v>367</v>
      </c>
    </row>
    <row r="228" spans="1:2" ht="13.5" customHeight="1" x14ac:dyDescent="0.25">
      <c r="A228" s="50"/>
      <c r="B228" s="51"/>
    </row>
    <row r="229" spans="1:2" ht="13.5" customHeight="1" x14ac:dyDescent="0.25">
      <c r="A229" s="50"/>
      <c r="B229" s="51" t="s">
        <v>368</v>
      </c>
    </row>
    <row r="230" spans="1:2" ht="13.5" customHeight="1" x14ac:dyDescent="0.25">
      <c r="A230" s="50"/>
      <c r="B230" s="51"/>
    </row>
    <row r="231" spans="1:2" ht="13.5" customHeight="1" x14ac:dyDescent="0.25">
      <c r="A231" s="50"/>
      <c r="B231" s="51" t="s">
        <v>369</v>
      </c>
    </row>
    <row r="232" spans="1:2" ht="13.5" customHeight="1" x14ac:dyDescent="0.25">
      <c r="A232" s="50"/>
      <c r="B232" s="51"/>
    </row>
    <row r="233" spans="1:2" ht="13.5" customHeight="1" x14ac:dyDescent="0.25">
      <c r="A233" s="50"/>
      <c r="B233" s="51" t="s">
        <v>370</v>
      </c>
    </row>
    <row r="234" spans="1:2" ht="13.5" customHeight="1" x14ac:dyDescent="0.25">
      <c r="A234" s="50"/>
      <c r="B234" s="51"/>
    </row>
    <row r="235" spans="1:2" ht="13.5" customHeight="1" x14ac:dyDescent="0.25">
      <c r="A235" s="50"/>
      <c r="B235" s="51" t="s">
        <v>371</v>
      </c>
    </row>
    <row r="236" spans="1:2" ht="13.5" customHeight="1" x14ac:dyDescent="0.25">
      <c r="A236" s="50"/>
      <c r="B236" s="51"/>
    </row>
    <row r="237" spans="1:2" ht="13.5" customHeight="1" x14ac:dyDescent="0.25">
      <c r="A237" s="50"/>
      <c r="B237" s="51" t="s">
        <v>372</v>
      </c>
    </row>
    <row r="238" spans="1:2" ht="13.5" customHeight="1" x14ac:dyDescent="0.25">
      <c r="A238" s="50"/>
      <c r="B238" s="51"/>
    </row>
    <row r="239" spans="1:2" ht="13.5" customHeight="1" x14ac:dyDescent="0.25">
      <c r="A239" s="50"/>
      <c r="B239" s="51" t="s">
        <v>373</v>
      </c>
    </row>
    <row r="240" spans="1:2" ht="13.5" customHeight="1" x14ac:dyDescent="0.25">
      <c r="A240" s="50"/>
      <c r="B240" s="51"/>
    </row>
    <row r="241" spans="1:2" ht="13.5" customHeight="1" x14ac:dyDescent="0.25">
      <c r="A241" s="50"/>
      <c r="B241" s="51" t="s">
        <v>374</v>
      </c>
    </row>
    <row r="242" spans="1:2" ht="13.5" customHeight="1" x14ac:dyDescent="0.25">
      <c r="A242" s="50"/>
      <c r="B242" s="51"/>
    </row>
    <row r="243" spans="1:2" ht="13.5" customHeight="1" x14ac:dyDescent="0.25">
      <c r="A243" s="50"/>
      <c r="B243" s="51" t="s">
        <v>375</v>
      </c>
    </row>
    <row r="244" spans="1:2" ht="13.5" customHeight="1" x14ac:dyDescent="0.25">
      <c r="A244" s="50"/>
      <c r="B244" s="51"/>
    </row>
    <row r="245" spans="1:2" ht="13.5" customHeight="1" x14ac:dyDescent="0.25">
      <c r="A245" s="50"/>
      <c r="B245" s="51" t="s">
        <v>376</v>
      </c>
    </row>
    <row r="246" spans="1:2" ht="13.5" customHeight="1" x14ac:dyDescent="0.25">
      <c r="A246" s="50"/>
      <c r="B246" s="51"/>
    </row>
    <row r="247" spans="1:2" ht="13.5" customHeight="1" x14ac:dyDescent="0.25">
      <c r="A247" s="50"/>
      <c r="B247" s="51" t="s">
        <v>377</v>
      </c>
    </row>
    <row r="248" spans="1:2" ht="13.5" customHeight="1" x14ac:dyDescent="0.25">
      <c r="A248" s="50"/>
      <c r="B248" s="51"/>
    </row>
    <row r="249" spans="1:2" ht="13.5" customHeight="1" x14ac:dyDescent="0.25">
      <c r="A249" s="50"/>
      <c r="B249" s="51" t="s">
        <v>378</v>
      </c>
    </row>
    <row r="250" spans="1:2" ht="13.5" customHeight="1" x14ac:dyDescent="0.25">
      <c r="A250" s="50"/>
      <c r="B250" s="51"/>
    </row>
    <row r="251" spans="1:2" ht="13.5" customHeight="1" x14ac:dyDescent="0.25">
      <c r="A251" s="50"/>
      <c r="B251" s="51" t="s">
        <v>293</v>
      </c>
    </row>
    <row r="252" spans="1:2" ht="13.5" customHeight="1" x14ac:dyDescent="0.25">
      <c r="A252" s="50"/>
      <c r="B252" s="51"/>
    </row>
    <row r="253" spans="1:2" ht="13.5" customHeight="1" x14ac:dyDescent="0.25">
      <c r="A253" s="50"/>
      <c r="B253" s="51" t="s">
        <v>379</v>
      </c>
    </row>
    <row r="254" spans="1:2" ht="13.5" customHeight="1" x14ac:dyDescent="0.25">
      <c r="A254" s="50"/>
      <c r="B254" s="51"/>
    </row>
    <row r="255" spans="1:2" ht="13.5" customHeight="1" x14ac:dyDescent="0.25">
      <c r="A255" s="50"/>
      <c r="B255" s="51" t="s">
        <v>380</v>
      </c>
    </row>
    <row r="256" spans="1:2" ht="13.5" customHeight="1" x14ac:dyDescent="0.25">
      <c r="A256" s="50"/>
      <c r="B256" s="51"/>
    </row>
    <row r="257" spans="1:2" ht="13.5" customHeight="1" x14ac:dyDescent="0.25">
      <c r="A257" s="50"/>
      <c r="B257" s="51" t="s">
        <v>381</v>
      </c>
    </row>
    <row r="258" spans="1:2" ht="13.5" customHeight="1" x14ac:dyDescent="0.25">
      <c r="A258" s="50"/>
      <c r="B258" s="51"/>
    </row>
    <row r="259" spans="1:2" ht="13.5" customHeight="1" x14ac:dyDescent="0.25">
      <c r="A259" s="50"/>
      <c r="B259" s="51" t="s">
        <v>382</v>
      </c>
    </row>
    <row r="260" spans="1:2" ht="13.5" customHeight="1" x14ac:dyDescent="0.25">
      <c r="A260" s="50"/>
      <c r="B260" s="51"/>
    </row>
    <row r="261" spans="1:2" ht="13.5" customHeight="1" x14ac:dyDescent="0.25">
      <c r="A261" s="50"/>
      <c r="B261" s="51" t="s">
        <v>383</v>
      </c>
    </row>
    <row r="262" spans="1:2" x14ac:dyDescent="0.25">
      <c r="A262" s="50"/>
      <c r="B262" s="51"/>
    </row>
    <row r="263" spans="1:2" x14ac:dyDescent="0.25">
      <c r="A263" s="50"/>
      <c r="B263" s="51" t="s">
        <v>384</v>
      </c>
    </row>
    <row r="264" spans="1:2" x14ac:dyDescent="0.25">
      <c r="A264" s="50"/>
      <c r="B264" s="51"/>
    </row>
    <row r="265" spans="1:2" x14ac:dyDescent="0.25">
      <c r="A265" s="50"/>
      <c r="B265" s="51" t="s">
        <v>385</v>
      </c>
    </row>
    <row r="266" spans="1:2" x14ac:dyDescent="0.25">
      <c r="A266" s="50"/>
      <c r="B266" s="51"/>
    </row>
    <row r="267" spans="1:2" x14ac:dyDescent="0.25">
      <c r="A267" s="50"/>
      <c r="B267" s="51" t="s">
        <v>386</v>
      </c>
    </row>
    <row r="268" spans="1:2" x14ac:dyDescent="0.25">
      <c r="A268" s="50"/>
      <c r="B268" s="51"/>
    </row>
    <row r="269" spans="1:2" x14ac:dyDescent="0.25">
      <c r="A269" s="50"/>
      <c r="B269" s="51" t="s">
        <v>387</v>
      </c>
    </row>
    <row r="270" spans="1:2" x14ac:dyDescent="0.25">
      <c r="A270" s="50"/>
      <c r="B270" s="51"/>
    </row>
    <row r="271" spans="1:2" x14ac:dyDescent="0.25">
      <c r="A271" s="50"/>
      <c r="B271" s="51" t="s">
        <v>388</v>
      </c>
    </row>
    <row r="272" spans="1:2" x14ac:dyDescent="0.25">
      <c r="A272" s="50"/>
      <c r="B272" s="51"/>
    </row>
    <row r="273" spans="1:2" x14ac:dyDescent="0.25">
      <c r="A273" s="50"/>
      <c r="B273" s="51" t="s">
        <v>389</v>
      </c>
    </row>
    <row r="274" spans="1:2" x14ac:dyDescent="0.25">
      <c r="A274" s="50"/>
      <c r="B274" s="51"/>
    </row>
    <row r="275" spans="1:2" x14ac:dyDescent="0.25">
      <c r="A275" s="50"/>
      <c r="B275" s="51" t="s">
        <v>390</v>
      </c>
    </row>
    <row r="276" spans="1:2" x14ac:dyDescent="0.25">
      <c r="A276" s="50"/>
      <c r="B276" s="51"/>
    </row>
    <row r="277" spans="1:2" x14ac:dyDescent="0.25">
      <c r="A277" s="50"/>
      <c r="B277" s="51" t="s">
        <v>391</v>
      </c>
    </row>
    <row r="278" spans="1:2" x14ac:dyDescent="0.25">
      <c r="A278" s="50"/>
      <c r="B278" s="51"/>
    </row>
    <row r="279" spans="1:2" x14ac:dyDescent="0.25">
      <c r="A279" s="50"/>
      <c r="B279" s="51" t="s">
        <v>392</v>
      </c>
    </row>
    <row r="280" spans="1:2" x14ac:dyDescent="0.25">
      <c r="A280" s="50"/>
      <c r="B280" s="51"/>
    </row>
    <row r="281" spans="1:2" x14ac:dyDescent="0.25">
      <c r="A281" s="50"/>
      <c r="B281" s="51" t="s">
        <v>393</v>
      </c>
    </row>
    <row r="282" spans="1:2" x14ac:dyDescent="0.25">
      <c r="A282" s="50"/>
      <c r="B282" s="51"/>
    </row>
    <row r="283" spans="1:2" x14ac:dyDescent="0.25">
      <c r="A283" s="50"/>
      <c r="B283" s="51" t="s">
        <v>394</v>
      </c>
    </row>
    <row r="284" spans="1:2" x14ac:dyDescent="0.25">
      <c r="A284" s="50"/>
      <c r="B284" s="51"/>
    </row>
    <row r="285" spans="1:2" x14ac:dyDescent="0.25">
      <c r="A285" s="50"/>
      <c r="B285" s="51" t="s">
        <v>395</v>
      </c>
    </row>
    <row r="286" spans="1:2" x14ac:dyDescent="0.25">
      <c r="A286" s="50"/>
      <c r="B286" s="51"/>
    </row>
    <row r="287" spans="1:2" x14ac:dyDescent="0.25">
      <c r="A287" s="50"/>
      <c r="B287" s="51" t="s">
        <v>396</v>
      </c>
    </row>
    <row r="288" spans="1:2" x14ac:dyDescent="0.25">
      <c r="A288" s="50"/>
      <c r="B288" s="51"/>
    </row>
    <row r="289" spans="1:2" x14ac:dyDescent="0.25">
      <c r="A289" s="50"/>
      <c r="B289" s="51" t="s">
        <v>397</v>
      </c>
    </row>
    <row r="290" spans="1:2" x14ac:dyDescent="0.25">
      <c r="A290" s="50"/>
      <c r="B290" s="51"/>
    </row>
    <row r="291" spans="1:2" x14ac:dyDescent="0.25">
      <c r="A291" s="50"/>
      <c r="B291" s="51" t="s">
        <v>293</v>
      </c>
    </row>
    <row r="292" spans="1:2" x14ac:dyDescent="0.25">
      <c r="A292" s="50"/>
      <c r="B292" s="51"/>
    </row>
    <row r="293" spans="1:2" x14ac:dyDescent="0.25">
      <c r="A293" s="50"/>
      <c r="B293" s="51" t="s">
        <v>398</v>
      </c>
    </row>
    <row r="294" spans="1:2" x14ac:dyDescent="0.25">
      <c r="A294" s="50"/>
      <c r="B294" s="51"/>
    </row>
    <row r="295" spans="1:2" x14ac:dyDescent="0.25">
      <c r="A295" s="50"/>
      <c r="B295" s="51" t="s">
        <v>399</v>
      </c>
    </row>
    <row r="296" spans="1:2" x14ac:dyDescent="0.25">
      <c r="A296" s="50"/>
      <c r="B296" s="51"/>
    </row>
    <row r="297" spans="1:2" x14ac:dyDescent="0.25">
      <c r="A297" s="50"/>
      <c r="B297" s="51" t="s">
        <v>400</v>
      </c>
    </row>
    <row r="298" spans="1:2" x14ac:dyDescent="0.25">
      <c r="A298" s="50"/>
      <c r="B298" s="51"/>
    </row>
    <row r="299" spans="1:2" x14ac:dyDescent="0.25">
      <c r="A299" s="50"/>
      <c r="B299" s="51" t="s">
        <v>401</v>
      </c>
    </row>
    <row r="300" spans="1:2" x14ac:dyDescent="0.25">
      <c r="A300" s="50"/>
      <c r="B300" s="51"/>
    </row>
    <row r="301" spans="1:2" x14ac:dyDescent="0.25">
      <c r="A301" s="50"/>
      <c r="B301" s="51" t="s">
        <v>402</v>
      </c>
    </row>
    <row r="302" spans="1:2" x14ac:dyDescent="0.25">
      <c r="A302" s="50"/>
      <c r="B302" s="51"/>
    </row>
    <row r="303" spans="1:2" x14ac:dyDescent="0.25">
      <c r="A303" s="50"/>
      <c r="B303" s="51" t="s">
        <v>403</v>
      </c>
    </row>
    <row r="304" spans="1:2" x14ac:dyDescent="0.25">
      <c r="A304" s="50"/>
      <c r="B304" s="51"/>
    </row>
    <row r="305" spans="1:2" x14ac:dyDescent="0.25">
      <c r="A305" s="50"/>
      <c r="B305" s="51" t="s">
        <v>404</v>
      </c>
    </row>
    <row r="306" spans="1:2" x14ac:dyDescent="0.25">
      <c r="A306" s="50"/>
      <c r="B306" s="51"/>
    </row>
    <row r="307" spans="1:2" x14ac:dyDescent="0.25">
      <c r="A307" s="50"/>
      <c r="B307" s="51" t="s">
        <v>405</v>
      </c>
    </row>
    <row r="308" spans="1:2" x14ac:dyDescent="0.25">
      <c r="A308" s="50"/>
      <c r="B308" s="51"/>
    </row>
    <row r="309" spans="1:2" x14ac:dyDescent="0.25">
      <c r="A309" s="50"/>
      <c r="B309" s="51" t="s">
        <v>406</v>
      </c>
    </row>
    <row r="310" spans="1:2" x14ac:dyDescent="0.25">
      <c r="A310" s="50"/>
      <c r="B310" s="51"/>
    </row>
    <row r="311" spans="1:2" x14ac:dyDescent="0.25">
      <c r="A311" s="50"/>
      <c r="B311" s="51" t="s">
        <v>407</v>
      </c>
    </row>
    <row r="312" spans="1:2" x14ac:dyDescent="0.25">
      <c r="A312" s="50"/>
      <c r="B312" s="51"/>
    </row>
    <row r="313" spans="1:2" x14ac:dyDescent="0.25">
      <c r="A313" s="50"/>
      <c r="B313" s="51" t="s">
        <v>408</v>
      </c>
    </row>
    <row r="314" spans="1:2" x14ac:dyDescent="0.25">
      <c r="A314" s="50"/>
      <c r="B314" s="51"/>
    </row>
    <row r="315" spans="1:2" x14ac:dyDescent="0.25">
      <c r="A315" s="50"/>
      <c r="B315" s="51" t="s">
        <v>409</v>
      </c>
    </row>
    <row r="316" spans="1:2" x14ac:dyDescent="0.25">
      <c r="A316" s="50"/>
      <c r="B316" s="51"/>
    </row>
    <row r="317" spans="1:2" x14ac:dyDescent="0.25">
      <c r="A317" s="50"/>
      <c r="B317" s="51" t="s">
        <v>410</v>
      </c>
    </row>
    <row r="318" spans="1:2" x14ac:dyDescent="0.25">
      <c r="A318" s="50"/>
      <c r="B318" s="51"/>
    </row>
    <row r="319" spans="1:2" x14ac:dyDescent="0.25">
      <c r="A319" s="50"/>
      <c r="B319" s="51" t="s">
        <v>411</v>
      </c>
    </row>
    <row r="320" spans="1:2" x14ac:dyDescent="0.25">
      <c r="A320" s="50"/>
      <c r="B320" s="51"/>
    </row>
    <row r="321" spans="1:2" x14ac:dyDescent="0.25">
      <c r="A321" s="50"/>
      <c r="B321" s="51" t="s">
        <v>412</v>
      </c>
    </row>
    <row r="322" spans="1:2" x14ac:dyDescent="0.25">
      <c r="A322" s="50"/>
      <c r="B322" s="51"/>
    </row>
    <row r="323" spans="1:2" x14ac:dyDescent="0.25">
      <c r="A323" s="50"/>
      <c r="B323" s="51" t="s">
        <v>289</v>
      </c>
    </row>
    <row r="324" spans="1:2" x14ac:dyDescent="0.25">
      <c r="A324" s="50"/>
      <c r="B324" s="51"/>
    </row>
    <row r="325" spans="1:2" x14ac:dyDescent="0.25">
      <c r="A325" s="50"/>
      <c r="B325" s="51" t="s">
        <v>413</v>
      </c>
    </row>
    <row r="326" spans="1:2" x14ac:dyDescent="0.25">
      <c r="A326" s="50"/>
      <c r="B326" s="51"/>
    </row>
    <row r="327" spans="1:2" x14ac:dyDescent="0.25">
      <c r="A327" s="50"/>
      <c r="B327" s="51" t="s">
        <v>414</v>
      </c>
    </row>
    <row r="328" spans="1:2" x14ac:dyDescent="0.25">
      <c r="A328" s="50"/>
      <c r="B328" s="51"/>
    </row>
    <row r="329" spans="1:2" x14ac:dyDescent="0.25">
      <c r="A329" s="50"/>
      <c r="B329" s="51" t="s">
        <v>415</v>
      </c>
    </row>
    <row r="330" spans="1:2" x14ac:dyDescent="0.25">
      <c r="A330" s="50"/>
      <c r="B330" s="51"/>
    </row>
    <row r="331" spans="1:2" x14ac:dyDescent="0.25">
      <c r="A331" s="50"/>
      <c r="B331" s="51" t="s">
        <v>416</v>
      </c>
    </row>
    <row r="332" spans="1:2" x14ac:dyDescent="0.25">
      <c r="A332" s="50"/>
      <c r="B332" s="51"/>
    </row>
    <row r="333" spans="1:2" x14ac:dyDescent="0.25">
      <c r="A333" s="50"/>
      <c r="B333" s="51" t="s">
        <v>417</v>
      </c>
    </row>
    <row r="334" spans="1:2" x14ac:dyDescent="0.25">
      <c r="A334" s="50"/>
      <c r="B334" s="51"/>
    </row>
    <row r="335" spans="1:2" x14ac:dyDescent="0.25">
      <c r="A335" s="50"/>
      <c r="B335" s="51" t="s">
        <v>418</v>
      </c>
    </row>
    <row r="336" spans="1:2" x14ac:dyDescent="0.25">
      <c r="A336" s="50"/>
      <c r="B336" s="51"/>
    </row>
    <row r="337" spans="1:2" x14ac:dyDescent="0.25">
      <c r="A337" s="50"/>
      <c r="B337" s="51" t="s">
        <v>293</v>
      </c>
    </row>
    <row r="338" spans="1:2" x14ac:dyDescent="0.25">
      <c r="A338" s="50"/>
      <c r="B338" s="51"/>
    </row>
    <row r="339" spans="1:2" x14ac:dyDescent="0.25">
      <c r="A339" s="50"/>
      <c r="B339" s="51" t="s">
        <v>419</v>
      </c>
    </row>
    <row r="340" spans="1:2" x14ac:dyDescent="0.25">
      <c r="A340" s="50"/>
      <c r="B340" s="51"/>
    </row>
    <row r="341" spans="1:2" x14ac:dyDescent="0.25">
      <c r="A341" s="50"/>
      <c r="B341" s="51" t="s">
        <v>420</v>
      </c>
    </row>
    <row r="342" spans="1:2" x14ac:dyDescent="0.25">
      <c r="A342" s="50"/>
      <c r="B342" s="51"/>
    </row>
    <row r="343" spans="1:2" x14ac:dyDescent="0.25">
      <c r="A343" s="50"/>
      <c r="B343" s="51" t="s">
        <v>421</v>
      </c>
    </row>
    <row r="344" spans="1:2" x14ac:dyDescent="0.25">
      <c r="A344" s="50"/>
      <c r="B344" s="51"/>
    </row>
    <row r="345" spans="1:2" x14ac:dyDescent="0.25">
      <c r="A345" s="50"/>
      <c r="B345" s="51" t="s">
        <v>422</v>
      </c>
    </row>
    <row r="346" spans="1:2" x14ac:dyDescent="0.25">
      <c r="A346" s="50"/>
      <c r="B346" s="51"/>
    </row>
    <row r="347" spans="1:2" x14ac:dyDescent="0.25">
      <c r="A347" s="50"/>
      <c r="B347" s="51" t="s">
        <v>423</v>
      </c>
    </row>
    <row r="348" spans="1:2" x14ac:dyDescent="0.25">
      <c r="A348" s="50"/>
      <c r="B348" s="51"/>
    </row>
    <row r="349" spans="1:2" x14ac:dyDescent="0.25">
      <c r="A349" s="50"/>
      <c r="B349" s="51" t="s">
        <v>424</v>
      </c>
    </row>
    <row r="350" spans="1:2" x14ac:dyDescent="0.25">
      <c r="A350" s="50"/>
      <c r="B350" s="51"/>
    </row>
    <row r="351" spans="1:2" x14ac:dyDescent="0.25">
      <c r="A351" s="50"/>
      <c r="B351" s="51" t="s">
        <v>425</v>
      </c>
    </row>
    <row r="352" spans="1:2" x14ac:dyDescent="0.25">
      <c r="A352" s="50"/>
      <c r="B352" s="51"/>
    </row>
    <row r="353" spans="1:2" x14ac:dyDescent="0.25">
      <c r="A353" s="50"/>
      <c r="B353" s="51" t="s">
        <v>426</v>
      </c>
    </row>
    <row r="354" spans="1:2" x14ac:dyDescent="0.25">
      <c r="A354" s="50"/>
      <c r="B354" s="51"/>
    </row>
    <row r="355" spans="1:2" x14ac:dyDescent="0.25">
      <c r="A355" s="50"/>
      <c r="B355" s="51" t="s">
        <v>426</v>
      </c>
    </row>
    <row r="356" spans="1:2" x14ac:dyDescent="0.25">
      <c r="A356" s="50"/>
      <c r="B356" s="51"/>
    </row>
    <row r="357" spans="1:2" x14ac:dyDescent="0.25">
      <c r="A357" s="50"/>
      <c r="B357" s="51" t="s">
        <v>427</v>
      </c>
    </row>
    <row r="358" spans="1:2" x14ac:dyDescent="0.25">
      <c r="A358" s="50"/>
      <c r="B358" s="51"/>
    </row>
    <row r="359" spans="1:2" x14ac:dyDescent="0.25">
      <c r="A359" s="50"/>
      <c r="B359" s="51" t="s">
        <v>428</v>
      </c>
    </row>
    <row r="360" spans="1:2" x14ac:dyDescent="0.25">
      <c r="A360" s="50"/>
      <c r="B360" s="51"/>
    </row>
    <row r="361" spans="1:2" x14ac:dyDescent="0.25">
      <c r="A361" s="50"/>
      <c r="B361" s="51" t="s">
        <v>429</v>
      </c>
    </row>
    <row r="362" spans="1:2" x14ac:dyDescent="0.25">
      <c r="A362" s="50"/>
      <c r="B362" s="51"/>
    </row>
    <row r="363" spans="1:2" x14ac:dyDescent="0.25">
      <c r="A363" s="50"/>
      <c r="B363" s="51" t="s">
        <v>430</v>
      </c>
    </row>
    <row r="364" spans="1:2" x14ac:dyDescent="0.25">
      <c r="A364" s="50"/>
      <c r="B364" s="51"/>
    </row>
    <row r="365" spans="1:2" x14ac:dyDescent="0.25">
      <c r="A365" s="50"/>
      <c r="B365" s="51" t="s">
        <v>320</v>
      </c>
    </row>
    <row r="366" spans="1:2" x14ac:dyDescent="0.25">
      <c r="A366" s="50"/>
      <c r="B366" s="51"/>
    </row>
    <row r="367" spans="1:2" x14ac:dyDescent="0.25">
      <c r="A367" s="50"/>
      <c r="B367" s="51" t="s">
        <v>431</v>
      </c>
    </row>
    <row r="368" spans="1:2" x14ac:dyDescent="0.25">
      <c r="A368" s="50"/>
      <c r="B368" s="51"/>
    </row>
    <row r="369" spans="1:2" x14ac:dyDescent="0.25">
      <c r="A369" s="50"/>
      <c r="B369" s="51" t="s">
        <v>432</v>
      </c>
    </row>
    <row r="370" spans="1:2" x14ac:dyDescent="0.25">
      <c r="A370" s="50"/>
      <c r="B370" s="51"/>
    </row>
    <row r="371" spans="1:2" x14ac:dyDescent="0.25">
      <c r="A371" s="50"/>
      <c r="B371" s="51" t="s">
        <v>433</v>
      </c>
    </row>
    <row r="372" spans="1:2" x14ac:dyDescent="0.25">
      <c r="A372" s="50"/>
      <c r="B372" s="51"/>
    </row>
    <row r="373" spans="1:2" x14ac:dyDescent="0.25">
      <c r="A373" s="50"/>
      <c r="B373" s="51" t="s">
        <v>434</v>
      </c>
    </row>
    <row r="374" spans="1:2" x14ac:dyDescent="0.25">
      <c r="A374" s="50"/>
      <c r="B374" s="51"/>
    </row>
    <row r="375" spans="1:2" x14ac:dyDescent="0.25">
      <c r="A375" s="50"/>
      <c r="B375" s="51" t="s">
        <v>293</v>
      </c>
    </row>
    <row r="376" spans="1:2" x14ac:dyDescent="0.25">
      <c r="A376" s="50"/>
      <c r="B376" s="51"/>
    </row>
    <row r="377" spans="1:2" x14ac:dyDescent="0.25">
      <c r="A377" s="50"/>
      <c r="B377" s="51" t="s">
        <v>435</v>
      </c>
    </row>
    <row r="378" spans="1:2" x14ac:dyDescent="0.25">
      <c r="A378" s="50"/>
      <c r="B378" s="51"/>
    </row>
    <row r="379" spans="1:2" x14ac:dyDescent="0.25">
      <c r="A379" s="50"/>
      <c r="B379" s="51" t="s">
        <v>436</v>
      </c>
    </row>
    <row r="380" spans="1:2" x14ac:dyDescent="0.25">
      <c r="A380" s="50"/>
      <c r="B380" s="51"/>
    </row>
    <row r="381" spans="1:2" x14ac:dyDescent="0.25">
      <c r="A381" s="50"/>
      <c r="B381" s="51" t="s">
        <v>437</v>
      </c>
    </row>
    <row r="382" spans="1:2" x14ac:dyDescent="0.25">
      <c r="A382" s="50"/>
      <c r="B382" s="51"/>
    </row>
    <row r="383" spans="1:2" x14ac:dyDescent="0.25">
      <c r="A383" s="50"/>
      <c r="B383" s="51" t="s">
        <v>438</v>
      </c>
    </row>
    <row r="384" spans="1:2" x14ac:dyDescent="0.25">
      <c r="A384" s="50"/>
      <c r="B384" s="51"/>
    </row>
    <row r="385" spans="1:2" x14ac:dyDescent="0.25">
      <c r="A385" s="50"/>
      <c r="B385" s="51" t="s">
        <v>439</v>
      </c>
    </row>
    <row r="386" spans="1:2" x14ac:dyDescent="0.25">
      <c r="A386" s="50"/>
      <c r="B386" s="51"/>
    </row>
    <row r="387" spans="1:2" x14ac:dyDescent="0.25">
      <c r="A387" s="50"/>
      <c r="B387" s="51" t="s">
        <v>440</v>
      </c>
    </row>
    <row r="388" spans="1:2" x14ac:dyDescent="0.25">
      <c r="A388" s="50"/>
      <c r="B388" s="51"/>
    </row>
    <row r="389" spans="1:2" x14ac:dyDescent="0.25">
      <c r="A389" s="50"/>
      <c r="B389" s="51" t="s">
        <v>441</v>
      </c>
    </row>
    <row r="390" spans="1:2" x14ac:dyDescent="0.25">
      <c r="A390" s="50"/>
      <c r="B390" s="51"/>
    </row>
    <row r="391" spans="1:2" x14ac:dyDescent="0.25">
      <c r="A391" s="50"/>
      <c r="B391" s="51" t="s">
        <v>442</v>
      </c>
    </row>
    <row r="392" spans="1:2" x14ac:dyDescent="0.25">
      <c r="A392" s="50"/>
      <c r="B392" s="51"/>
    </row>
    <row r="393" spans="1:2" x14ac:dyDescent="0.25">
      <c r="A393" s="50"/>
      <c r="B393" s="51" t="s">
        <v>443</v>
      </c>
    </row>
    <row r="394" spans="1:2" x14ac:dyDescent="0.25">
      <c r="A394" s="50"/>
      <c r="B394" s="51"/>
    </row>
    <row r="395" spans="1:2" x14ac:dyDescent="0.25">
      <c r="A395" s="50"/>
      <c r="B395" s="51" t="s">
        <v>444</v>
      </c>
    </row>
    <row r="396" spans="1:2" x14ac:dyDescent="0.25">
      <c r="A396" s="50"/>
      <c r="B396" s="51"/>
    </row>
    <row r="397" spans="1:2" x14ac:dyDescent="0.25">
      <c r="A397" s="50"/>
      <c r="B397" s="51" t="s">
        <v>445</v>
      </c>
    </row>
    <row r="398" spans="1:2" x14ac:dyDescent="0.25">
      <c r="A398" s="50"/>
      <c r="B398" s="51"/>
    </row>
    <row r="399" spans="1:2" x14ac:dyDescent="0.25">
      <c r="A399" s="50"/>
      <c r="B399" s="51" t="s">
        <v>446</v>
      </c>
    </row>
    <row r="400" spans="1:2" x14ac:dyDescent="0.25">
      <c r="A400" s="50"/>
      <c r="B400" s="51"/>
    </row>
    <row r="401" spans="1:2" x14ac:dyDescent="0.25">
      <c r="A401" s="50"/>
      <c r="B401" s="51" t="s">
        <v>447</v>
      </c>
    </row>
    <row r="402" spans="1:2" x14ac:dyDescent="0.25">
      <c r="A402" s="50"/>
      <c r="B402" s="51"/>
    </row>
    <row r="403" spans="1:2" x14ac:dyDescent="0.25">
      <c r="A403" s="50"/>
      <c r="B403" s="51" t="s">
        <v>448</v>
      </c>
    </row>
    <row r="404" spans="1:2" x14ac:dyDescent="0.25">
      <c r="A404" s="50"/>
      <c r="B404" s="51"/>
    </row>
    <row r="405" spans="1:2" x14ac:dyDescent="0.25">
      <c r="A405" s="50"/>
      <c r="B405" s="51" t="s">
        <v>449</v>
      </c>
    </row>
    <row r="406" spans="1:2" x14ac:dyDescent="0.25">
      <c r="A406" s="50"/>
      <c r="B406" s="51"/>
    </row>
    <row r="407" spans="1:2" x14ac:dyDescent="0.25">
      <c r="A407" s="50"/>
      <c r="B407" s="51" t="s">
        <v>450</v>
      </c>
    </row>
    <row r="408" spans="1:2" x14ac:dyDescent="0.25">
      <c r="A408" s="50"/>
      <c r="B408" s="51"/>
    </row>
    <row r="409" spans="1:2" x14ac:dyDescent="0.25">
      <c r="A409" s="50"/>
      <c r="B409" s="51" t="s">
        <v>451</v>
      </c>
    </row>
    <row r="410" spans="1:2" x14ac:dyDescent="0.25">
      <c r="A410" s="50"/>
      <c r="B410" s="51"/>
    </row>
    <row r="411" spans="1:2" x14ac:dyDescent="0.25">
      <c r="A411" s="50"/>
      <c r="B411" s="51" t="s">
        <v>452</v>
      </c>
    </row>
    <row r="412" spans="1:2" x14ac:dyDescent="0.25">
      <c r="A412" s="50"/>
      <c r="B412" s="51"/>
    </row>
    <row r="413" spans="1:2" x14ac:dyDescent="0.25">
      <c r="A413" s="50"/>
      <c r="B413" s="51" t="s">
        <v>453</v>
      </c>
    </row>
    <row r="414" spans="1:2" x14ac:dyDescent="0.25">
      <c r="A414" s="50"/>
      <c r="B414" s="51"/>
    </row>
    <row r="415" spans="1:2" x14ac:dyDescent="0.25">
      <c r="A415" s="50"/>
      <c r="B415" s="51" t="s">
        <v>454</v>
      </c>
    </row>
    <row r="416" spans="1:2" x14ac:dyDescent="0.25">
      <c r="A416" s="50"/>
      <c r="B416" s="51"/>
    </row>
    <row r="417" spans="1:2" x14ac:dyDescent="0.25">
      <c r="A417" s="50"/>
      <c r="B417" s="51" t="s">
        <v>455</v>
      </c>
    </row>
    <row r="418" spans="1:2" x14ac:dyDescent="0.25">
      <c r="A418" s="50"/>
      <c r="B418" s="51"/>
    </row>
    <row r="419" spans="1:2" x14ac:dyDescent="0.25">
      <c r="A419" s="50"/>
      <c r="B419" s="51" t="s">
        <v>456</v>
      </c>
    </row>
    <row r="420" spans="1:2" x14ac:dyDescent="0.25">
      <c r="A420" s="50"/>
      <c r="B420" s="51"/>
    </row>
    <row r="421" spans="1:2" x14ac:dyDescent="0.25">
      <c r="A421" s="50"/>
      <c r="B421" s="51" t="s">
        <v>457</v>
      </c>
    </row>
    <row r="422" spans="1:2" x14ac:dyDescent="0.25">
      <c r="A422" s="50"/>
      <c r="B422" s="51"/>
    </row>
    <row r="423" spans="1:2" x14ac:dyDescent="0.25">
      <c r="A423" s="50"/>
      <c r="B423" s="51" t="s">
        <v>273</v>
      </c>
    </row>
    <row r="424" spans="1:2" x14ac:dyDescent="0.25">
      <c r="A424" s="50"/>
      <c r="B424" s="51"/>
    </row>
    <row r="425" spans="1:2" x14ac:dyDescent="0.25">
      <c r="A425" s="50"/>
      <c r="B425" s="51" t="s">
        <v>458</v>
      </c>
    </row>
    <row r="426" spans="1:2" x14ac:dyDescent="0.25">
      <c r="A426" s="50"/>
      <c r="B426" s="51"/>
    </row>
    <row r="427" spans="1:2" x14ac:dyDescent="0.25">
      <c r="A427" s="50"/>
      <c r="B427" s="51" t="s">
        <v>293</v>
      </c>
    </row>
    <row r="428" spans="1:2" x14ac:dyDescent="0.25">
      <c r="A428" s="50"/>
      <c r="B428" s="51"/>
    </row>
    <row r="429" spans="1:2" x14ac:dyDescent="0.25">
      <c r="A429" s="50"/>
      <c r="B429" s="51" t="s">
        <v>452</v>
      </c>
    </row>
    <row r="430" spans="1:2" x14ac:dyDescent="0.25">
      <c r="A430" s="50"/>
      <c r="B430" s="51"/>
    </row>
    <row r="431" spans="1:2" x14ac:dyDescent="0.25">
      <c r="A431" s="50"/>
      <c r="B431" s="51" t="s">
        <v>450</v>
      </c>
    </row>
    <row r="432" spans="1:2" x14ac:dyDescent="0.25">
      <c r="A432" s="50"/>
      <c r="B432" s="51"/>
    </row>
    <row r="433" spans="1:2" x14ac:dyDescent="0.25">
      <c r="A433" s="50"/>
      <c r="B433" s="51" t="s">
        <v>459</v>
      </c>
    </row>
    <row r="434" spans="1:2" x14ac:dyDescent="0.25">
      <c r="A434" s="50"/>
      <c r="B434" s="51"/>
    </row>
    <row r="435" spans="1:2" x14ac:dyDescent="0.25">
      <c r="A435" s="50"/>
      <c r="B435" s="51" t="s">
        <v>455</v>
      </c>
    </row>
    <row r="436" spans="1:2" x14ac:dyDescent="0.25">
      <c r="A436" s="50"/>
      <c r="B436" s="51"/>
    </row>
    <row r="437" spans="1:2" x14ac:dyDescent="0.25">
      <c r="A437" s="50"/>
      <c r="B437" s="51" t="s">
        <v>456</v>
      </c>
    </row>
    <row r="438" spans="1:2" x14ac:dyDescent="0.25">
      <c r="A438" s="50"/>
      <c r="B438" s="51"/>
    </row>
    <row r="439" spans="1:2" x14ac:dyDescent="0.25">
      <c r="A439" s="50"/>
      <c r="B439" s="51" t="s">
        <v>457</v>
      </c>
    </row>
    <row r="440" spans="1:2" x14ac:dyDescent="0.25">
      <c r="A440" s="50"/>
      <c r="B440" s="51"/>
    </row>
    <row r="441" spans="1:2" x14ac:dyDescent="0.25">
      <c r="A441" s="50"/>
      <c r="B441" s="51" t="s">
        <v>273</v>
      </c>
    </row>
    <row r="442" spans="1:2" x14ac:dyDescent="0.25">
      <c r="A442" s="50"/>
      <c r="B442" s="51"/>
    </row>
    <row r="443" spans="1:2" x14ac:dyDescent="0.25">
      <c r="A443" s="50"/>
      <c r="B443" s="51" t="s">
        <v>458</v>
      </c>
    </row>
    <row r="444" spans="1:2" x14ac:dyDescent="0.25">
      <c r="A444" s="50"/>
      <c r="B444" s="51"/>
    </row>
    <row r="445" spans="1:2" x14ac:dyDescent="0.25">
      <c r="A445" s="50"/>
      <c r="B445" s="51" t="s">
        <v>460</v>
      </c>
    </row>
    <row r="446" spans="1:2" x14ac:dyDescent="0.25">
      <c r="A446" s="50"/>
      <c r="B446" s="51"/>
    </row>
    <row r="447" spans="1:2" x14ac:dyDescent="0.25">
      <c r="A447" s="50"/>
      <c r="B447" s="51" t="s">
        <v>461</v>
      </c>
    </row>
    <row r="448" spans="1:2" x14ac:dyDescent="0.25">
      <c r="A448" s="50"/>
      <c r="B448" s="51"/>
    </row>
    <row r="449" spans="1:2" x14ac:dyDescent="0.25">
      <c r="A449" s="50"/>
      <c r="B449" s="51" t="s">
        <v>462</v>
      </c>
    </row>
    <row r="450" spans="1:2" x14ac:dyDescent="0.25">
      <c r="A450" s="50"/>
      <c r="B450" s="51"/>
    </row>
    <row r="451" spans="1:2" x14ac:dyDescent="0.25">
      <c r="A451" s="50"/>
      <c r="B451" s="51" t="s">
        <v>463</v>
      </c>
    </row>
    <row r="452" spans="1:2" x14ac:dyDescent="0.25">
      <c r="A452" s="50"/>
      <c r="B452" s="51"/>
    </row>
    <row r="453" spans="1:2" x14ac:dyDescent="0.25">
      <c r="A453" s="50"/>
      <c r="B453" s="51" t="s">
        <v>464</v>
      </c>
    </row>
    <row r="454" spans="1:2" x14ac:dyDescent="0.25">
      <c r="A454" s="50"/>
      <c r="B454" s="51"/>
    </row>
    <row r="455" spans="1:2" x14ac:dyDescent="0.25">
      <c r="A455" s="50"/>
      <c r="B455" s="51" t="s">
        <v>465</v>
      </c>
    </row>
    <row r="456" spans="1:2" x14ac:dyDescent="0.25">
      <c r="A456" s="50"/>
      <c r="B456" s="51"/>
    </row>
    <row r="457" spans="1:2" x14ac:dyDescent="0.25">
      <c r="A457" s="50"/>
      <c r="B457" s="51" t="s">
        <v>466</v>
      </c>
    </row>
    <row r="458" spans="1:2" x14ac:dyDescent="0.25">
      <c r="A458" s="50"/>
      <c r="B458" s="51"/>
    </row>
    <row r="459" spans="1:2" x14ac:dyDescent="0.25">
      <c r="A459" s="50"/>
      <c r="B459" s="51" t="s">
        <v>467</v>
      </c>
    </row>
    <row r="460" spans="1:2" x14ac:dyDescent="0.25">
      <c r="A460" s="50"/>
      <c r="B460" s="51"/>
    </row>
    <row r="461" spans="1:2" x14ac:dyDescent="0.25">
      <c r="A461" s="50"/>
      <c r="B461" s="51" t="s">
        <v>468</v>
      </c>
    </row>
    <row r="462" spans="1:2" x14ac:dyDescent="0.25">
      <c r="A462" s="50"/>
      <c r="B462" s="51"/>
    </row>
    <row r="463" spans="1:2" x14ac:dyDescent="0.25">
      <c r="A463" s="50"/>
      <c r="B463" s="51" t="s">
        <v>469</v>
      </c>
    </row>
    <row r="464" spans="1:2" x14ac:dyDescent="0.25">
      <c r="A464" s="50"/>
      <c r="B464" s="51"/>
    </row>
    <row r="465" spans="1:2" x14ac:dyDescent="0.25">
      <c r="A465" s="50"/>
      <c r="B465" s="51" t="s">
        <v>470</v>
      </c>
    </row>
    <row r="466" spans="1:2" x14ac:dyDescent="0.25">
      <c r="A466" s="50"/>
      <c r="B466" s="51"/>
    </row>
    <row r="467" spans="1:2" x14ac:dyDescent="0.25">
      <c r="A467" s="50"/>
      <c r="B467" s="51" t="s">
        <v>471</v>
      </c>
    </row>
    <row r="468" spans="1:2" x14ac:dyDescent="0.25">
      <c r="A468" s="50"/>
      <c r="B468" s="51"/>
    </row>
    <row r="469" spans="1:2" x14ac:dyDescent="0.25">
      <c r="A469" s="50"/>
      <c r="B469" s="51" t="s">
        <v>472</v>
      </c>
    </row>
    <row r="470" spans="1:2" x14ac:dyDescent="0.25">
      <c r="A470" s="50"/>
      <c r="B470" s="51"/>
    </row>
    <row r="471" spans="1:2" x14ac:dyDescent="0.25">
      <c r="A471" s="50"/>
      <c r="B471" s="51" t="s">
        <v>473</v>
      </c>
    </row>
    <row r="472" spans="1:2" x14ac:dyDescent="0.25">
      <c r="A472" s="50"/>
      <c r="B472" s="51"/>
    </row>
    <row r="473" spans="1:2" x14ac:dyDescent="0.25">
      <c r="A473" s="50"/>
      <c r="B473" s="51" t="s">
        <v>474</v>
      </c>
    </row>
    <row r="474" spans="1:2" x14ac:dyDescent="0.25">
      <c r="A474" s="50"/>
      <c r="B474" s="51"/>
    </row>
    <row r="475" spans="1:2" x14ac:dyDescent="0.25">
      <c r="A475" s="50"/>
      <c r="B475" s="51" t="s">
        <v>475</v>
      </c>
    </row>
    <row r="476" spans="1:2" x14ac:dyDescent="0.25">
      <c r="A476" s="50"/>
      <c r="B476" s="51"/>
    </row>
    <row r="477" spans="1:2" x14ac:dyDescent="0.25">
      <c r="A477" s="50"/>
      <c r="B477" s="51" t="s">
        <v>476</v>
      </c>
    </row>
    <row r="478" spans="1:2" x14ac:dyDescent="0.25">
      <c r="A478" s="50"/>
      <c r="B478" s="51"/>
    </row>
    <row r="479" spans="1:2" x14ac:dyDescent="0.25">
      <c r="A479" s="50"/>
      <c r="B479" s="51" t="s">
        <v>477</v>
      </c>
    </row>
    <row r="480" spans="1:2" x14ac:dyDescent="0.25">
      <c r="A480" s="50"/>
      <c r="B480" s="51"/>
    </row>
    <row r="481" spans="1:2" x14ac:dyDescent="0.25">
      <c r="A481" s="50"/>
      <c r="B481" s="51" t="s">
        <v>478</v>
      </c>
    </row>
    <row r="482" spans="1:2" x14ac:dyDescent="0.25">
      <c r="A482" s="50"/>
      <c r="B482" s="51"/>
    </row>
    <row r="483" spans="1:2" x14ac:dyDescent="0.25">
      <c r="A483" s="50"/>
      <c r="B483" s="51" t="s">
        <v>479</v>
      </c>
    </row>
    <row r="484" spans="1:2" x14ac:dyDescent="0.25">
      <c r="A484" s="50"/>
      <c r="B484" s="51"/>
    </row>
    <row r="485" spans="1:2" x14ac:dyDescent="0.25">
      <c r="A485" s="50"/>
      <c r="B485" s="51" t="s">
        <v>480</v>
      </c>
    </row>
    <row r="486" spans="1:2" x14ac:dyDescent="0.25">
      <c r="A486" s="50"/>
      <c r="B486" s="51"/>
    </row>
    <row r="487" spans="1:2" x14ac:dyDescent="0.25">
      <c r="A487" s="50"/>
      <c r="B487" s="51" t="s">
        <v>481</v>
      </c>
    </row>
    <row r="488" spans="1:2" x14ac:dyDescent="0.25">
      <c r="A488" s="50"/>
      <c r="B488" s="51"/>
    </row>
    <row r="489" spans="1:2" x14ac:dyDescent="0.25">
      <c r="A489" s="50"/>
      <c r="B489" s="51" t="s">
        <v>482</v>
      </c>
    </row>
    <row r="490" spans="1:2" x14ac:dyDescent="0.25">
      <c r="A490" s="50"/>
      <c r="B490" s="51"/>
    </row>
    <row r="491" spans="1:2" x14ac:dyDescent="0.25">
      <c r="A491" s="50"/>
      <c r="B491" s="51" t="s">
        <v>483</v>
      </c>
    </row>
    <row r="492" spans="1:2" x14ac:dyDescent="0.25">
      <c r="A492" s="50"/>
      <c r="B492" s="51"/>
    </row>
    <row r="493" spans="1:2" x14ac:dyDescent="0.25">
      <c r="A493" s="50"/>
      <c r="B493" s="51" t="s">
        <v>484</v>
      </c>
    </row>
    <row r="494" spans="1:2" x14ac:dyDescent="0.25">
      <c r="A494" s="50"/>
      <c r="B494" s="51"/>
    </row>
    <row r="495" spans="1:2" x14ac:dyDescent="0.25">
      <c r="A495" s="50"/>
      <c r="B495" s="51" t="s">
        <v>485</v>
      </c>
    </row>
    <row r="496" spans="1:2" x14ac:dyDescent="0.25">
      <c r="A496" s="50"/>
      <c r="B496" s="51"/>
    </row>
    <row r="497" spans="1:2" x14ac:dyDescent="0.25">
      <c r="A497" s="50"/>
      <c r="B497" s="51" t="s">
        <v>486</v>
      </c>
    </row>
    <row r="498" spans="1:2" x14ac:dyDescent="0.25">
      <c r="A498" s="50"/>
      <c r="B498" s="51"/>
    </row>
    <row r="499" spans="1:2" x14ac:dyDescent="0.25">
      <c r="A499" s="50"/>
      <c r="B499" s="51" t="s">
        <v>487</v>
      </c>
    </row>
    <row r="500" spans="1:2" x14ac:dyDescent="0.25">
      <c r="A500" s="50"/>
      <c r="B500" s="51"/>
    </row>
    <row r="501" spans="1:2" x14ac:dyDescent="0.25">
      <c r="A501" s="50"/>
      <c r="B501" s="51" t="s">
        <v>488</v>
      </c>
    </row>
    <row r="502" spans="1:2" x14ac:dyDescent="0.25">
      <c r="A502" s="50"/>
      <c r="B502" s="51"/>
    </row>
    <row r="503" spans="1:2" x14ac:dyDescent="0.25">
      <c r="A503" s="50"/>
      <c r="B503" s="51" t="s">
        <v>489</v>
      </c>
    </row>
    <row r="504" spans="1:2" x14ac:dyDescent="0.25">
      <c r="A504" s="50"/>
      <c r="B504" s="51"/>
    </row>
    <row r="505" spans="1:2" x14ac:dyDescent="0.25">
      <c r="A505" s="50"/>
      <c r="B505" s="51" t="s">
        <v>490</v>
      </c>
    </row>
    <row r="506" spans="1:2" x14ac:dyDescent="0.25">
      <c r="A506" s="50"/>
      <c r="B506" s="51"/>
    </row>
    <row r="507" spans="1:2" x14ac:dyDescent="0.25">
      <c r="A507" s="50"/>
      <c r="B507" s="51" t="s">
        <v>293</v>
      </c>
    </row>
    <row r="508" spans="1:2" x14ac:dyDescent="0.25">
      <c r="A508" s="50"/>
      <c r="B508" s="51"/>
    </row>
    <row r="509" spans="1:2" x14ac:dyDescent="0.25">
      <c r="A509" s="50"/>
      <c r="B509" s="51" t="s">
        <v>491</v>
      </c>
    </row>
    <row r="510" spans="1:2" x14ac:dyDescent="0.25">
      <c r="A510" s="50"/>
      <c r="B510" s="51"/>
    </row>
    <row r="511" spans="1:2" x14ac:dyDescent="0.25">
      <c r="A511" s="50"/>
      <c r="B511" s="51" t="s">
        <v>492</v>
      </c>
    </row>
    <row r="512" spans="1:2" x14ac:dyDescent="0.25">
      <c r="A512" s="50"/>
      <c r="B512" s="51"/>
    </row>
    <row r="513" spans="1:2" x14ac:dyDescent="0.25">
      <c r="A513" s="50"/>
      <c r="B513" s="51" t="s">
        <v>493</v>
      </c>
    </row>
    <row r="514" spans="1:2" x14ac:dyDescent="0.25">
      <c r="A514" s="50"/>
      <c r="B514" s="51"/>
    </row>
    <row r="515" spans="1:2" x14ac:dyDescent="0.25">
      <c r="A515" s="50"/>
      <c r="B515" s="51" t="s">
        <v>494</v>
      </c>
    </row>
    <row r="516" spans="1:2" x14ac:dyDescent="0.25">
      <c r="A516" s="50"/>
      <c r="B516" s="51"/>
    </row>
    <row r="517" spans="1:2" x14ac:dyDescent="0.25">
      <c r="A517" s="50"/>
      <c r="B517" s="51" t="s">
        <v>495</v>
      </c>
    </row>
    <row r="518" spans="1:2" x14ac:dyDescent="0.25">
      <c r="A518" s="50"/>
      <c r="B518" s="51"/>
    </row>
    <row r="519" spans="1:2" x14ac:dyDescent="0.25">
      <c r="A519" s="50"/>
      <c r="B519" s="51" t="s">
        <v>496</v>
      </c>
    </row>
    <row r="520" spans="1:2" x14ac:dyDescent="0.25">
      <c r="A520" s="50"/>
      <c r="B520" s="51"/>
    </row>
    <row r="521" spans="1:2" x14ac:dyDescent="0.25">
      <c r="A521" s="50"/>
      <c r="B521" s="51" t="s">
        <v>497</v>
      </c>
    </row>
    <row r="522" spans="1:2" x14ac:dyDescent="0.25">
      <c r="A522" s="50"/>
      <c r="B522" s="51"/>
    </row>
    <row r="523" spans="1:2" x14ac:dyDescent="0.25">
      <c r="A523" s="50"/>
      <c r="B523" s="51" t="s">
        <v>498</v>
      </c>
    </row>
    <row r="524" spans="1:2" x14ac:dyDescent="0.25">
      <c r="A524" s="50"/>
      <c r="B524" s="51"/>
    </row>
    <row r="525" spans="1:2" x14ac:dyDescent="0.25">
      <c r="A525" s="50"/>
      <c r="B525" s="51" t="s">
        <v>499</v>
      </c>
    </row>
    <row r="526" spans="1:2" x14ac:dyDescent="0.25">
      <c r="A526" s="50"/>
      <c r="B526" s="51"/>
    </row>
    <row r="527" spans="1:2" x14ac:dyDescent="0.25">
      <c r="A527" s="50"/>
      <c r="B527" s="51" t="s">
        <v>500</v>
      </c>
    </row>
    <row r="528" spans="1:2" x14ac:dyDescent="0.25">
      <c r="A528" s="50"/>
      <c r="B528" s="51"/>
    </row>
    <row r="529" spans="1:2" x14ac:dyDescent="0.25">
      <c r="A529" s="50"/>
      <c r="B529" s="51" t="s">
        <v>501</v>
      </c>
    </row>
    <row r="530" spans="1:2" x14ac:dyDescent="0.25">
      <c r="A530" s="50"/>
      <c r="B530" s="51"/>
    </row>
    <row r="531" spans="1:2" x14ac:dyDescent="0.25">
      <c r="A531" s="50"/>
      <c r="B531" s="51" t="s">
        <v>502</v>
      </c>
    </row>
    <row r="532" spans="1:2" x14ac:dyDescent="0.25">
      <c r="A532" s="50"/>
      <c r="B532" s="51"/>
    </row>
    <row r="533" spans="1:2" x14ac:dyDescent="0.25">
      <c r="A533" s="50"/>
      <c r="B533" s="51" t="s">
        <v>503</v>
      </c>
    </row>
    <row r="534" spans="1:2" x14ac:dyDescent="0.25">
      <c r="A534" s="50"/>
      <c r="B534" s="51"/>
    </row>
    <row r="535" spans="1:2" x14ac:dyDescent="0.25">
      <c r="A535" s="50"/>
      <c r="B535" s="51" t="s">
        <v>504</v>
      </c>
    </row>
    <row r="536" spans="1:2" x14ac:dyDescent="0.25">
      <c r="A536" s="50"/>
      <c r="B536" s="51"/>
    </row>
    <row r="537" spans="1:2" x14ac:dyDescent="0.25">
      <c r="A537" s="50"/>
      <c r="B537" s="51" t="s">
        <v>505</v>
      </c>
    </row>
    <row r="538" spans="1:2" x14ac:dyDescent="0.25">
      <c r="A538" s="50"/>
      <c r="B538" s="51"/>
    </row>
    <row r="539" spans="1:2" x14ac:dyDescent="0.25">
      <c r="A539" s="50"/>
      <c r="B539" s="51" t="s">
        <v>506</v>
      </c>
    </row>
    <row r="540" spans="1:2" x14ac:dyDescent="0.25">
      <c r="A540" s="50"/>
      <c r="B540" s="51"/>
    </row>
    <row r="541" spans="1:2" x14ac:dyDescent="0.25">
      <c r="A541" s="50"/>
      <c r="B541" s="51" t="s">
        <v>507</v>
      </c>
    </row>
    <row r="542" spans="1:2" x14ac:dyDescent="0.25">
      <c r="A542" s="50"/>
      <c r="B542" s="51"/>
    </row>
    <row r="543" spans="1:2" x14ac:dyDescent="0.25">
      <c r="A543" s="50"/>
      <c r="B543" s="51" t="s">
        <v>508</v>
      </c>
    </row>
    <row r="544" spans="1:2" x14ac:dyDescent="0.25">
      <c r="A544" s="50"/>
      <c r="B544" s="51"/>
    </row>
    <row r="545" spans="1:2" x14ac:dyDescent="0.25">
      <c r="A545" s="50"/>
      <c r="B545" s="51" t="s">
        <v>509</v>
      </c>
    </row>
    <row r="546" spans="1:2" x14ac:dyDescent="0.25">
      <c r="A546" s="50"/>
      <c r="B546" s="51"/>
    </row>
    <row r="547" spans="1:2" x14ac:dyDescent="0.25">
      <c r="A547" s="50"/>
      <c r="B547" s="51" t="s">
        <v>510</v>
      </c>
    </row>
    <row r="548" spans="1:2" x14ac:dyDescent="0.25">
      <c r="A548" s="50"/>
      <c r="B548" s="51"/>
    </row>
    <row r="549" spans="1:2" x14ac:dyDescent="0.25">
      <c r="A549" s="50"/>
      <c r="B549" s="51" t="s">
        <v>511</v>
      </c>
    </row>
    <row r="550" spans="1:2" x14ac:dyDescent="0.25">
      <c r="A550" s="50"/>
      <c r="B550" s="51"/>
    </row>
    <row r="551" spans="1:2" x14ac:dyDescent="0.25">
      <c r="A551" s="50"/>
      <c r="B551" s="51" t="s">
        <v>293</v>
      </c>
    </row>
    <row r="552" spans="1:2" x14ac:dyDescent="0.25">
      <c r="A552" s="50"/>
      <c r="B552" s="51"/>
    </row>
    <row r="553" spans="1:2" x14ac:dyDescent="0.25">
      <c r="A553" s="50"/>
      <c r="B553" s="51" t="s">
        <v>497</v>
      </c>
    </row>
    <row r="554" spans="1:2" x14ac:dyDescent="0.25">
      <c r="A554" s="50"/>
      <c r="B554" s="51"/>
    </row>
    <row r="555" spans="1:2" x14ac:dyDescent="0.25">
      <c r="A555" s="50"/>
      <c r="B555" s="51" t="s">
        <v>512</v>
      </c>
    </row>
    <row r="556" spans="1:2" x14ac:dyDescent="0.25">
      <c r="A556" s="50"/>
      <c r="B556" s="51"/>
    </row>
    <row r="557" spans="1:2" x14ac:dyDescent="0.25">
      <c r="A557" s="50"/>
      <c r="B557" s="51" t="s">
        <v>513</v>
      </c>
    </row>
    <row r="558" spans="1:2" x14ac:dyDescent="0.25">
      <c r="A558" s="50"/>
      <c r="B558" s="51"/>
    </row>
    <row r="559" spans="1:2" x14ac:dyDescent="0.25">
      <c r="A559" s="50"/>
      <c r="B559" s="51" t="s">
        <v>514</v>
      </c>
    </row>
    <row r="560" spans="1:2" x14ac:dyDescent="0.25">
      <c r="A560" s="50"/>
      <c r="B560" s="51"/>
    </row>
    <row r="561" spans="1:2" x14ac:dyDescent="0.25">
      <c r="A561" s="50"/>
      <c r="B561" s="51" t="s">
        <v>515</v>
      </c>
    </row>
    <row r="562" spans="1:2" x14ac:dyDescent="0.25">
      <c r="A562" s="50"/>
      <c r="B562" s="51"/>
    </row>
    <row r="563" spans="1:2" x14ac:dyDescent="0.25">
      <c r="A563" s="50"/>
      <c r="B563" s="51" t="s">
        <v>516</v>
      </c>
    </row>
    <row r="564" spans="1:2" x14ac:dyDescent="0.25">
      <c r="A564" s="50"/>
      <c r="B564" s="51"/>
    </row>
    <row r="565" spans="1:2" x14ac:dyDescent="0.25">
      <c r="A565" s="50"/>
      <c r="B565" s="51" t="s">
        <v>517</v>
      </c>
    </row>
    <row r="566" spans="1:2" x14ac:dyDescent="0.25">
      <c r="A566" s="50"/>
      <c r="B566" s="51"/>
    </row>
    <row r="567" spans="1:2" x14ac:dyDescent="0.25">
      <c r="A567" s="50"/>
      <c r="B567" s="51" t="s">
        <v>518</v>
      </c>
    </row>
    <row r="568" spans="1:2" x14ac:dyDescent="0.25">
      <c r="A568" s="50"/>
      <c r="B568" s="51"/>
    </row>
    <row r="569" spans="1:2" x14ac:dyDescent="0.25">
      <c r="A569" s="50"/>
      <c r="B569" s="51" t="s">
        <v>519</v>
      </c>
    </row>
    <row r="570" spans="1:2" x14ac:dyDescent="0.25">
      <c r="A570" s="50"/>
      <c r="B570" s="51"/>
    </row>
    <row r="571" spans="1:2" x14ac:dyDescent="0.25">
      <c r="A571" s="50"/>
      <c r="B571" s="51" t="s">
        <v>520</v>
      </c>
    </row>
    <row r="572" spans="1:2" x14ac:dyDescent="0.25">
      <c r="A572" s="50"/>
      <c r="B572" s="51"/>
    </row>
    <row r="573" spans="1:2" x14ac:dyDescent="0.25">
      <c r="A573" s="50"/>
      <c r="B573" s="51" t="s">
        <v>521</v>
      </c>
    </row>
    <row r="574" spans="1:2" x14ac:dyDescent="0.25">
      <c r="A574" s="50"/>
      <c r="B574" s="51"/>
    </row>
    <row r="575" spans="1:2" x14ac:dyDescent="0.25">
      <c r="A575" s="50"/>
      <c r="B575" s="51" t="s">
        <v>522</v>
      </c>
    </row>
    <row r="576" spans="1:2" x14ac:dyDescent="0.25">
      <c r="A576" s="50"/>
      <c r="B576" s="51"/>
    </row>
    <row r="577" spans="1:2" x14ac:dyDescent="0.25">
      <c r="A577" s="50"/>
      <c r="B577" s="51" t="s">
        <v>523</v>
      </c>
    </row>
    <row r="578" spans="1:2" x14ac:dyDescent="0.25">
      <c r="A578" s="50"/>
      <c r="B578" s="51"/>
    </row>
    <row r="579" spans="1:2" x14ac:dyDescent="0.25">
      <c r="A579" s="50"/>
      <c r="B579" s="51" t="s">
        <v>524</v>
      </c>
    </row>
    <row r="580" spans="1:2" x14ac:dyDescent="0.25">
      <c r="A580" s="50"/>
      <c r="B580" s="51"/>
    </row>
    <row r="581" spans="1:2" x14ac:dyDescent="0.25">
      <c r="A581" s="50"/>
      <c r="B581" s="51" t="s">
        <v>525</v>
      </c>
    </row>
    <row r="582" spans="1:2" x14ac:dyDescent="0.25">
      <c r="A582" s="50"/>
      <c r="B582" s="51"/>
    </row>
    <row r="583" spans="1:2" x14ac:dyDescent="0.25">
      <c r="A583" s="50"/>
      <c r="B583" s="51" t="s">
        <v>526</v>
      </c>
    </row>
    <row r="584" spans="1:2" x14ac:dyDescent="0.25">
      <c r="A584" s="50"/>
      <c r="B584" s="51"/>
    </row>
    <row r="585" spans="1:2" x14ac:dyDescent="0.25">
      <c r="A585" s="50"/>
      <c r="B585" s="51" t="s">
        <v>527</v>
      </c>
    </row>
    <row r="586" spans="1:2" x14ac:dyDescent="0.25">
      <c r="A586" s="50"/>
      <c r="B586" s="51"/>
    </row>
    <row r="587" spans="1:2" x14ac:dyDescent="0.25">
      <c r="A587" s="50"/>
      <c r="B587" s="51" t="s">
        <v>528</v>
      </c>
    </row>
    <row r="588" spans="1:2" x14ac:dyDescent="0.25">
      <c r="A588" s="50"/>
      <c r="B588" s="51"/>
    </row>
    <row r="589" spans="1:2" x14ac:dyDescent="0.25">
      <c r="A589" s="50"/>
      <c r="B589" s="51" t="s">
        <v>529</v>
      </c>
    </row>
    <row r="590" spans="1:2" x14ac:dyDescent="0.25">
      <c r="A590" s="50"/>
      <c r="B590" s="51"/>
    </row>
    <row r="591" spans="1:2" x14ac:dyDescent="0.25">
      <c r="A591" s="50"/>
      <c r="B591" s="51" t="s">
        <v>530</v>
      </c>
    </row>
    <row r="592" spans="1:2" x14ac:dyDescent="0.25">
      <c r="A592" s="50"/>
      <c r="B592" s="51"/>
    </row>
    <row r="593" spans="1:2" x14ac:dyDescent="0.25">
      <c r="A593" s="50"/>
      <c r="B593" s="51" t="s">
        <v>531</v>
      </c>
    </row>
    <row r="594" spans="1:2" x14ac:dyDescent="0.25">
      <c r="A594" s="50"/>
      <c r="B594" s="51"/>
    </row>
    <row r="595" spans="1:2" x14ac:dyDescent="0.25">
      <c r="A595" s="50"/>
      <c r="B595" s="51" t="s">
        <v>532</v>
      </c>
    </row>
    <row r="596" spans="1:2" x14ac:dyDescent="0.25">
      <c r="A596" s="50"/>
      <c r="B596" s="51"/>
    </row>
    <row r="597" spans="1:2" x14ac:dyDescent="0.25">
      <c r="A597" s="50"/>
      <c r="B597" s="51" t="s">
        <v>533</v>
      </c>
    </row>
    <row r="598" spans="1:2" x14ac:dyDescent="0.25">
      <c r="A598" s="50"/>
      <c r="B598" s="51"/>
    </row>
    <row r="599" spans="1:2" x14ac:dyDescent="0.25">
      <c r="A599" s="50"/>
      <c r="B599" s="51" t="s">
        <v>534</v>
      </c>
    </row>
    <row r="600" spans="1:2" x14ac:dyDescent="0.25">
      <c r="A600" s="50"/>
      <c r="B600" s="51"/>
    </row>
    <row r="601" spans="1:2" x14ac:dyDescent="0.25">
      <c r="A601" s="50"/>
      <c r="B601" s="51" t="s">
        <v>535</v>
      </c>
    </row>
    <row r="602" spans="1:2" x14ac:dyDescent="0.25">
      <c r="A602" s="50"/>
      <c r="B602" s="51"/>
    </row>
    <row r="603" spans="1:2" x14ac:dyDescent="0.25">
      <c r="A603" s="50"/>
      <c r="B603" s="51" t="s">
        <v>446</v>
      </c>
    </row>
    <row r="604" spans="1:2" x14ac:dyDescent="0.25">
      <c r="A604" s="50"/>
      <c r="B604" s="51"/>
    </row>
    <row r="605" spans="1:2" x14ac:dyDescent="0.25">
      <c r="A605" s="50"/>
      <c r="B605" s="51" t="s">
        <v>447</v>
      </c>
    </row>
    <row r="606" spans="1:2" x14ac:dyDescent="0.25">
      <c r="A606" s="50"/>
      <c r="B606" s="51"/>
    </row>
    <row r="607" spans="1:2" x14ac:dyDescent="0.25">
      <c r="A607" s="50"/>
      <c r="B607" s="51" t="s">
        <v>536</v>
      </c>
    </row>
    <row r="608" spans="1:2" x14ac:dyDescent="0.25">
      <c r="A608" s="50"/>
      <c r="B608" s="51"/>
    </row>
    <row r="609" spans="1:2" x14ac:dyDescent="0.25">
      <c r="A609" s="50"/>
      <c r="B609" s="51" t="s">
        <v>507</v>
      </c>
    </row>
    <row r="610" spans="1:2" x14ac:dyDescent="0.25">
      <c r="A610" s="50"/>
      <c r="B610" s="51"/>
    </row>
    <row r="611" spans="1:2" x14ac:dyDescent="0.25">
      <c r="A611" s="50"/>
      <c r="B611" s="51" t="s">
        <v>293</v>
      </c>
    </row>
    <row r="612" spans="1:2" x14ac:dyDescent="0.25">
      <c r="A612" s="50"/>
      <c r="B612" s="51"/>
    </row>
    <row r="613" spans="1:2" x14ac:dyDescent="0.25">
      <c r="A613" s="50"/>
      <c r="B613" s="51" t="s">
        <v>537</v>
      </c>
    </row>
    <row r="614" spans="1:2" x14ac:dyDescent="0.25">
      <c r="A614" s="50"/>
      <c r="B614" s="51"/>
    </row>
    <row r="615" spans="1:2" x14ac:dyDescent="0.25">
      <c r="A615" s="50"/>
      <c r="B615" s="51" t="s">
        <v>538</v>
      </c>
    </row>
    <row r="616" spans="1:2" x14ac:dyDescent="0.25">
      <c r="A616" s="50"/>
      <c r="B616" s="51"/>
    </row>
    <row r="617" spans="1:2" x14ac:dyDescent="0.25">
      <c r="A617" s="50"/>
      <c r="B617" s="51" t="s">
        <v>539</v>
      </c>
    </row>
    <row r="618" spans="1:2" x14ac:dyDescent="0.25">
      <c r="A618" s="50"/>
      <c r="B618" s="51"/>
    </row>
    <row r="619" spans="1:2" x14ac:dyDescent="0.25">
      <c r="A619" s="50"/>
      <c r="B619" s="51" t="s">
        <v>540</v>
      </c>
    </row>
    <row r="620" spans="1:2" x14ac:dyDescent="0.25">
      <c r="A620" s="50"/>
      <c r="B620" s="51"/>
    </row>
    <row r="621" spans="1:2" x14ac:dyDescent="0.25">
      <c r="A621" s="50"/>
      <c r="B621" s="51" t="s">
        <v>511</v>
      </c>
    </row>
    <row r="622" spans="1:2" x14ac:dyDescent="0.25">
      <c r="A622" s="50"/>
      <c r="B622" s="51"/>
    </row>
    <row r="623" spans="1:2" x14ac:dyDescent="0.25">
      <c r="A623" s="50"/>
      <c r="B623" s="51" t="s">
        <v>541</v>
      </c>
    </row>
    <row r="624" spans="1:2" x14ac:dyDescent="0.25">
      <c r="A624" s="50"/>
      <c r="B624" s="51"/>
    </row>
    <row r="625" spans="1:2" x14ac:dyDescent="0.25">
      <c r="A625" s="50"/>
      <c r="B625" s="51" t="s">
        <v>542</v>
      </c>
    </row>
    <row r="626" spans="1:2" x14ac:dyDescent="0.25">
      <c r="A626" s="50"/>
      <c r="B626" s="51"/>
    </row>
    <row r="627" spans="1:2" x14ac:dyDescent="0.25">
      <c r="A627" s="50"/>
      <c r="B627" s="51" t="s">
        <v>543</v>
      </c>
    </row>
    <row r="628" spans="1:2" x14ac:dyDescent="0.25">
      <c r="A628" s="50"/>
      <c r="B628" s="51"/>
    </row>
    <row r="629" spans="1:2" x14ac:dyDescent="0.25">
      <c r="A629" s="50"/>
      <c r="B629" s="51" t="s">
        <v>544</v>
      </c>
    </row>
    <row r="630" spans="1:2" x14ac:dyDescent="0.25">
      <c r="A630" s="50"/>
      <c r="B630" s="51"/>
    </row>
    <row r="631" spans="1:2" x14ac:dyDescent="0.25">
      <c r="A631" s="50"/>
      <c r="B631" s="51" t="s">
        <v>545</v>
      </c>
    </row>
    <row r="632" spans="1:2" x14ac:dyDescent="0.25">
      <c r="A632" s="50"/>
      <c r="B632" s="51"/>
    </row>
    <row r="633" spans="1:2" x14ac:dyDescent="0.25">
      <c r="A633" s="50"/>
      <c r="B633" s="51" t="s">
        <v>503</v>
      </c>
    </row>
    <row r="634" spans="1:2" x14ac:dyDescent="0.25">
      <c r="A634" s="50"/>
      <c r="B634" s="51"/>
    </row>
    <row r="635" spans="1:2" x14ac:dyDescent="0.25">
      <c r="A635" s="50"/>
      <c r="B635" s="51" t="s">
        <v>546</v>
      </c>
    </row>
    <row r="636" spans="1:2" x14ac:dyDescent="0.25">
      <c r="A636" s="50"/>
      <c r="B636" s="51"/>
    </row>
    <row r="637" spans="1:2" x14ac:dyDescent="0.25">
      <c r="A637" s="50"/>
      <c r="B637" s="51" t="s">
        <v>547</v>
      </c>
    </row>
    <row r="638" spans="1:2" x14ac:dyDescent="0.25">
      <c r="A638" s="50"/>
      <c r="B638" s="51"/>
    </row>
    <row r="639" spans="1:2" x14ac:dyDescent="0.25">
      <c r="A639" s="50"/>
      <c r="B639" s="51" t="s">
        <v>548</v>
      </c>
    </row>
    <row r="640" spans="1:2" x14ac:dyDescent="0.25">
      <c r="A640" s="50"/>
      <c r="B640" s="51"/>
    </row>
    <row r="641" spans="1:2" x14ac:dyDescent="0.25">
      <c r="A641" s="50"/>
      <c r="B641" s="51" t="s">
        <v>549</v>
      </c>
    </row>
    <row r="642" spans="1:2" x14ac:dyDescent="0.25">
      <c r="A642" s="50"/>
      <c r="B642" s="51"/>
    </row>
    <row r="643" spans="1:2" x14ac:dyDescent="0.25">
      <c r="A643" s="50"/>
      <c r="B643" s="51" t="s">
        <v>276</v>
      </c>
    </row>
    <row r="644" spans="1:2" x14ac:dyDescent="0.25">
      <c r="A644" s="50"/>
      <c r="B644" s="51"/>
    </row>
    <row r="645" spans="1:2" x14ac:dyDescent="0.25">
      <c r="A645" s="50"/>
      <c r="B645" s="51" t="s">
        <v>550</v>
      </c>
    </row>
    <row r="646" spans="1:2" x14ac:dyDescent="0.25">
      <c r="A646" s="50"/>
      <c r="B646" s="51"/>
    </row>
    <row r="647" spans="1:2" x14ac:dyDescent="0.25">
      <c r="A647" s="50"/>
      <c r="B647" s="51" t="s">
        <v>286</v>
      </c>
    </row>
    <row r="648" spans="1:2" x14ac:dyDescent="0.25">
      <c r="A648" s="50"/>
      <c r="B648" s="51"/>
    </row>
    <row r="649" spans="1:2" x14ac:dyDescent="0.25">
      <c r="A649" s="50"/>
      <c r="B649" s="51" t="s">
        <v>274</v>
      </c>
    </row>
    <row r="650" spans="1:2" x14ac:dyDescent="0.25">
      <c r="A650" s="50"/>
      <c r="B650" s="51"/>
    </row>
    <row r="651" spans="1:2" x14ac:dyDescent="0.25">
      <c r="A651" s="50"/>
      <c r="B651" s="51" t="s">
        <v>551</v>
      </c>
    </row>
    <row r="652" spans="1:2" x14ac:dyDescent="0.25">
      <c r="A652" s="50"/>
      <c r="B652" s="51"/>
    </row>
    <row r="653" spans="1:2" x14ac:dyDescent="0.25">
      <c r="A653" s="50"/>
      <c r="B653" s="51" t="s">
        <v>552</v>
      </c>
    </row>
    <row r="654" spans="1:2" x14ac:dyDescent="0.25">
      <c r="A654" s="50"/>
      <c r="B654" s="51"/>
    </row>
    <row r="655" spans="1:2" x14ac:dyDescent="0.25">
      <c r="A655" s="50"/>
      <c r="B655" s="51" t="s">
        <v>553</v>
      </c>
    </row>
    <row r="656" spans="1:2" x14ac:dyDescent="0.25">
      <c r="A656" s="50"/>
      <c r="B656" s="51"/>
    </row>
    <row r="657" spans="1:2" x14ac:dyDescent="0.25">
      <c r="A657" s="50"/>
      <c r="B657" s="51" t="s">
        <v>554</v>
      </c>
    </row>
    <row r="658" spans="1:2" x14ac:dyDescent="0.25">
      <c r="A658" s="50"/>
      <c r="B658" s="51"/>
    </row>
    <row r="659" spans="1:2" x14ac:dyDescent="0.25">
      <c r="A659" s="50"/>
      <c r="B659" s="51" t="s">
        <v>555</v>
      </c>
    </row>
    <row r="660" spans="1:2" x14ac:dyDescent="0.25">
      <c r="A660" s="50"/>
      <c r="B660" s="51"/>
    </row>
    <row r="661" spans="1:2" x14ac:dyDescent="0.25">
      <c r="A661" s="50"/>
      <c r="B661" s="51" t="s">
        <v>556</v>
      </c>
    </row>
    <row r="662" spans="1:2" x14ac:dyDescent="0.25">
      <c r="A662" s="50"/>
      <c r="B662" s="51"/>
    </row>
    <row r="663" spans="1:2" x14ac:dyDescent="0.25">
      <c r="A663" s="50"/>
      <c r="B663" s="51" t="s">
        <v>557</v>
      </c>
    </row>
    <row r="664" spans="1:2" x14ac:dyDescent="0.25">
      <c r="A664" s="50"/>
      <c r="B664" s="51"/>
    </row>
    <row r="665" spans="1:2" x14ac:dyDescent="0.25">
      <c r="A665" s="50"/>
      <c r="B665" s="51" t="s">
        <v>558</v>
      </c>
    </row>
    <row r="666" spans="1:2" x14ac:dyDescent="0.25">
      <c r="A666" s="50"/>
      <c r="B666" s="51"/>
    </row>
    <row r="667" spans="1:2" x14ac:dyDescent="0.25">
      <c r="A667" s="50"/>
      <c r="B667" s="51" t="s">
        <v>293</v>
      </c>
    </row>
    <row r="668" spans="1:2" x14ac:dyDescent="0.25">
      <c r="A668" s="50"/>
      <c r="B668" s="51"/>
    </row>
    <row r="669" spans="1:2" x14ac:dyDescent="0.25">
      <c r="A669" s="50"/>
      <c r="B669" s="51" t="s">
        <v>288</v>
      </c>
    </row>
    <row r="670" spans="1:2" x14ac:dyDescent="0.25">
      <c r="A670" s="50"/>
      <c r="B670" s="51"/>
    </row>
    <row r="671" spans="1:2" x14ac:dyDescent="0.25">
      <c r="A671" s="50"/>
      <c r="B671" s="51" t="s">
        <v>535</v>
      </c>
    </row>
    <row r="672" spans="1:2" x14ac:dyDescent="0.25">
      <c r="A672" s="50"/>
      <c r="B672" s="51"/>
    </row>
    <row r="673" spans="1:2" x14ac:dyDescent="0.25">
      <c r="A673" s="50"/>
      <c r="B673" s="51" t="s">
        <v>559</v>
      </c>
    </row>
    <row r="674" spans="1:2" x14ac:dyDescent="0.25">
      <c r="A674" s="50"/>
      <c r="B674" s="51"/>
    </row>
    <row r="675" spans="1:2" x14ac:dyDescent="0.25">
      <c r="A675" s="50"/>
      <c r="B675" s="51" t="s">
        <v>560</v>
      </c>
    </row>
    <row r="676" spans="1:2" x14ac:dyDescent="0.25">
      <c r="A676" s="50"/>
      <c r="B676" s="51"/>
    </row>
    <row r="677" spans="1:2" x14ac:dyDescent="0.25">
      <c r="A677" s="50"/>
      <c r="B677" s="51" t="s">
        <v>561</v>
      </c>
    </row>
    <row r="678" spans="1:2" x14ac:dyDescent="0.25">
      <c r="A678" s="50"/>
      <c r="B678" s="51"/>
    </row>
    <row r="679" spans="1:2" x14ac:dyDescent="0.25">
      <c r="A679" s="50"/>
      <c r="B679" s="51" t="s">
        <v>562</v>
      </c>
    </row>
    <row r="680" spans="1:2" x14ac:dyDescent="0.25">
      <c r="A680" s="50"/>
      <c r="B680" s="51"/>
    </row>
    <row r="681" spans="1:2" x14ac:dyDescent="0.25">
      <c r="A681" s="50"/>
      <c r="B681" s="51" t="s">
        <v>359</v>
      </c>
    </row>
    <row r="682" spans="1:2" x14ac:dyDescent="0.25">
      <c r="A682" s="50"/>
      <c r="B682" s="51"/>
    </row>
    <row r="683" spans="1:2" x14ac:dyDescent="0.25">
      <c r="A683" s="50"/>
      <c r="B683" s="51" t="s">
        <v>563</v>
      </c>
    </row>
    <row r="684" spans="1:2" x14ac:dyDescent="0.25">
      <c r="A684" s="50"/>
      <c r="B684" s="51"/>
    </row>
    <row r="685" spans="1:2" x14ac:dyDescent="0.25">
      <c r="A685" s="50"/>
      <c r="B685" s="51" t="s">
        <v>296</v>
      </c>
    </row>
    <row r="686" spans="1:2" x14ac:dyDescent="0.25">
      <c r="A686" s="50"/>
      <c r="B686" s="51"/>
    </row>
    <row r="687" spans="1:2" x14ac:dyDescent="0.25">
      <c r="A687" s="50"/>
      <c r="B687" s="51" t="s">
        <v>299</v>
      </c>
    </row>
    <row r="688" spans="1:2" x14ac:dyDescent="0.25">
      <c r="A688" s="50"/>
      <c r="B688" s="51"/>
    </row>
    <row r="689" spans="1:2" x14ac:dyDescent="0.25">
      <c r="A689" s="50"/>
      <c r="B689" s="51" t="s">
        <v>300</v>
      </c>
    </row>
    <row r="690" spans="1:2" x14ac:dyDescent="0.25">
      <c r="A690" s="50"/>
      <c r="B690" s="51"/>
    </row>
    <row r="691" spans="1:2" x14ac:dyDescent="0.25">
      <c r="A691" s="50"/>
      <c r="B691" s="51" t="s">
        <v>564</v>
      </c>
    </row>
    <row r="692" spans="1:2" x14ac:dyDescent="0.25">
      <c r="A692" s="50"/>
      <c r="B692" s="51"/>
    </row>
    <row r="693" spans="1:2" x14ac:dyDescent="0.25">
      <c r="A693" s="50"/>
      <c r="B693" s="51" t="s">
        <v>565</v>
      </c>
    </row>
    <row r="694" spans="1:2" x14ac:dyDescent="0.25">
      <c r="A694" s="50"/>
      <c r="B694" s="51"/>
    </row>
    <row r="695" spans="1:2" x14ac:dyDescent="0.25">
      <c r="A695" s="50"/>
      <c r="B695" s="51" t="s">
        <v>566</v>
      </c>
    </row>
    <row r="696" spans="1:2" x14ac:dyDescent="0.25">
      <c r="A696" s="50"/>
      <c r="B696" s="51"/>
    </row>
    <row r="697" spans="1:2" x14ac:dyDescent="0.25">
      <c r="A697" s="50"/>
      <c r="B697" s="51" t="s">
        <v>567</v>
      </c>
    </row>
    <row r="698" spans="1:2" x14ac:dyDescent="0.25">
      <c r="A698" s="50"/>
      <c r="B698" s="51"/>
    </row>
    <row r="699" spans="1:2" x14ac:dyDescent="0.25">
      <c r="A699" s="50"/>
      <c r="B699" s="51" t="s">
        <v>568</v>
      </c>
    </row>
    <row r="700" spans="1:2" x14ac:dyDescent="0.25">
      <c r="A700" s="50"/>
      <c r="B700" s="51"/>
    </row>
    <row r="701" spans="1:2" x14ac:dyDescent="0.25">
      <c r="A701" s="50"/>
      <c r="B701" s="51" t="s">
        <v>388</v>
      </c>
    </row>
    <row r="702" spans="1:2" x14ac:dyDescent="0.25">
      <c r="A702" s="50"/>
      <c r="B702" s="51"/>
    </row>
    <row r="703" spans="1:2" x14ac:dyDescent="0.25">
      <c r="A703" s="50"/>
      <c r="B703" s="51" t="s">
        <v>569</v>
      </c>
    </row>
    <row r="704" spans="1:2" x14ac:dyDescent="0.25">
      <c r="A704" s="50"/>
      <c r="B704" s="51"/>
    </row>
    <row r="705" spans="1:2" x14ac:dyDescent="0.25">
      <c r="A705" s="50"/>
      <c r="B705" s="51" t="s">
        <v>570</v>
      </c>
    </row>
    <row r="706" spans="1:2" x14ac:dyDescent="0.25">
      <c r="A706" s="50"/>
      <c r="B706" s="51"/>
    </row>
    <row r="707" spans="1:2" x14ac:dyDescent="0.25">
      <c r="A707" s="50"/>
      <c r="B707" s="51" t="s">
        <v>571</v>
      </c>
    </row>
    <row r="708" spans="1:2" x14ac:dyDescent="0.25">
      <c r="A708" s="50"/>
      <c r="B708" s="51"/>
    </row>
    <row r="709" spans="1:2" x14ac:dyDescent="0.25">
      <c r="A709" s="50"/>
      <c r="B709" s="51" t="s">
        <v>572</v>
      </c>
    </row>
    <row r="710" spans="1:2" x14ac:dyDescent="0.25">
      <c r="A710" s="50"/>
      <c r="B710" s="51"/>
    </row>
    <row r="711" spans="1:2" x14ac:dyDescent="0.25">
      <c r="A711" s="50"/>
      <c r="B711" s="51" t="s">
        <v>573</v>
      </c>
    </row>
    <row r="712" spans="1:2" x14ac:dyDescent="0.25">
      <c r="A712" s="50"/>
      <c r="B712" s="51"/>
    </row>
    <row r="713" spans="1:2" x14ac:dyDescent="0.25">
      <c r="A713" s="50"/>
      <c r="B713" s="51" t="s">
        <v>320</v>
      </c>
    </row>
    <row r="714" spans="1:2" x14ac:dyDescent="0.25">
      <c r="A714" s="50"/>
      <c r="B714" s="51"/>
    </row>
    <row r="715" spans="1:2" x14ac:dyDescent="0.25">
      <c r="A715" s="50"/>
      <c r="B715" s="51" t="s">
        <v>343</v>
      </c>
    </row>
    <row r="716" spans="1:2" x14ac:dyDescent="0.25">
      <c r="A716" s="50"/>
      <c r="B716" s="51"/>
    </row>
    <row r="717" spans="1:2" x14ac:dyDescent="0.25">
      <c r="A717" s="50"/>
      <c r="B717" s="51" t="s">
        <v>574</v>
      </c>
    </row>
    <row r="718" spans="1:2" x14ac:dyDescent="0.25">
      <c r="A718" s="50"/>
      <c r="B718" s="51"/>
    </row>
    <row r="719" spans="1:2" x14ac:dyDescent="0.25">
      <c r="A719" s="50"/>
      <c r="B719" s="51" t="s">
        <v>575</v>
      </c>
    </row>
    <row r="720" spans="1:2" x14ac:dyDescent="0.25">
      <c r="A720" s="50"/>
      <c r="B720" s="51"/>
    </row>
    <row r="721" spans="1:2" x14ac:dyDescent="0.25">
      <c r="A721" s="50"/>
      <c r="B721" s="51" t="s">
        <v>293</v>
      </c>
    </row>
    <row r="722" spans="1:2" x14ac:dyDescent="0.25">
      <c r="A722" s="50"/>
      <c r="B722" s="51"/>
    </row>
    <row r="723" spans="1:2" x14ac:dyDescent="0.25">
      <c r="A723" s="50"/>
      <c r="B723" s="51" t="s">
        <v>576</v>
      </c>
    </row>
    <row r="724" spans="1:2" x14ac:dyDescent="0.25">
      <c r="A724" s="50"/>
      <c r="B724" s="51"/>
    </row>
    <row r="725" spans="1:2" x14ac:dyDescent="0.25">
      <c r="A725" s="50"/>
      <c r="B725" s="51" t="s">
        <v>577</v>
      </c>
    </row>
    <row r="726" spans="1:2" x14ac:dyDescent="0.25">
      <c r="A726" s="50"/>
      <c r="B726" s="51"/>
    </row>
    <row r="727" spans="1:2" x14ac:dyDescent="0.25">
      <c r="A727" s="50"/>
      <c r="B727" s="51" t="s">
        <v>578</v>
      </c>
    </row>
    <row r="728" spans="1:2" x14ac:dyDescent="0.25">
      <c r="A728" s="50"/>
      <c r="B728" s="51"/>
    </row>
    <row r="729" spans="1:2" x14ac:dyDescent="0.25">
      <c r="A729" s="50"/>
      <c r="B729" s="51" t="s">
        <v>579</v>
      </c>
    </row>
    <row r="730" spans="1:2" x14ac:dyDescent="0.25">
      <c r="A730" s="50"/>
      <c r="B730" s="51"/>
    </row>
    <row r="731" spans="1:2" x14ac:dyDescent="0.25">
      <c r="A731" s="50"/>
      <c r="B731" s="51" t="s">
        <v>580</v>
      </c>
    </row>
    <row r="732" spans="1:2" x14ac:dyDescent="0.25">
      <c r="A732" s="50"/>
      <c r="B732" s="51"/>
    </row>
    <row r="733" spans="1:2" x14ac:dyDescent="0.25">
      <c r="A733" s="50"/>
      <c r="B733" s="51" t="s">
        <v>581</v>
      </c>
    </row>
    <row r="734" spans="1:2" x14ac:dyDescent="0.25">
      <c r="A734" s="50"/>
      <c r="B734" s="51"/>
    </row>
    <row r="735" spans="1:2" x14ac:dyDescent="0.25">
      <c r="A735" s="50"/>
      <c r="B735" s="51" t="s">
        <v>582</v>
      </c>
    </row>
    <row r="736" spans="1:2" x14ac:dyDescent="0.25">
      <c r="A736" s="50"/>
      <c r="B736" s="51"/>
    </row>
    <row r="737" spans="1:2" x14ac:dyDescent="0.25">
      <c r="A737" s="50"/>
      <c r="B737" s="51" t="s">
        <v>583</v>
      </c>
    </row>
    <row r="738" spans="1:2" x14ac:dyDescent="0.25">
      <c r="A738" s="50"/>
      <c r="B738" s="51"/>
    </row>
    <row r="739" spans="1:2" x14ac:dyDescent="0.25">
      <c r="A739" s="50"/>
      <c r="B739" s="51" t="s">
        <v>310</v>
      </c>
    </row>
    <row r="740" spans="1:2" x14ac:dyDescent="0.25">
      <c r="A740" s="50"/>
      <c r="B740" s="51"/>
    </row>
    <row r="741" spans="1:2" x14ac:dyDescent="0.25">
      <c r="A741" s="50"/>
      <c r="B741" s="51" t="s">
        <v>584</v>
      </c>
    </row>
    <row r="742" spans="1:2" x14ac:dyDescent="0.25">
      <c r="A742" s="50"/>
      <c r="B742" s="51"/>
    </row>
    <row r="743" spans="1:2" x14ac:dyDescent="0.25">
      <c r="A743" s="50"/>
      <c r="B743" s="51" t="s">
        <v>585</v>
      </c>
    </row>
    <row r="744" spans="1:2" x14ac:dyDescent="0.25">
      <c r="A744" s="50"/>
      <c r="B744" s="51"/>
    </row>
    <row r="745" spans="1:2" x14ac:dyDescent="0.25">
      <c r="A745" s="50"/>
      <c r="B745" s="51" t="s">
        <v>586</v>
      </c>
    </row>
    <row r="746" spans="1:2" x14ac:dyDescent="0.25">
      <c r="A746" s="50"/>
      <c r="B746" s="51"/>
    </row>
    <row r="747" spans="1:2" x14ac:dyDescent="0.25">
      <c r="A747" s="50"/>
      <c r="B747" s="51" t="s">
        <v>587</v>
      </c>
    </row>
    <row r="748" spans="1:2" x14ac:dyDescent="0.25">
      <c r="A748" s="50"/>
      <c r="B748" s="51"/>
    </row>
    <row r="749" spans="1:2" x14ac:dyDescent="0.25">
      <c r="A749" s="50"/>
      <c r="B749" s="51" t="s">
        <v>588</v>
      </c>
    </row>
    <row r="750" spans="1:2" x14ac:dyDescent="0.25">
      <c r="A750" s="50"/>
      <c r="B750" s="51"/>
    </row>
    <row r="751" spans="1:2" x14ac:dyDescent="0.25">
      <c r="A751" s="50"/>
      <c r="B751" s="51" t="s">
        <v>589</v>
      </c>
    </row>
    <row r="752" spans="1:2" x14ac:dyDescent="0.25">
      <c r="A752" s="50"/>
      <c r="B752" s="51"/>
    </row>
    <row r="753" spans="1:2" x14ac:dyDescent="0.25">
      <c r="A753" s="50"/>
      <c r="B753" s="51" t="s">
        <v>590</v>
      </c>
    </row>
    <row r="754" spans="1:2" x14ac:dyDescent="0.25">
      <c r="A754" s="50"/>
      <c r="B754" s="51"/>
    </row>
    <row r="755" spans="1:2" x14ac:dyDescent="0.25">
      <c r="A755" s="50"/>
      <c r="B755" s="51" t="s">
        <v>591</v>
      </c>
    </row>
    <row r="756" spans="1:2" x14ac:dyDescent="0.25">
      <c r="A756" s="50"/>
      <c r="B756" s="51"/>
    </row>
    <row r="757" spans="1:2" x14ac:dyDescent="0.25">
      <c r="A757" s="50"/>
      <c r="B757" s="51" t="s">
        <v>592</v>
      </c>
    </row>
    <row r="758" spans="1:2" x14ac:dyDescent="0.25">
      <c r="A758" s="50"/>
      <c r="B758" s="51"/>
    </row>
    <row r="759" spans="1:2" x14ac:dyDescent="0.25">
      <c r="A759" s="50"/>
      <c r="B759" s="51" t="s">
        <v>593</v>
      </c>
    </row>
    <row r="760" spans="1:2" x14ac:dyDescent="0.25">
      <c r="A760" s="50"/>
      <c r="B760" s="51"/>
    </row>
    <row r="761" spans="1:2" x14ac:dyDescent="0.25">
      <c r="A761" s="50"/>
      <c r="B761" s="51" t="s">
        <v>594</v>
      </c>
    </row>
    <row r="762" spans="1:2" x14ac:dyDescent="0.25">
      <c r="A762" s="50"/>
      <c r="B762" s="51"/>
    </row>
    <row r="763" spans="1:2" x14ac:dyDescent="0.25">
      <c r="A763" s="50"/>
      <c r="B763" s="51" t="s">
        <v>595</v>
      </c>
    </row>
    <row r="764" spans="1:2" x14ac:dyDescent="0.25">
      <c r="A764" s="50"/>
      <c r="B764" s="51"/>
    </row>
    <row r="765" spans="1:2" x14ac:dyDescent="0.25">
      <c r="A765" s="50"/>
      <c r="B765" s="51" t="s">
        <v>391</v>
      </c>
    </row>
    <row r="766" spans="1:2" x14ac:dyDescent="0.25">
      <c r="A766" s="50"/>
      <c r="B766" s="51"/>
    </row>
    <row r="767" spans="1:2" x14ac:dyDescent="0.25">
      <c r="A767" s="50"/>
      <c r="B767" s="51" t="s">
        <v>394</v>
      </c>
    </row>
    <row r="768" spans="1:2" x14ac:dyDescent="0.25">
      <c r="A768" s="50"/>
      <c r="B768" s="51"/>
    </row>
    <row r="769" spans="1:2" x14ac:dyDescent="0.25">
      <c r="A769" s="50"/>
      <c r="B769" s="51" t="s">
        <v>596</v>
      </c>
    </row>
    <row r="770" spans="1:2" x14ac:dyDescent="0.25">
      <c r="A770" s="50"/>
      <c r="B770" s="51"/>
    </row>
    <row r="771" spans="1:2" x14ac:dyDescent="0.25">
      <c r="A771" s="50"/>
      <c r="B771" s="51" t="s">
        <v>597</v>
      </c>
    </row>
    <row r="772" spans="1:2" x14ac:dyDescent="0.25">
      <c r="A772" s="50"/>
      <c r="B772" s="51"/>
    </row>
    <row r="773" spans="1:2" x14ac:dyDescent="0.25">
      <c r="A773" s="50"/>
      <c r="B773" s="51" t="s">
        <v>536</v>
      </c>
    </row>
    <row r="774" spans="1:2" x14ac:dyDescent="0.25">
      <c r="A774" s="50"/>
      <c r="B774" s="51"/>
    </row>
    <row r="775" spans="1:2" x14ac:dyDescent="0.25">
      <c r="A775" s="50"/>
      <c r="B775" s="51" t="s">
        <v>598</v>
      </c>
    </row>
    <row r="776" spans="1:2" x14ac:dyDescent="0.25">
      <c r="A776" s="50"/>
      <c r="B776" s="51"/>
    </row>
    <row r="777" spans="1:2" x14ac:dyDescent="0.25">
      <c r="A777" s="50"/>
      <c r="B777" s="51" t="s">
        <v>599</v>
      </c>
    </row>
    <row r="778" spans="1:2" x14ac:dyDescent="0.25">
      <c r="A778" s="50"/>
      <c r="B778" s="51"/>
    </row>
    <row r="779" spans="1:2" x14ac:dyDescent="0.25">
      <c r="A779" s="50"/>
      <c r="B779" s="51" t="s">
        <v>600</v>
      </c>
    </row>
    <row r="780" spans="1:2" x14ac:dyDescent="0.25">
      <c r="A780" s="50"/>
      <c r="B780" s="51"/>
    </row>
    <row r="781" spans="1:2" x14ac:dyDescent="0.25">
      <c r="A781" s="50"/>
      <c r="B781" s="51" t="s">
        <v>601</v>
      </c>
    </row>
    <row r="782" spans="1:2" x14ac:dyDescent="0.25">
      <c r="A782" s="50"/>
      <c r="B782" s="51"/>
    </row>
    <row r="783" spans="1:2" x14ac:dyDescent="0.25">
      <c r="A783" s="50"/>
      <c r="B783" s="51" t="s">
        <v>290</v>
      </c>
    </row>
    <row r="784" spans="1:2" x14ac:dyDescent="0.25">
      <c r="A784" s="50"/>
      <c r="B784" s="51"/>
    </row>
    <row r="785" spans="1:2" x14ac:dyDescent="0.25">
      <c r="A785" s="50"/>
      <c r="B785" s="51" t="s">
        <v>307</v>
      </c>
    </row>
    <row r="786" spans="1:2" x14ac:dyDescent="0.25">
      <c r="A786" s="50"/>
      <c r="B786" s="51"/>
    </row>
    <row r="787" spans="1:2" x14ac:dyDescent="0.25">
      <c r="A787" s="50"/>
      <c r="B787" s="51" t="s">
        <v>371</v>
      </c>
    </row>
    <row r="788" spans="1:2" x14ac:dyDescent="0.25">
      <c r="A788" s="50"/>
      <c r="B788" s="51"/>
    </row>
    <row r="789" spans="1:2" x14ac:dyDescent="0.25">
      <c r="A789" s="50"/>
      <c r="B789" s="51" t="s">
        <v>308</v>
      </c>
    </row>
    <row r="790" spans="1:2" x14ac:dyDescent="0.25">
      <c r="A790" s="50"/>
      <c r="B790" s="51"/>
    </row>
    <row r="791" spans="1:2" x14ac:dyDescent="0.25">
      <c r="A791" s="50"/>
      <c r="B791" s="51" t="s">
        <v>378</v>
      </c>
    </row>
    <row r="792" spans="1:2" x14ac:dyDescent="0.25">
      <c r="A792" s="50"/>
      <c r="B792" s="51"/>
    </row>
    <row r="793" spans="1:2" x14ac:dyDescent="0.25">
      <c r="A793" s="50"/>
      <c r="B793" s="51" t="s">
        <v>344</v>
      </c>
    </row>
    <row r="794" spans="1:2" x14ac:dyDescent="0.25">
      <c r="A794" s="50"/>
      <c r="B794" s="51"/>
    </row>
    <row r="795" spans="1:2" x14ac:dyDescent="0.25">
      <c r="A795" s="50"/>
      <c r="B795" s="51" t="s">
        <v>514</v>
      </c>
    </row>
    <row r="796" spans="1:2" x14ac:dyDescent="0.25">
      <c r="A796" s="50"/>
      <c r="B796" s="51"/>
    </row>
    <row r="797" spans="1:2" x14ac:dyDescent="0.25">
      <c r="A797" s="50"/>
      <c r="B797" s="51" t="s">
        <v>602</v>
      </c>
    </row>
    <row r="798" spans="1:2" x14ac:dyDescent="0.25">
      <c r="A798" s="50"/>
      <c r="B798" s="51"/>
    </row>
    <row r="799" spans="1:2" x14ac:dyDescent="0.25">
      <c r="A799" s="50"/>
      <c r="B799" s="51" t="s">
        <v>603</v>
      </c>
    </row>
    <row r="800" spans="1:2" x14ac:dyDescent="0.25">
      <c r="A800" s="50"/>
      <c r="B800" s="51"/>
    </row>
    <row r="801" spans="1:2" x14ac:dyDescent="0.25">
      <c r="A801" s="50"/>
      <c r="B801" s="51" t="s">
        <v>303</v>
      </c>
    </row>
    <row r="802" spans="1:2" x14ac:dyDescent="0.25">
      <c r="A802" s="50"/>
      <c r="B802" s="51"/>
    </row>
    <row r="803" spans="1:2" x14ac:dyDescent="0.25">
      <c r="A803" s="50"/>
      <c r="B803" s="51" t="s">
        <v>334</v>
      </c>
    </row>
    <row r="804" spans="1:2" x14ac:dyDescent="0.25">
      <c r="A804" s="50"/>
      <c r="B804" s="51"/>
    </row>
    <row r="805" spans="1:2" x14ac:dyDescent="0.25">
      <c r="A805" s="50"/>
      <c r="B805" s="51" t="s">
        <v>348</v>
      </c>
    </row>
    <row r="806" spans="1:2" x14ac:dyDescent="0.25">
      <c r="A806" s="50"/>
      <c r="B806" s="51"/>
    </row>
    <row r="807" spans="1:2" x14ac:dyDescent="0.25">
      <c r="A807" s="50"/>
      <c r="B807" s="51" t="s">
        <v>381</v>
      </c>
    </row>
    <row r="808" spans="1:2" x14ac:dyDescent="0.25">
      <c r="A808" s="50"/>
      <c r="B808" s="51"/>
    </row>
    <row r="809" spans="1:2" x14ac:dyDescent="0.25">
      <c r="A809" s="50"/>
      <c r="B809" s="51" t="s">
        <v>309</v>
      </c>
    </row>
    <row r="810" spans="1:2" x14ac:dyDescent="0.25">
      <c r="A810" s="50"/>
      <c r="B810" s="51"/>
    </row>
    <row r="811" spans="1:2" x14ac:dyDescent="0.25">
      <c r="A811" s="50"/>
      <c r="B811" s="51" t="s">
        <v>358</v>
      </c>
    </row>
    <row r="812" spans="1:2" x14ac:dyDescent="0.25">
      <c r="A812" s="50"/>
      <c r="B812" s="51"/>
    </row>
    <row r="813" spans="1:2" x14ac:dyDescent="0.25">
      <c r="A813" s="50"/>
      <c r="B813" s="51" t="s">
        <v>311</v>
      </c>
    </row>
    <row r="814" spans="1:2" x14ac:dyDescent="0.25">
      <c r="A814" s="50"/>
      <c r="B814" s="51"/>
    </row>
    <row r="815" spans="1:2" x14ac:dyDescent="0.25">
      <c r="A815" s="50"/>
      <c r="B815" s="51" t="s">
        <v>346</v>
      </c>
    </row>
    <row r="816" spans="1:2" x14ac:dyDescent="0.25">
      <c r="A816" s="50"/>
      <c r="B816" s="51"/>
    </row>
    <row r="817" spans="1:2" x14ac:dyDescent="0.25">
      <c r="A817" s="50"/>
      <c r="B817" s="51" t="s">
        <v>312</v>
      </c>
    </row>
    <row r="818" spans="1:2" x14ac:dyDescent="0.25">
      <c r="A818" s="50"/>
      <c r="B818" s="51"/>
    </row>
    <row r="819" spans="1:2" x14ac:dyDescent="0.25">
      <c r="A819" s="50"/>
      <c r="B819" s="51" t="s">
        <v>361</v>
      </c>
    </row>
    <row r="820" spans="1:2" x14ac:dyDescent="0.25">
      <c r="A820" s="50"/>
      <c r="B820" s="51"/>
    </row>
    <row r="821" spans="1:2" x14ac:dyDescent="0.25">
      <c r="A821" s="50"/>
      <c r="B821" s="51" t="s">
        <v>338</v>
      </c>
    </row>
    <row r="822" spans="1:2" x14ac:dyDescent="0.25">
      <c r="A822" s="50"/>
      <c r="B822" s="51"/>
    </row>
    <row r="823" spans="1:2" x14ac:dyDescent="0.25">
      <c r="A823" s="50"/>
      <c r="B823" s="51" t="s">
        <v>604</v>
      </c>
    </row>
    <row r="824" spans="1:2" x14ac:dyDescent="0.25">
      <c r="A824" s="50"/>
      <c r="B824" s="51"/>
    </row>
    <row r="825" spans="1:2" x14ac:dyDescent="0.25">
      <c r="A825" s="50"/>
      <c r="B825" s="51" t="s">
        <v>605</v>
      </c>
    </row>
    <row r="826" spans="1:2" x14ac:dyDescent="0.25">
      <c r="A826" s="50"/>
      <c r="B826" s="51"/>
    </row>
    <row r="827" spans="1:2" x14ac:dyDescent="0.25">
      <c r="A827" s="50"/>
      <c r="B827" s="51" t="s">
        <v>341</v>
      </c>
    </row>
    <row r="828" spans="1:2" x14ac:dyDescent="0.25">
      <c r="A828" s="50"/>
      <c r="B828" s="51"/>
    </row>
    <row r="829" spans="1:2" x14ac:dyDescent="0.25">
      <c r="A829" s="50"/>
      <c r="B829" s="51" t="s">
        <v>368</v>
      </c>
    </row>
    <row r="830" spans="1:2" x14ac:dyDescent="0.25">
      <c r="A830" s="50"/>
      <c r="B830" s="51"/>
    </row>
    <row r="831" spans="1:2" x14ac:dyDescent="0.25">
      <c r="A831" s="50"/>
      <c r="B831" s="51" t="s">
        <v>362</v>
      </c>
    </row>
    <row r="832" spans="1:2" x14ac:dyDescent="0.25">
      <c r="A832" s="50"/>
      <c r="B832" s="51"/>
    </row>
    <row r="833" spans="1:2" x14ac:dyDescent="0.25">
      <c r="A833" s="50"/>
      <c r="B833" s="51" t="s">
        <v>606</v>
      </c>
    </row>
    <row r="834" spans="1:2" x14ac:dyDescent="0.25">
      <c r="A834" s="50"/>
      <c r="B834" s="51"/>
    </row>
    <row r="835" spans="1:2" x14ac:dyDescent="0.25">
      <c r="A835" s="50"/>
      <c r="B835" s="51" t="s">
        <v>342</v>
      </c>
    </row>
    <row r="836" spans="1:2" x14ac:dyDescent="0.25">
      <c r="A836" s="50"/>
      <c r="B836" s="51"/>
    </row>
    <row r="837" spans="1:2" x14ac:dyDescent="0.25">
      <c r="A837" s="50"/>
      <c r="B837" s="51" t="s">
        <v>607</v>
      </c>
    </row>
    <row r="838" spans="1:2" x14ac:dyDescent="0.25">
      <c r="A838" s="50"/>
      <c r="B838" s="51"/>
    </row>
    <row r="839" spans="1:2" x14ac:dyDescent="0.25">
      <c r="A839" s="50"/>
      <c r="B839" s="51" t="s">
        <v>335</v>
      </c>
    </row>
    <row r="840" spans="1:2" x14ac:dyDescent="0.25">
      <c r="A840" s="50"/>
      <c r="B840" s="51"/>
    </row>
    <row r="841" spans="1:2" x14ac:dyDescent="0.25">
      <c r="A841" s="50"/>
      <c r="B841" s="51" t="s">
        <v>608</v>
      </c>
    </row>
    <row r="842" spans="1:2" x14ac:dyDescent="0.25">
      <c r="A842" s="50"/>
      <c r="B842" s="51"/>
    </row>
    <row r="843" spans="1:2" x14ac:dyDescent="0.25">
      <c r="A843" s="50"/>
      <c r="B843" s="51" t="s">
        <v>609</v>
      </c>
    </row>
    <row r="844" spans="1:2" x14ac:dyDescent="0.25">
      <c r="A844" s="50"/>
      <c r="B844" s="51"/>
    </row>
    <row r="845" spans="1:2" x14ac:dyDescent="0.25">
      <c r="A845" s="50"/>
      <c r="B845" s="51" t="s">
        <v>317</v>
      </c>
    </row>
    <row r="846" spans="1:2" x14ac:dyDescent="0.25">
      <c r="A846" s="50"/>
      <c r="B846" s="51"/>
    </row>
    <row r="847" spans="1:2" x14ac:dyDescent="0.25">
      <c r="A847" s="50"/>
      <c r="B847" s="51" t="s">
        <v>610</v>
      </c>
    </row>
    <row r="848" spans="1:2" x14ac:dyDescent="0.25">
      <c r="A848" s="50"/>
      <c r="B848" s="51"/>
    </row>
    <row r="849" spans="1:2" x14ac:dyDescent="0.25">
      <c r="A849" s="50"/>
      <c r="B849" s="51" t="s">
        <v>611</v>
      </c>
    </row>
    <row r="850" spans="1:2" x14ac:dyDescent="0.25">
      <c r="A850" s="50"/>
      <c r="B850" s="51"/>
    </row>
    <row r="851" spans="1:2" x14ac:dyDescent="0.25">
      <c r="A851" s="50"/>
      <c r="B851" s="51" t="s">
        <v>612</v>
      </c>
    </row>
    <row r="852" spans="1:2" x14ac:dyDescent="0.25">
      <c r="A852" s="50"/>
      <c r="B852" s="51"/>
    </row>
    <row r="853" spans="1:2" x14ac:dyDescent="0.25">
      <c r="A853" s="50"/>
      <c r="B853" s="51" t="s">
        <v>318</v>
      </c>
    </row>
    <row r="854" spans="1:2" x14ac:dyDescent="0.25">
      <c r="A854" s="50"/>
      <c r="B854" s="51"/>
    </row>
    <row r="855" spans="1:2" x14ac:dyDescent="0.25">
      <c r="A855" s="50"/>
      <c r="B855" s="51" t="s">
        <v>323</v>
      </c>
    </row>
    <row r="856" spans="1:2" x14ac:dyDescent="0.25">
      <c r="A856" s="50"/>
      <c r="B856" s="51"/>
    </row>
    <row r="857" spans="1:2" x14ac:dyDescent="0.25">
      <c r="A857" s="50"/>
      <c r="B857" s="51" t="s">
        <v>357</v>
      </c>
    </row>
    <row r="858" spans="1:2" x14ac:dyDescent="0.25">
      <c r="A858" s="50"/>
      <c r="B858" s="51"/>
    </row>
    <row r="859" spans="1:2" x14ac:dyDescent="0.25">
      <c r="A859" s="50"/>
      <c r="B859" s="51" t="s">
        <v>410</v>
      </c>
    </row>
    <row r="860" spans="1:2" x14ac:dyDescent="0.25">
      <c r="A860" s="50"/>
      <c r="B860" s="51"/>
    </row>
    <row r="861" spans="1:2" x14ac:dyDescent="0.25">
      <c r="A861" s="50"/>
      <c r="B861" s="51" t="s">
        <v>428</v>
      </c>
    </row>
    <row r="862" spans="1:2" x14ac:dyDescent="0.25">
      <c r="A862" s="50"/>
      <c r="B862" s="51"/>
    </row>
    <row r="863" spans="1:2" x14ac:dyDescent="0.25">
      <c r="A863" s="50"/>
      <c r="B863" s="51" t="s">
        <v>411</v>
      </c>
    </row>
    <row r="864" spans="1:2" x14ac:dyDescent="0.25">
      <c r="A864" s="50"/>
      <c r="B864" s="51"/>
    </row>
    <row r="865" spans="1:2" x14ac:dyDescent="0.25">
      <c r="A865" s="50"/>
      <c r="B865" s="51" t="s">
        <v>500</v>
      </c>
    </row>
    <row r="866" spans="1:2" x14ac:dyDescent="0.25">
      <c r="A866" s="50"/>
      <c r="B866" s="51"/>
    </row>
    <row r="867" spans="1:2" x14ac:dyDescent="0.25">
      <c r="A867" s="50"/>
      <c r="B867" s="51" t="s">
        <v>429</v>
      </c>
    </row>
    <row r="868" spans="1:2" x14ac:dyDescent="0.25">
      <c r="A868" s="50"/>
      <c r="B868" s="51"/>
    </row>
    <row r="869" spans="1:2" x14ac:dyDescent="0.25">
      <c r="A869" s="50"/>
      <c r="B869" s="51" t="s">
        <v>613</v>
      </c>
    </row>
    <row r="870" spans="1:2" x14ac:dyDescent="0.25">
      <c r="A870" s="50"/>
      <c r="B870" s="51"/>
    </row>
    <row r="871" spans="1:2" x14ac:dyDescent="0.25">
      <c r="A871" s="50"/>
      <c r="B871" s="51" t="s">
        <v>614</v>
      </c>
    </row>
    <row r="872" spans="1:2" x14ac:dyDescent="0.25">
      <c r="A872" s="50"/>
      <c r="B872" s="51"/>
    </row>
    <row r="873" spans="1:2" x14ac:dyDescent="0.25">
      <c r="A873" s="50"/>
      <c r="B873" s="51" t="s">
        <v>324</v>
      </c>
    </row>
    <row r="874" spans="1:2" x14ac:dyDescent="0.25">
      <c r="A874" s="50"/>
      <c r="B874" s="51"/>
    </row>
    <row r="875" spans="1:2" x14ac:dyDescent="0.25">
      <c r="A875" s="50"/>
      <c r="B875" s="51" t="s">
        <v>372</v>
      </c>
    </row>
    <row r="876" spans="1:2" x14ac:dyDescent="0.25">
      <c r="A876" s="50"/>
      <c r="B876" s="51"/>
    </row>
    <row r="877" spans="1:2" x14ac:dyDescent="0.25">
      <c r="A877" s="50"/>
      <c r="B877" s="51" t="s">
        <v>615</v>
      </c>
    </row>
    <row r="878" spans="1:2" x14ac:dyDescent="0.25">
      <c r="A878" s="50"/>
      <c r="B878" s="51"/>
    </row>
    <row r="879" spans="1:2" x14ac:dyDescent="0.25">
      <c r="A879" s="50"/>
      <c r="B879" s="51" t="s">
        <v>330</v>
      </c>
    </row>
    <row r="880" spans="1:2" x14ac:dyDescent="0.25">
      <c r="A880" s="50"/>
      <c r="B880" s="51"/>
    </row>
    <row r="881" spans="1:2" x14ac:dyDescent="0.25">
      <c r="A881" s="50"/>
      <c r="B881" s="51" t="s">
        <v>355</v>
      </c>
    </row>
    <row r="882" spans="1:2" x14ac:dyDescent="0.25">
      <c r="A882" s="50"/>
      <c r="B882" s="51"/>
    </row>
    <row r="883" spans="1:2" x14ac:dyDescent="0.25">
      <c r="A883" s="50"/>
      <c r="B883" s="51" t="s">
        <v>337</v>
      </c>
    </row>
    <row r="884" spans="1:2" x14ac:dyDescent="0.25">
      <c r="A884" s="50"/>
      <c r="B884" s="51"/>
    </row>
    <row r="885" spans="1:2" x14ac:dyDescent="0.25">
      <c r="A885" s="50"/>
      <c r="B885" s="51" t="s">
        <v>329</v>
      </c>
    </row>
    <row r="886" spans="1:2" x14ac:dyDescent="0.25">
      <c r="A886" s="50"/>
      <c r="B886" s="51"/>
    </row>
    <row r="887" spans="1:2" x14ac:dyDescent="0.25">
      <c r="A887" s="50"/>
      <c r="B887" s="51" t="s">
        <v>616</v>
      </c>
    </row>
    <row r="888" spans="1:2" x14ac:dyDescent="0.25">
      <c r="A888" s="50"/>
      <c r="B888" s="51"/>
    </row>
    <row r="889" spans="1:2" x14ac:dyDescent="0.25">
      <c r="A889" s="50"/>
      <c r="B889" s="51" t="s">
        <v>617</v>
      </c>
    </row>
    <row r="890" spans="1:2" x14ac:dyDescent="0.25">
      <c r="A890" s="50"/>
      <c r="B890" s="51"/>
    </row>
    <row r="891" spans="1:2" x14ac:dyDescent="0.25">
      <c r="A891" s="50"/>
      <c r="B891" s="51" t="s">
        <v>618</v>
      </c>
    </row>
    <row r="892" spans="1:2" x14ac:dyDescent="0.25">
      <c r="A892" s="50"/>
      <c r="B892" s="51"/>
    </row>
    <row r="893" spans="1:2" x14ac:dyDescent="0.25">
      <c r="A893" s="50"/>
      <c r="B893" s="51" t="s">
        <v>619</v>
      </c>
    </row>
    <row r="894" spans="1:2" x14ac:dyDescent="0.25">
      <c r="A894" s="50"/>
      <c r="B894" s="51"/>
    </row>
    <row r="895" spans="1:2" x14ac:dyDescent="0.25">
      <c r="A895" s="50"/>
      <c r="B895" s="51" t="s">
        <v>620</v>
      </c>
    </row>
    <row r="896" spans="1:2" x14ac:dyDescent="0.25">
      <c r="A896" s="50"/>
      <c r="B896" s="51"/>
    </row>
    <row r="897" spans="1:2" x14ac:dyDescent="0.25">
      <c r="A897" s="50"/>
      <c r="B897" s="51" t="s">
        <v>621</v>
      </c>
    </row>
    <row r="898" spans="1:2" x14ac:dyDescent="0.25">
      <c r="A898" s="50"/>
      <c r="B898" s="51"/>
    </row>
    <row r="899" spans="1:2" x14ac:dyDescent="0.25">
      <c r="A899" s="50"/>
      <c r="B899" s="51" t="s">
        <v>622</v>
      </c>
    </row>
    <row r="900" spans="1:2" x14ac:dyDescent="0.25">
      <c r="A900" s="50"/>
      <c r="B900" s="51"/>
    </row>
    <row r="901" spans="1:2" x14ac:dyDescent="0.25">
      <c r="A901" s="50"/>
      <c r="B901" s="51" t="s">
        <v>623</v>
      </c>
    </row>
    <row r="902" spans="1:2" x14ac:dyDescent="0.25">
      <c r="A902" s="50"/>
      <c r="B902" s="51"/>
    </row>
    <row r="903" spans="1:2" x14ac:dyDescent="0.25">
      <c r="A903" s="50"/>
      <c r="B903" s="51" t="s">
        <v>412</v>
      </c>
    </row>
    <row r="904" spans="1:2" x14ac:dyDescent="0.25">
      <c r="A904" s="50"/>
      <c r="B904" s="51"/>
    </row>
    <row r="905" spans="1:2" x14ac:dyDescent="0.25">
      <c r="A905" s="50"/>
      <c r="B905" s="51" t="s">
        <v>301</v>
      </c>
    </row>
    <row r="906" spans="1:2" x14ac:dyDescent="0.25">
      <c r="A906" s="50"/>
      <c r="B906" s="51"/>
    </row>
    <row r="907" spans="1:2" x14ac:dyDescent="0.25">
      <c r="A907" s="50"/>
      <c r="B907" s="51" t="s">
        <v>421</v>
      </c>
    </row>
    <row r="908" spans="1:2" x14ac:dyDescent="0.25">
      <c r="A908" s="50"/>
      <c r="B908" s="51"/>
    </row>
    <row r="909" spans="1:2" x14ac:dyDescent="0.25">
      <c r="A909" s="50"/>
      <c r="B909" s="51" t="s">
        <v>315</v>
      </c>
    </row>
    <row r="910" spans="1:2" x14ac:dyDescent="0.25">
      <c r="A910" s="50"/>
      <c r="B910" s="51"/>
    </row>
    <row r="911" spans="1:2" x14ac:dyDescent="0.25">
      <c r="A911" s="50"/>
      <c r="B911" s="51" t="s">
        <v>624</v>
      </c>
    </row>
    <row r="912" spans="1:2" x14ac:dyDescent="0.25">
      <c r="A912" s="50"/>
      <c r="B912" s="51"/>
    </row>
    <row r="913" spans="1:2" x14ac:dyDescent="0.25">
      <c r="A913" s="50"/>
      <c r="B913" s="51" t="s">
        <v>422</v>
      </c>
    </row>
    <row r="914" spans="1:2" x14ac:dyDescent="0.25">
      <c r="A914" s="50"/>
      <c r="B914" s="51"/>
    </row>
    <row r="915" spans="1:2" x14ac:dyDescent="0.25">
      <c r="A915" s="50"/>
      <c r="B915" s="51" t="s">
        <v>423</v>
      </c>
    </row>
    <row r="916" spans="1:2" x14ac:dyDescent="0.25">
      <c r="A916" s="50"/>
      <c r="B916" s="51"/>
    </row>
    <row r="917" spans="1:2" x14ac:dyDescent="0.25">
      <c r="A917" s="50"/>
      <c r="B917" s="51" t="s">
        <v>430</v>
      </c>
    </row>
    <row r="918" spans="1:2" x14ac:dyDescent="0.25">
      <c r="A918" s="50"/>
      <c r="B918" s="51"/>
    </row>
    <row r="919" spans="1:2" x14ac:dyDescent="0.25">
      <c r="A919" s="50"/>
      <c r="B919" s="51" t="s">
        <v>625</v>
      </c>
    </row>
    <row r="920" spans="1:2" x14ac:dyDescent="0.25">
      <c r="A920" s="50"/>
      <c r="B920" s="51"/>
    </row>
    <row r="921" spans="1:2" x14ac:dyDescent="0.25">
      <c r="A921" s="50"/>
      <c r="B921" s="51" t="s">
        <v>626</v>
      </c>
    </row>
    <row r="922" spans="1:2" x14ac:dyDescent="0.25">
      <c r="A922" s="50"/>
      <c r="B922" s="51"/>
    </row>
    <row r="923" spans="1:2" x14ac:dyDescent="0.25">
      <c r="A923" s="50"/>
      <c r="B923" s="51" t="s">
        <v>627</v>
      </c>
    </row>
    <row r="924" spans="1:2" x14ac:dyDescent="0.25">
      <c r="A924" s="50"/>
      <c r="B924" s="51"/>
    </row>
    <row r="925" spans="1:2" x14ac:dyDescent="0.25">
      <c r="A925" s="50"/>
      <c r="B925" s="51" t="s">
        <v>628</v>
      </c>
    </row>
    <row r="926" spans="1:2" x14ac:dyDescent="0.25">
      <c r="A926" s="50"/>
      <c r="B926" s="51"/>
    </row>
    <row r="927" spans="1:2" x14ac:dyDescent="0.25">
      <c r="A927" s="50"/>
      <c r="B927" s="51" t="s">
        <v>326</v>
      </c>
    </row>
    <row r="928" spans="1:2" x14ac:dyDescent="0.25">
      <c r="A928" s="50"/>
      <c r="B928" s="51"/>
    </row>
    <row r="929" spans="1:2" x14ac:dyDescent="0.25">
      <c r="A929" s="50"/>
      <c r="B929" s="51" t="s">
        <v>336</v>
      </c>
    </row>
    <row r="930" spans="1:2" x14ac:dyDescent="0.25">
      <c r="A930" s="50"/>
      <c r="B930" s="51"/>
    </row>
    <row r="931" spans="1:2" x14ac:dyDescent="0.25">
      <c r="A931" s="50"/>
      <c r="B931" s="51" t="s">
        <v>328</v>
      </c>
    </row>
    <row r="932" spans="1:2" x14ac:dyDescent="0.25">
      <c r="A932" s="50"/>
      <c r="B932" s="51"/>
    </row>
    <row r="933" spans="1:2" x14ac:dyDescent="0.25">
      <c r="A933" s="50"/>
      <c r="B933" s="51" t="s">
        <v>629</v>
      </c>
    </row>
    <row r="934" spans="1:2" x14ac:dyDescent="0.25">
      <c r="A934" s="50"/>
      <c r="B934" s="51"/>
    </row>
    <row r="935" spans="1:2" x14ac:dyDescent="0.25">
      <c r="A935" s="50"/>
      <c r="B935" s="51" t="s">
        <v>550</v>
      </c>
    </row>
    <row r="936" spans="1:2" x14ac:dyDescent="0.25">
      <c r="A936" s="50"/>
      <c r="B936" s="51"/>
    </row>
    <row r="937" spans="1:2" x14ac:dyDescent="0.25">
      <c r="A937" s="50"/>
      <c r="B937" s="51" t="s">
        <v>409</v>
      </c>
    </row>
    <row r="938" spans="1:2" x14ac:dyDescent="0.25">
      <c r="A938" s="50"/>
      <c r="B938" s="51"/>
    </row>
    <row r="939" spans="1:2" x14ac:dyDescent="0.25">
      <c r="A939" s="50"/>
      <c r="B939" s="51" t="s">
        <v>630</v>
      </c>
    </row>
    <row r="940" spans="1:2" x14ac:dyDescent="0.25">
      <c r="A940" s="50"/>
      <c r="B940" s="51"/>
    </row>
    <row r="941" spans="1:2" x14ac:dyDescent="0.25">
      <c r="A941" s="50"/>
      <c r="B941" s="51" t="s">
        <v>390</v>
      </c>
    </row>
    <row r="942" spans="1:2" x14ac:dyDescent="0.25">
      <c r="A942" s="50"/>
      <c r="B942" s="51"/>
    </row>
    <row r="943" spans="1:2" x14ac:dyDescent="0.25">
      <c r="A943" s="50"/>
      <c r="B943" s="51" t="s">
        <v>407</v>
      </c>
    </row>
    <row r="944" spans="1:2" x14ac:dyDescent="0.25">
      <c r="A944" s="50"/>
      <c r="B944" s="51"/>
    </row>
    <row r="945" spans="1:2" x14ac:dyDescent="0.25">
      <c r="A945" s="50"/>
      <c r="B945" s="51" t="s">
        <v>631</v>
      </c>
    </row>
    <row r="946" spans="1:2" x14ac:dyDescent="0.25">
      <c r="A946" s="50"/>
      <c r="B946" s="51"/>
    </row>
    <row r="947" spans="1:2" x14ac:dyDescent="0.25">
      <c r="A947" s="50"/>
      <c r="B947" s="51" t="s">
        <v>459</v>
      </c>
    </row>
    <row r="948" spans="1:2" x14ac:dyDescent="0.25">
      <c r="A948" s="50"/>
      <c r="B948" s="51"/>
    </row>
    <row r="949" spans="1:2" x14ac:dyDescent="0.25">
      <c r="A949" s="50"/>
      <c r="B949" s="51" t="s">
        <v>380</v>
      </c>
    </row>
    <row r="950" spans="1:2" x14ac:dyDescent="0.25">
      <c r="A950" s="50"/>
      <c r="B950" s="51"/>
    </row>
    <row r="951" spans="1:2" x14ac:dyDescent="0.25">
      <c r="A951" s="50"/>
      <c r="B951" s="51" t="s">
        <v>499</v>
      </c>
    </row>
    <row r="952" spans="1:2" x14ac:dyDescent="0.25">
      <c r="A952" s="50"/>
      <c r="B952" s="51"/>
    </row>
    <row r="953" spans="1:2" x14ac:dyDescent="0.25">
      <c r="A953" s="50"/>
      <c r="B953" s="51" t="s">
        <v>403</v>
      </c>
    </row>
    <row r="954" spans="1:2" x14ac:dyDescent="0.25">
      <c r="A954" s="50"/>
      <c r="B954" s="51"/>
    </row>
    <row r="955" spans="1:2" x14ac:dyDescent="0.25">
      <c r="A955" s="50"/>
      <c r="B955" s="51" t="s">
        <v>632</v>
      </c>
    </row>
    <row r="956" spans="1:2" x14ac:dyDescent="0.25">
      <c r="A956" s="50"/>
      <c r="B956" s="51"/>
    </row>
    <row r="957" spans="1:2" x14ac:dyDescent="0.25">
      <c r="A957" s="50"/>
      <c r="B957" s="51" t="s">
        <v>486</v>
      </c>
    </row>
    <row r="958" spans="1:2" x14ac:dyDescent="0.25">
      <c r="A958" s="50"/>
      <c r="B958" s="51"/>
    </row>
    <row r="959" spans="1:2" x14ac:dyDescent="0.25">
      <c r="A959" s="50"/>
      <c r="B959" s="51" t="s">
        <v>340</v>
      </c>
    </row>
    <row r="960" spans="1:2" x14ac:dyDescent="0.25">
      <c r="A960" s="50"/>
      <c r="B960" s="51"/>
    </row>
    <row r="961" spans="1:2" x14ac:dyDescent="0.25">
      <c r="A961" s="50"/>
      <c r="B961" s="51" t="s">
        <v>375</v>
      </c>
    </row>
    <row r="962" spans="1:2" x14ac:dyDescent="0.25">
      <c r="A962" s="50"/>
      <c r="B962" s="51"/>
    </row>
    <row r="963" spans="1:2" x14ac:dyDescent="0.25">
      <c r="A963" s="50"/>
      <c r="B963" s="51" t="s">
        <v>367</v>
      </c>
    </row>
    <row r="964" spans="1:2" x14ac:dyDescent="0.25">
      <c r="A964" s="50"/>
      <c r="B964" s="51"/>
    </row>
    <row r="965" spans="1:2" x14ac:dyDescent="0.25">
      <c r="A965" s="50"/>
      <c r="B965" s="51" t="s">
        <v>401</v>
      </c>
    </row>
    <row r="966" spans="1:2" x14ac:dyDescent="0.25">
      <c r="A966" s="50"/>
      <c r="B966" s="51"/>
    </row>
    <row r="967" spans="1:2" x14ac:dyDescent="0.25">
      <c r="A967" s="50"/>
      <c r="B967" s="51" t="s">
        <v>477</v>
      </c>
    </row>
    <row r="968" spans="1:2" x14ac:dyDescent="0.25">
      <c r="A968" s="50"/>
      <c r="B968" s="51"/>
    </row>
    <row r="969" spans="1:2" x14ac:dyDescent="0.25">
      <c r="A969" s="50"/>
      <c r="B969" s="51" t="s">
        <v>633</v>
      </c>
    </row>
    <row r="970" spans="1:2" x14ac:dyDescent="0.25">
      <c r="A970" s="50"/>
      <c r="B970" s="51"/>
    </row>
    <row r="971" spans="1:2" x14ac:dyDescent="0.25">
      <c r="A971" s="50"/>
      <c r="B971" s="51" t="s">
        <v>402</v>
      </c>
    </row>
    <row r="972" spans="1:2" x14ac:dyDescent="0.25">
      <c r="A972" s="50"/>
      <c r="B972" s="51"/>
    </row>
    <row r="973" spans="1:2" x14ac:dyDescent="0.25">
      <c r="A973" s="50"/>
      <c r="B973" s="51" t="s">
        <v>634</v>
      </c>
    </row>
    <row r="974" spans="1:2" x14ac:dyDescent="0.25">
      <c r="A974" s="50"/>
      <c r="B974" s="51"/>
    </row>
    <row r="975" spans="1:2" x14ac:dyDescent="0.25">
      <c r="A975" s="50"/>
      <c r="B975" s="51" t="s">
        <v>635</v>
      </c>
    </row>
    <row r="976" spans="1:2" x14ac:dyDescent="0.25">
      <c r="A976" s="50"/>
      <c r="B976" s="51"/>
    </row>
    <row r="977" spans="1:2" x14ac:dyDescent="0.25">
      <c r="A977" s="50"/>
      <c r="B977" s="51" t="s">
        <v>405</v>
      </c>
    </row>
    <row r="978" spans="1:2" x14ac:dyDescent="0.25">
      <c r="A978" s="50"/>
      <c r="B978" s="51"/>
    </row>
    <row r="979" spans="1:2" x14ac:dyDescent="0.25">
      <c r="A979" s="50"/>
      <c r="B979" s="51" t="s">
        <v>365</v>
      </c>
    </row>
    <row r="980" spans="1:2" x14ac:dyDescent="0.25">
      <c r="A980" s="50"/>
      <c r="B980" s="51"/>
    </row>
    <row r="981" spans="1:2" x14ac:dyDescent="0.25">
      <c r="A981" s="50"/>
      <c r="B981" s="51" t="s">
        <v>636</v>
      </c>
    </row>
    <row r="982" spans="1:2" x14ac:dyDescent="0.25">
      <c r="A982" s="50"/>
      <c r="B982" s="51"/>
    </row>
    <row r="983" spans="1:2" x14ac:dyDescent="0.25">
      <c r="A983" s="50"/>
      <c r="B983" s="51" t="s">
        <v>637</v>
      </c>
    </row>
    <row r="984" spans="1:2" x14ac:dyDescent="0.25">
      <c r="A984" s="50"/>
      <c r="B984" s="51"/>
    </row>
    <row r="985" spans="1:2" x14ac:dyDescent="0.25">
      <c r="A985" s="50"/>
      <c r="B985" s="51" t="s">
        <v>638</v>
      </c>
    </row>
    <row r="986" spans="1:2" x14ac:dyDescent="0.25">
      <c r="A986" s="50"/>
      <c r="B986" s="51"/>
    </row>
    <row r="987" spans="1:2" x14ac:dyDescent="0.25">
      <c r="A987" s="50"/>
      <c r="B987" s="51" t="s">
        <v>639</v>
      </c>
    </row>
    <row r="988" spans="1:2" x14ac:dyDescent="0.25">
      <c r="A988" s="50"/>
      <c r="B988" s="51"/>
    </row>
    <row r="989" spans="1:2" x14ac:dyDescent="0.25">
      <c r="A989" s="50"/>
      <c r="B989" s="51" t="s">
        <v>640</v>
      </c>
    </row>
    <row r="990" spans="1:2" x14ac:dyDescent="0.25">
      <c r="A990" s="50"/>
      <c r="B990" s="51"/>
    </row>
    <row r="991" spans="1:2" x14ac:dyDescent="0.25">
      <c r="A991" s="50"/>
      <c r="B991" s="51" t="s">
        <v>641</v>
      </c>
    </row>
    <row r="992" spans="1:2" x14ac:dyDescent="0.25">
      <c r="A992" s="50"/>
      <c r="B992" s="51"/>
    </row>
    <row r="993" spans="1:2" x14ac:dyDescent="0.25">
      <c r="A993" s="50"/>
      <c r="B993" s="51" t="s">
        <v>642</v>
      </c>
    </row>
    <row r="994" spans="1:2" x14ac:dyDescent="0.25">
      <c r="A994" s="50"/>
      <c r="B994" s="51"/>
    </row>
    <row r="995" spans="1:2" x14ac:dyDescent="0.25">
      <c r="A995" s="50"/>
      <c r="B995" s="51" t="s">
        <v>643</v>
      </c>
    </row>
    <row r="996" spans="1:2" x14ac:dyDescent="0.25">
      <c r="A996" s="50"/>
      <c r="B996" s="51"/>
    </row>
    <row r="997" spans="1:2" x14ac:dyDescent="0.25">
      <c r="A997" s="50"/>
      <c r="B997" s="51" t="s">
        <v>644</v>
      </c>
    </row>
    <row r="998" spans="1:2" x14ac:dyDescent="0.25">
      <c r="A998" s="50"/>
      <c r="B998" s="51"/>
    </row>
    <row r="999" spans="1:2" x14ac:dyDescent="0.25">
      <c r="A999" s="50"/>
      <c r="B999" s="51" t="s">
        <v>645</v>
      </c>
    </row>
    <row r="1000" spans="1:2" x14ac:dyDescent="0.25">
      <c r="A1000" s="50"/>
      <c r="B1000" s="51"/>
    </row>
    <row r="1001" spans="1:2" x14ac:dyDescent="0.25">
      <c r="A1001" s="50"/>
      <c r="B1001" s="51" t="s">
        <v>646</v>
      </c>
    </row>
    <row r="1002" spans="1:2" x14ac:dyDescent="0.25">
      <c r="A1002" s="50"/>
      <c r="B1002" s="51"/>
    </row>
    <row r="1003" spans="1:2" x14ac:dyDescent="0.25">
      <c r="A1003" s="50"/>
      <c r="B1003" s="51" t="s">
        <v>647</v>
      </c>
    </row>
    <row r="1004" spans="1:2" x14ac:dyDescent="0.25">
      <c r="A1004" s="50"/>
      <c r="B1004" s="51"/>
    </row>
    <row r="1005" spans="1:2" x14ac:dyDescent="0.25">
      <c r="A1005" s="50"/>
      <c r="B1005" s="51" t="s">
        <v>648</v>
      </c>
    </row>
    <row r="1006" spans="1:2" x14ac:dyDescent="0.25">
      <c r="A1006" s="50"/>
      <c r="B1006" s="51"/>
    </row>
    <row r="1007" spans="1:2" x14ac:dyDescent="0.25">
      <c r="A1007" s="50"/>
      <c r="B1007" s="51" t="s">
        <v>364</v>
      </c>
    </row>
    <row r="1008" spans="1:2" x14ac:dyDescent="0.25">
      <c r="A1008" s="50"/>
      <c r="B1008" s="51"/>
    </row>
    <row r="1009" spans="1:2" x14ac:dyDescent="0.25">
      <c r="A1009" s="50"/>
      <c r="B1009" s="51" t="s">
        <v>649</v>
      </c>
    </row>
    <row r="1010" spans="1:2" x14ac:dyDescent="0.25">
      <c r="A1010" s="50"/>
      <c r="B1010" s="51"/>
    </row>
    <row r="1011" spans="1:2" x14ac:dyDescent="0.25">
      <c r="A1011" s="50"/>
      <c r="B1011" s="51" t="s">
        <v>314</v>
      </c>
    </row>
    <row r="1012" spans="1:2" x14ac:dyDescent="0.25">
      <c r="A1012" s="50"/>
      <c r="B1012" s="51"/>
    </row>
    <row r="1013" spans="1:2" x14ac:dyDescent="0.25">
      <c r="A1013" s="50"/>
      <c r="B1013" s="51" t="s">
        <v>650</v>
      </c>
    </row>
    <row r="1014" spans="1:2" x14ac:dyDescent="0.25">
      <c r="A1014" s="50"/>
      <c r="B1014" s="51"/>
    </row>
    <row r="1015" spans="1:2" x14ac:dyDescent="0.25">
      <c r="A1015" s="50"/>
      <c r="B1015" s="51" t="s">
        <v>651</v>
      </c>
    </row>
    <row r="1016" spans="1:2" x14ac:dyDescent="0.25">
      <c r="A1016" s="50"/>
      <c r="B1016" s="51"/>
    </row>
    <row r="1017" spans="1:2" x14ac:dyDescent="0.25">
      <c r="A1017" s="50"/>
      <c r="B1017" s="51" t="s">
        <v>652</v>
      </c>
    </row>
    <row r="1018" spans="1:2" x14ac:dyDescent="0.25">
      <c r="A1018" s="50"/>
      <c r="B1018" s="51"/>
    </row>
    <row r="1019" spans="1:2" x14ac:dyDescent="0.25">
      <c r="A1019" s="50"/>
      <c r="B1019" s="51" t="s">
        <v>653</v>
      </c>
    </row>
    <row r="1020" spans="1:2" x14ac:dyDescent="0.25">
      <c r="A1020" s="50"/>
      <c r="B1020" s="51"/>
    </row>
    <row r="1021" spans="1:2" x14ac:dyDescent="0.25">
      <c r="A1021" s="50"/>
      <c r="B1021" s="51" t="s">
        <v>654</v>
      </c>
    </row>
    <row r="1022" spans="1:2" x14ac:dyDescent="0.25">
      <c r="A1022" s="50"/>
      <c r="B1022" s="51"/>
    </row>
    <row r="1023" spans="1:2" x14ac:dyDescent="0.25">
      <c r="A1023" s="50"/>
      <c r="B1023" s="51" t="s">
        <v>655</v>
      </c>
    </row>
    <row r="1024" spans="1:2" x14ac:dyDescent="0.25">
      <c r="A1024" s="50"/>
      <c r="B1024" s="51"/>
    </row>
    <row r="1025" spans="1:2" x14ac:dyDescent="0.25">
      <c r="A1025" s="50"/>
      <c r="B1025" s="51" t="s">
        <v>345</v>
      </c>
    </row>
    <row r="1026" spans="1:2" x14ac:dyDescent="0.25">
      <c r="A1026" s="50"/>
      <c r="B1026" s="51"/>
    </row>
    <row r="1027" spans="1:2" x14ac:dyDescent="0.25">
      <c r="A1027" s="50"/>
      <c r="B1027" s="51" t="s">
        <v>656</v>
      </c>
    </row>
    <row r="1028" spans="1:2" x14ac:dyDescent="0.25">
      <c r="A1028" s="50"/>
      <c r="B1028" s="51"/>
    </row>
    <row r="1029" spans="1:2" x14ac:dyDescent="0.25">
      <c r="A1029" s="50"/>
      <c r="B1029" s="51" t="s">
        <v>657</v>
      </c>
    </row>
    <row r="1030" spans="1:2" x14ac:dyDescent="0.25">
      <c r="A1030" s="50"/>
      <c r="B1030" s="51"/>
    </row>
    <row r="1031" spans="1:2" x14ac:dyDescent="0.25">
      <c r="A1031" s="50"/>
      <c r="B1031" s="51" t="s">
        <v>658</v>
      </c>
    </row>
    <row r="1032" spans="1:2" x14ac:dyDescent="0.25">
      <c r="A1032" s="50"/>
      <c r="B1032" s="51"/>
    </row>
    <row r="1033" spans="1:2" x14ac:dyDescent="0.25">
      <c r="A1033" s="50"/>
      <c r="B1033" s="51" t="s">
        <v>659</v>
      </c>
    </row>
    <row r="1034" spans="1:2" x14ac:dyDescent="0.25">
      <c r="A1034" s="50"/>
      <c r="B1034" s="51"/>
    </row>
    <row r="1035" spans="1:2" x14ac:dyDescent="0.25">
      <c r="A1035" s="50"/>
      <c r="B1035" s="51" t="s">
        <v>660</v>
      </c>
    </row>
    <row r="1036" spans="1:2" x14ac:dyDescent="0.25">
      <c r="A1036" s="50"/>
      <c r="B1036" s="51"/>
    </row>
    <row r="1037" spans="1:2" x14ac:dyDescent="0.25">
      <c r="A1037" s="50"/>
      <c r="B1037" s="51" t="s">
        <v>661</v>
      </c>
    </row>
    <row r="1038" spans="1:2" x14ac:dyDescent="0.25">
      <c r="A1038" s="50"/>
      <c r="B1038" s="51"/>
    </row>
    <row r="1039" spans="1:2" x14ac:dyDescent="0.25">
      <c r="A1039" s="50"/>
      <c r="B1039" s="51" t="s">
        <v>662</v>
      </c>
    </row>
    <row r="1040" spans="1:2" x14ac:dyDescent="0.25">
      <c r="A1040" s="50"/>
      <c r="B1040" s="51"/>
    </row>
    <row r="1041" spans="1:2" x14ac:dyDescent="0.25">
      <c r="A1041" s="50"/>
      <c r="B1041" s="51" t="s">
        <v>529</v>
      </c>
    </row>
    <row r="1042" spans="1:2" x14ac:dyDescent="0.25">
      <c r="A1042" s="50"/>
      <c r="B1042" s="51"/>
    </row>
    <row r="1043" spans="1:2" x14ac:dyDescent="0.25">
      <c r="A1043" s="50"/>
      <c r="B1043" s="51" t="s">
        <v>396</v>
      </c>
    </row>
    <row r="1044" spans="1:2" x14ac:dyDescent="0.25">
      <c r="A1044" s="50"/>
      <c r="B1044" s="51"/>
    </row>
    <row r="1045" spans="1:2" x14ac:dyDescent="0.25">
      <c r="A1045" s="50"/>
      <c r="B1045" s="51" t="s">
        <v>663</v>
      </c>
    </row>
    <row r="1046" spans="1:2" x14ac:dyDescent="0.25">
      <c r="A1046" s="50"/>
      <c r="B1046" s="51"/>
    </row>
    <row r="1047" spans="1:2" x14ac:dyDescent="0.25">
      <c r="A1047" s="50"/>
      <c r="B1047" s="51" t="s">
        <v>664</v>
      </c>
    </row>
    <row r="1048" spans="1:2" x14ac:dyDescent="0.25">
      <c r="A1048" s="50"/>
      <c r="B1048" s="51"/>
    </row>
    <row r="1049" spans="1:2" x14ac:dyDescent="0.25">
      <c r="A1049" s="50"/>
      <c r="B1049" s="51" t="s">
        <v>665</v>
      </c>
    </row>
    <row r="1050" spans="1:2" x14ac:dyDescent="0.25">
      <c r="A1050" s="50"/>
      <c r="B1050" s="51"/>
    </row>
    <row r="1051" spans="1:2" x14ac:dyDescent="0.25">
      <c r="A1051" s="50"/>
      <c r="B1051" s="51" t="s">
        <v>666</v>
      </c>
    </row>
    <row r="1052" spans="1:2" x14ac:dyDescent="0.25">
      <c r="A1052" s="50"/>
      <c r="B1052" s="51"/>
    </row>
    <row r="1053" spans="1:2" x14ac:dyDescent="0.25">
      <c r="A1053" s="50"/>
      <c r="B1053" s="51" t="s">
        <v>667</v>
      </c>
    </row>
    <row r="1054" spans="1:2" x14ac:dyDescent="0.25">
      <c r="A1054" s="50"/>
      <c r="B1054" s="51"/>
    </row>
    <row r="1055" spans="1:2" x14ac:dyDescent="0.25">
      <c r="A1055" s="50"/>
      <c r="B1055" s="51" t="s">
        <v>668</v>
      </c>
    </row>
    <row r="1056" spans="1:2" x14ac:dyDescent="0.25">
      <c r="A1056" s="50"/>
      <c r="B1056" s="51"/>
    </row>
    <row r="1057" spans="1:2" x14ac:dyDescent="0.25">
      <c r="A1057" s="50"/>
      <c r="B1057" s="51" t="s">
        <v>669</v>
      </c>
    </row>
    <row r="1058" spans="1:2" x14ac:dyDescent="0.25">
      <c r="A1058" s="50"/>
      <c r="B1058" s="51"/>
    </row>
    <row r="1059" spans="1:2" x14ac:dyDescent="0.25">
      <c r="A1059" s="50"/>
      <c r="B1059" s="51" t="s">
        <v>559</v>
      </c>
    </row>
    <row r="1060" spans="1:2" x14ac:dyDescent="0.25">
      <c r="A1060" s="50"/>
      <c r="B1060" s="51"/>
    </row>
    <row r="1061" spans="1:2" x14ac:dyDescent="0.25">
      <c r="A1061" s="50"/>
      <c r="B1061" s="51" t="s">
        <v>670</v>
      </c>
    </row>
    <row r="1062" spans="1:2" x14ac:dyDescent="0.25">
      <c r="A1062" s="50"/>
      <c r="B1062" s="51"/>
    </row>
    <row r="1063" spans="1:2" x14ac:dyDescent="0.25">
      <c r="A1063" s="50"/>
      <c r="B1063" s="51" t="s">
        <v>671</v>
      </c>
    </row>
    <row r="1064" spans="1:2" x14ac:dyDescent="0.25">
      <c r="A1064" s="50"/>
      <c r="B1064" s="51"/>
    </row>
    <row r="1065" spans="1:2" x14ac:dyDescent="0.25">
      <c r="A1065" s="50"/>
      <c r="B1065" s="51" t="s">
        <v>672</v>
      </c>
    </row>
    <row r="1066" spans="1:2" x14ac:dyDescent="0.25">
      <c r="A1066" s="50"/>
      <c r="B1066" s="51"/>
    </row>
    <row r="1067" spans="1:2" x14ac:dyDescent="0.25">
      <c r="A1067" s="50"/>
      <c r="B1067" s="51" t="s">
        <v>452</v>
      </c>
    </row>
    <row r="1068" spans="1:2" x14ac:dyDescent="0.25">
      <c r="A1068" s="50"/>
      <c r="B1068" s="51"/>
    </row>
    <row r="1069" spans="1:2" x14ac:dyDescent="0.25">
      <c r="A1069" s="50"/>
      <c r="B1069" s="51" t="s">
        <v>404</v>
      </c>
    </row>
    <row r="1070" spans="1:2" x14ac:dyDescent="0.25">
      <c r="A1070" s="50"/>
      <c r="B1070" s="51"/>
    </row>
    <row r="1071" spans="1:2" x14ac:dyDescent="0.25">
      <c r="A1071" s="50"/>
      <c r="B1071" s="51" t="s">
        <v>673</v>
      </c>
    </row>
    <row r="1072" spans="1:2" x14ac:dyDescent="0.25">
      <c r="A1072" s="50"/>
      <c r="B1072" s="51"/>
    </row>
    <row r="1073" spans="1:2" x14ac:dyDescent="0.25">
      <c r="A1073" s="50"/>
      <c r="B1073" s="51" t="s">
        <v>674</v>
      </c>
    </row>
    <row r="1074" spans="1:2" x14ac:dyDescent="0.25">
      <c r="A1074" s="50"/>
      <c r="B1074" s="51"/>
    </row>
    <row r="1075" spans="1:2" x14ac:dyDescent="0.25">
      <c r="A1075" s="50"/>
      <c r="B1075" s="51" t="s">
        <v>675</v>
      </c>
    </row>
    <row r="1076" spans="1:2" x14ac:dyDescent="0.25">
      <c r="A1076" s="50"/>
      <c r="B1076" s="51"/>
    </row>
    <row r="1077" spans="1:2" x14ac:dyDescent="0.25">
      <c r="A1077" s="50"/>
      <c r="B1077" s="51" t="s">
        <v>676</v>
      </c>
    </row>
    <row r="1078" spans="1:2" x14ac:dyDescent="0.25">
      <c r="A1078" s="50"/>
      <c r="B1078" s="51"/>
    </row>
    <row r="1079" spans="1:2" x14ac:dyDescent="0.25">
      <c r="A1079" s="50"/>
      <c r="B1079" s="51" t="s">
        <v>462</v>
      </c>
    </row>
    <row r="1080" spans="1:2" x14ac:dyDescent="0.25">
      <c r="A1080" s="50"/>
      <c r="B1080" s="51"/>
    </row>
    <row r="1081" spans="1:2" x14ac:dyDescent="0.25">
      <c r="A1081" s="50"/>
      <c r="B1081" s="51" t="s">
        <v>677</v>
      </c>
    </row>
    <row r="1082" spans="1:2" x14ac:dyDescent="0.25">
      <c r="A1082" s="50"/>
      <c r="B1082" s="51"/>
    </row>
    <row r="1083" spans="1:2" x14ac:dyDescent="0.25">
      <c r="A1083" s="50"/>
      <c r="B1083" s="51" t="s">
        <v>678</v>
      </c>
    </row>
    <row r="1084" spans="1:2" x14ac:dyDescent="0.25">
      <c r="A1084" s="50"/>
      <c r="B1084" s="51"/>
    </row>
    <row r="1085" spans="1:2" x14ac:dyDescent="0.25">
      <c r="A1085" s="50"/>
      <c r="B1085" s="51" t="s">
        <v>679</v>
      </c>
    </row>
    <row r="1086" spans="1:2" x14ac:dyDescent="0.25">
      <c r="A1086" s="50"/>
      <c r="B1086" s="51"/>
    </row>
    <row r="1087" spans="1:2" x14ac:dyDescent="0.25">
      <c r="A1087" s="50"/>
      <c r="B1087" s="51" t="s">
        <v>516</v>
      </c>
    </row>
    <row r="1088" spans="1:2" x14ac:dyDescent="0.25">
      <c r="A1088" s="50"/>
      <c r="B1088" s="51"/>
    </row>
    <row r="1089" spans="1:2" x14ac:dyDescent="0.25">
      <c r="A1089" s="50"/>
      <c r="B1089" s="51" t="s">
        <v>680</v>
      </c>
    </row>
    <row r="1090" spans="1:2" x14ac:dyDescent="0.25">
      <c r="A1090" s="50"/>
      <c r="B1090" s="51"/>
    </row>
    <row r="1091" spans="1:2" x14ac:dyDescent="0.25">
      <c r="A1091" s="50"/>
      <c r="B1091" s="51" t="s">
        <v>425</v>
      </c>
    </row>
    <row r="1092" spans="1:2" x14ac:dyDescent="0.25">
      <c r="A1092" s="50"/>
      <c r="B1092" s="51"/>
    </row>
    <row r="1093" spans="1:2" x14ac:dyDescent="0.25">
      <c r="A1093" s="50"/>
      <c r="B1093" s="51" t="s">
        <v>392</v>
      </c>
    </row>
    <row r="1094" spans="1:2" x14ac:dyDescent="0.25">
      <c r="A1094" s="50"/>
      <c r="B1094" s="51"/>
    </row>
    <row r="1095" spans="1:2" x14ac:dyDescent="0.25">
      <c r="A1095" s="50"/>
      <c r="B1095" s="51" t="s">
        <v>417</v>
      </c>
    </row>
    <row r="1096" spans="1:2" x14ac:dyDescent="0.25">
      <c r="A1096" s="50"/>
      <c r="B1096" s="51"/>
    </row>
    <row r="1097" spans="1:2" x14ac:dyDescent="0.25">
      <c r="A1097" s="50"/>
      <c r="B1097" s="51" t="s">
        <v>681</v>
      </c>
    </row>
    <row r="1098" spans="1:2" x14ac:dyDescent="0.25">
      <c r="A1098" s="50"/>
      <c r="B1098" s="51"/>
    </row>
    <row r="1099" spans="1:2" x14ac:dyDescent="0.25">
      <c r="A1099" s="50"/>
      <c r="B1099" s="51" t="s">
        <v>682</v>
      </c>
    </row>
    <row r="1100" spans="1:2" x14ac:dyDescent="0.25">
      <c r="A1100" s="50"/>
      <c r="B1100" s="51"/>
    </row>
    <row r="1101" spans="1:2" x14ac:dyDescent="0.25">
      <c r="A1101" s="50"/>
      <c r="B1101" s="51" t="s">
        <v>528</v>
      </c>
    </row>
    <row r="1102" spans="1:2" x14ac:dyDescent="0.25">
      <c r="A1102" s="50"/>
      <c r="B1102" s="51"/>
    </row>
    <row r="1103" spans="1:2" x14ac:dyDescent="0.25">
      <c r="A1103" s="50"/>
      <c r="B1103" s="51" t="s">
        <v>683</v>
      </c>
    </row>
    <row r="1104" spans="1:2" x14ac:dyDescent="0.25">
      <c r="A1104" s="50"/>
      <c r="B1104" s="51"/>
    </row>
    <row r="1105" spans="1:2" x14ac:dyDescent="0.25">
      <c r="A1105" s="50"/>
      <c r="B1105" s="51" t="s">
        <v>684</v>
      </c>
    </row>
    <row r="1106" spans="1:2" x14ac:dyDescent="0.25">
      <c r="A1106" s="50"/>
      <c r="B1106" s="51"/>
    </row>
    <row r="1107" spans="1:2" x14ac:dyDescent="0.25">
      <c r="A1107" s="50"/>
      <c r="B1107" s="51" t="s">
        <v>685</v>
      </c>
    </row>
    <row r="1108" spans="1:2" x14ac:dyDescent="0.25">
      <c r="A1108" s="50"/>
      <c r="B1108" s="51"/>
    </row>
    <row r="1109" spans="1:2" x14ac:dyDescent="0.25">
      <c r="A1109" s="50"/>
      <c r="B1109" s="51" t="s">
        <v>686</v>
      </c>
    </row>
    <row r="1110" spans="1:2" x14ac:dyDescent="0.25">
      <c r="A1110" s="50"/>
      <c r="B1110" s="51"/>
    </row>
    <row r="1111" spans="1:2" x14ac:dyDescent="0.25">
      <c r="A1111" s="50"/>
      <c r="B1111" s="51" t="s">
        <v>687</v>
      </c>
    </row>
    <row r="1112" spans="1:2" x14ac:dyDescent="0.25">
      <c r="A1112" s="50"/>
      <c r="B1112" s="51"/>
    </row>
    <row r="1113" spans="1:2" x14ac:dyDescent="0.25">
      <c r="A1113" s="50"/>
      <c r="B1113" s="51" t="s">
        <v>688</v>
      </c>
    </row>
    <row r="1114" spans="1:2" x14ac:dyDescent="0.25">
      <c r="A1114" s="50"/>
      <c r="B1114" s="51"/>
    </row>
    <row r="1115" spans="1:2" x14ac:dyDescent="0.25">
      <c r="A1115" s="50"/>
      <c r="B1115" s="51" t="s">
        <v>689</v>
      </c>
    </row>
    <row r="1116" spans="1:2" x14ac:dyDescent="0.25">
      <c r="A1116" s="50"/>
      <c r="B1116" s="51"/>
    </row>
    <row r="1117" spans="1:2" x14ac:dyDescent="0.25">
      <c r="A1117" s="50"/>
      <c r="B1117" s="51" t="s">
        <v>690</v>
      </c>
    </row>
    <row r="1118" spans="1:2" x14ac:dyDescent="0.25">
      <c r="A1118" s="50"/>
      <c r="B1118" s="51"/>
    </row>
    <row r="1119" spans="1:2" x14ac:dyDescent="0.25">
      <c r="A1119" s="50"/>
      <c r="B1119" s="51" t="s">
        <v>691</v>
      </c>
    </row>
    <row r="1120" spans="1:2" x14ac:dyDescent="0.25">
      <c r="A1120" s="50"/>
      <c r="B1120" s="51"/>
    </row>
    <row r="1121" spans="1:2" x14ac:dyDescent="0.25">
      <c r="A1121" s="50"/>
      <c r="B1121" s="51" t="s">
        <v>527</v>
      </c>
    </row>
    <row r="1122" spans="1:2" x14ac:dyDescent="0.25">
      <c r="A1122" s="50"/>
      <c r="B1122" s="51"/>
    </row>
    <row r="1123" spans="1:2" x14ac:dyDescent="0.25">
      <c r="A1123" s="50"/>
      <c r="B1123" s="51" t="s">
        <v>424</v>
      </c>
    </row>
    <row r="1124" spans="1:2" x14ac:dyDescent="0.25">
      <c r="A1124" s="50"/>
      <c r="B1124" s="51"/>
    </row>
    <row r="1125" spans="1:2" x14ac:dyDescent="0.25">
      <c r="A1125" s="50"/>
      <c r="B1125" s="51" t="s">
        <v>561</v>
      </c>
    </row>
    <row r="1126" spans="1:2" x14ac:dyDescent="0.25">
      <c r="A1126" s="50"/>
      <c r="B1126" s="51"/>
    </row>
    <row r="1127" spans="1:2" x14ac:dyDescent="0.25">
      <c r="A1127" s="50"/>
      <c r="B1127" s="51" t="s">
        <v>692</v>
      </c>
    </row>
    <row r="1128" spans="1:2" x14ac:dyDescent="0.25">
      <c r="A1128" s="50"/>
      <c r="B1128" s="51"/>
    </row>
    <row r="1129" spans="1:2" x14ac:dyDescent="0.25">
      <c r="A1129" s="50"/>
      <c r="B1129" s="51" t="s">
        <v>532</v>
      </c>
    </row>
    <row r="1130" spans="1:2" x14ac:dyDescent="0.25">
      <c r="A1130" s="50"/>
      <c r="B1130" s="51"/>
    </row>
    <row r="1131" spans="1:2" x14ac:dyDescent="0.25">
      <c r="A1131" s="50"/>
      <c r="B1131" s="51" t="s">
        <v>533</v>
      </c>
    </row>
    <row r="1132" spans="1:2" x14ac:dyDescent="0.25">
      <c r="A1132" s="50"/>
      <c r="B1132" s="51"/>
    </row>
    <row r="1133" spans="1:2" x14ac:dyDescent="0.25">
      <c r="A1133" s="50"/>
      <c r="B1133" s="51" t="s">
        <v>693</v>
      </c>
    </row>
    <row r="1134" spans="1:2" x14ac:dyDescent="0.25">
      <c r="A1134" s="50"/>
      <c r="B1134" s="51"/>
    </row>
    <row r="1135" spans="1:2" x14ac:dyDescent="0.25">
      <c r="A1135" s="50"/>
      <c r="B1135" s="51" t="s">
        <v>694</v>
      </c>
    </row>
    <row r="1136" spans="1:2" x14ac:dyDescent="0.25">
      <c r="A1136" s="50"/>
      <c r="B1136" s="51"/>
    </row>
    <row r="1137" spans="1:2" x14ac:dyDescent="0.25">
      <c r="A1137" s="50"/>
      <c r="B1137" s="51" t="s">
        <v>695</v>
      </c>
    </row>
    <row r="1138" spans="1:2" x14ac:dyDescent="0.25">
      <c r="A1138" s="50"/>
      <c r="B1138" s="51"/>
    </row>
    <row r="1139" spans="1:2" x14ac:dyDescent="0.25">
      <c r="A1139" s="50"/>
      <c r="B1139" s="51" t="s">
        <v>696</v>
      </c>
    </row>
    <row r="1140" spans="1:2" x14ac:dyDescent="0.25">
      <c r="A1140" s="50"/>
      <c r="B1140" s="51"/>
    </row>
    <row r="1141" spans="1:2" x14ac:dyDescent="0.25">
      <c r="A1141" s="50"/>
      <c r="B1141" s="51" t="s">
        <v>697</v>
      </c>
    </row>
    <row r="1142" spans="1:2" x14ac:dyDescent="0.25">
      <c r="A1142" s="50"/>
      <c r="B1142" s="51"/>
    </row>
    <row r="1143" spans="1:2" x14ac:dyDescent="0.25">
      <c r="A1143" s="50"/>
      <c r="B1143" s="51" t="s">
        <v>374</v>
      </c>
    </row>
    <row r="1144" spans="1:2" x14ac:dyDescent="0.25">
      <c r="A1144" s="50"/>
      <c r="B1144" s="51"/>
    </row>
    <row r="1145" spans="1:2" x14ac:dyDescent="0.25">
      <c r="A1145" s="50"/>
      <c r="B1145" s="51" t="s">
        <v>526</v>
      </c>
    </row>
    <row r="1146" spans="1:2" x14ac:dyDescent="0.25">
      <c r="A1146" s="50"/>
      <c r="B1146" s="51"/>
    </row>
    <row r="1147" spans="1:2" x14ac:dyDescent="0.25">
      <c r="A1147" s="50"/>
      <c r="B1147" s="51" t="s">
        <v>698</v>
      </c>
    </row>
    <row r="1148" spans="1:2" x14ac:dyDescent="0.25">
      <c r="A1148" s="50"/>
      <c r="B1148" s="51"/>
    </row>
    <row r="1149" spans="1:2" x14ac:dyDescent="0.25">
      <c r="A1149" s="50"/>
      <c r="B1149" s="51" t="s">
        <v>424</v>
      </c>
    </row>
    <row r="1150" spans="1:2" x14ac:dyDescent="0.25">
      <c r="A1150" s="50"/>
      <c r="B1150" s="51"/>
    </row>
    <row r="1151" spans="1:2" x14ac:dyDescent="0.25">
      <c r="A1151" s="50"/>
      <c r="B1151" s="51" t="s">
        <v>699</v>
      </c>
    </row>
    <row r="1152" spans="1:2" x14ac:dyDescent="0.25">
      <c r="A1152" s="50"/>
      <c r="B1152" s="51"/>
    </row>
    <row r="1153" spans="1:2" x14ac:dyDescent="0.25">
      <c r="A1153" s="50"/>
      <c r="B1153" s="51" t="s">
        <v>545</v>
      </c>
    </row>
    <row r="1154" spans="1:2" x14ac:dyDescent="0.25">
      <c r="A1154" s="50"/>
      <c r="B1154" s="51"/>
    </row>
    <row r="1155" spans="1:2" x14ac:dyDescent="0.25">
      <c r="A1155" s="50"/>
      <c r="B1155" s="51" t="s">
        <v>700</v>
      </c>
    </row>
    <row r="1156" spans="1:2" x14ac:dyDescent="0.25">
      <c r="A1156" s="50"/>
      <c r="B1156" s="51"/>
    </row>
    <row r="1157" spans="1:2" x14ac:dyDescent="0.25">
      <c r="A1157" s="50"/>
      <c r="B1157" s="51" t="s">
        <v>437</v>
      </c>
    </row>
    <row r="1158" spans="1:2" x14ac:dyDescent="0.25">
      <c r="A1158" s="50"/>
      <c r="B1158" s="51"/>
    </row>
    <row r="1159" spans="1:2" x14ac:dyDescent="0.25">
      <c r="A1159" s="50"/>
      <c r="B1159" s="51" t="s">
        <v>537</v>
      </c>
    </row>
    <row r="1160" spans="1:2" x14ac:dyDescent="0.25">
      <c r="A1160" s="50"/>
      <c r="B1160" s="51"/>
    </row>
    <row r="1161" spans="1:2" x14ac:dyDescent="0.25">
      <c r="A1161" s="50"/>
      <c r="B1161" s="51" t="s">
        <v>489</v>
      </c>
    </row>
    <row r="1162" spans="1:2" x14ac:dyDescent="0.25">
      <c r="A1162" s="50"/>
      <c r="B1162" s="51"/>
    </row>
    <row r="1163" spans="1:2" x14ac:dyDescent="0.25">
      <c r="A1163" s="50"/>
      <c r="B1163" s="51" t="s">
        <v>701</v>
      </c>
    </row>
    <row r="1164" spans="1:2" x14ac:dyDescent="0.25">
      <c r="A1164" s="50"/>
      <c r="B1164" s="51"/>
    </row>
    <row r="1165" spans="1:2" x14ac:dyDescent="0.25">
      <c r="A1165" s="50"/>
      <c r="B1165" s="51" t="s">
        <v>496</v>
      </c>
    </row>
    <row r="1166" spans="1:2" x14ac:dyDescent="0.25">
      <c r="A1166" s="50"/>
      <c r="B1166" s="51"/>
    </row>
    <row r="1167" spans="1:2" x14ac:dyDescent="0.25">
      <c r="A1167" s="50"/>
      <c r="B1167" s="51" t="s">
        <v>702</v>
      </c>
    </row>
    <row r="1168" spans="1:2" x14ac:dyDescent="0.25">
      <c r="A1168" s="50"/>
      <c r="B1168" s="51"/>
    </row>
    <row r="1169" spans="1:2" x14ac:dyDescent="0.25">
      <c r="A1169" s="50"/>
      <c r="B1169" s="51" t="s">
        <v>293</v>
      </c>
    </row>
    <row r="1170" spans="1:2" x14ac:dyDescent="0.25">
      <c r="A1170" s="50"/>
      <c r="B1170" s="51"/>
    </row>
    <row r="1171" spans="1:2" x14ac:dyDescent="0.25">
      <c r="A1171" s="50"/>
      <c r="B1171" s="51" t="s">
        <v>293</v>
      </c>
    </row>
    <row r="1172" spans="1:2" x14ac:dyDescent="0.25">
      <c r="A1172" s="50"/>
      <c r="B1172" s="51"/>
    </row>
    <row r="1173" spans="1:2" x14ac:dyDescent="0.25">
      <c r="A1173" s="50"/>
      <c r="B1173" s="51" t="s">
        <v>703</v>
      </c>
    </row>
    <row r="1174" spans="1:2" x14ac:dyDescent="0.25">
      <c r="A1174" s="50"/>
      <c r="B1174" s="51"/>
    </row>
    <row r="1175" spans="1:2" x14ac:dyDescent="0.25">
      <c r="A1175" s="50"/>
      <c r="B1175" s="51" t="s">
        <v>704</v>
      </c>
    </row>
    <row r="1176" spans="1:2" x14ac:dyDescent="0.25">
      <c r="A1176" s="50"/>
      <c r="B1176" s="51"/>
    </row>
    <row r="1177" spans="1:2" x14ac:dyDescent="0.25">
      <c r="A1177" s="50"/>
      <c r="B1177" s="51" t="s">
        <v>705</v>
      </c>
    </row>
    <row r="1178" spans="1:2" x14ac:dyDescent="0.25">
      <c r="A1178" s="50"/>
      <c r="B1178" s="51"/>
    </row>
    <row r="1179" spans="1:2" x14ac:dyDescent="0.25">
      <c r="A1179" s="50"/>
      <c r="B1179" s="51" t="s">
        <v>674</v>
      </c>
    </row>
    <row r="1180" spans="1:2" x14ac:dyDescent="0.25">
      <c r="A1180" s="50"/>
      <c r="B1180" s="51"/>
    </row>
    <row r="1181" spans="1:2" x14ac:dyDescent="0.25">
      <c r="A1181" s="50"/>
      <c r="B1181" s="51" t="s">
        <v>517</v>
      </c>
    </row>
    <row r="1182" spans="1:2" x14ac:dyDescent="0.25">
      <c r="A1182" s="50"/>
      <c r="B1182" s="51"/>
    </row>
    <row r="1183" spans="1:2" x14ac:dyDescent="0.25">
      <c r="A1183" s="50"/>
      <c r="B1183" s="51" t="s">
        <v>433</v>
      </c>
    </row>
    <row r="1184" spans="1:2" x14ac:dyDescent="0.25">
      <c r="A1184" s="50"/>
      <c r="B1184" s="51"/>
    </row>
    <row r="1185" spans="1:2" x14ac:dyDescent="0.25">
      <c r="A1185" s="50"/>
      <c r="B1185" s="51" t="s">
        <v>706</v>
      </c>
    </row>
    <row r="1186" spans="1:2" x14ac:dyDescent="0.25">
      <c r="A1186" s="50"/>
      <c r="B1186" s="51"/>
    </row>
    <row r="1187" spans="1:2" x14ac:dyDescent="0.25">
      <c r="A1187" s="50"/>
      <c r="B1187" s="51" t="s">
        <v>702</v>
      </c>
    </row>
    <row r="1188" spans="1:2" x14ac:dyDescent="0.25">
      <c r="A1188" s="50"/>
      <c r="B1188" s="51"/>
    </row>
    <row r="1189" spans="1:2" x14ac:dyDescent="0.25">
      <c r="A1189" s="50"/>
      <c r="B1189" s="51" t="s">
        <v>699</v>
      </c>
    </row>
    <row r="1190" spans="1:2" x14ac:dyDescent="0.25">
      <c r="A1190" s="50"/>
      <c r="B1190" s="51"/>
    </row>
    <row r="1191" spans="1:2" x14ac:dyDescent="0.25">
      <c r="A1191" s="50"/>
      <c r="B1191" s="51" t="s">
        <v>707</v>
      </c>
    </row>
    <row r="1192" spans="1:2" x14ac:dyDescent="0.25">
      <c r="A1192" s="50"/>
      <c r="B1192" s="51"/>
    </row>
    <row r="1193" spans="1:2" x14ac:dyDescent="0.25">
      <c r="A1193" s="50"/>
      <c r="B1193" s="51" t="s">
        <v>293</v>
      </c>
    </row>
    <row r="1194" spans="1:2" x14ac:dyDescent="0.25">
      <c r="A1194" s="50"/>
      <c r="B1194" s="51"/>
    </row>
    <row r="1195" spans="1:2" x14ac:dyDescent="0.25">
      <c r="A1195" s="50"/>
      <c r="B1195" s="51" t="s">
        <v>539</v>
      </c>
    </row>
    <row r="1196" spans="1:2" x14ac:dyDescent="0.25">
      <c r="A1196" s="50"/>
      <c r="B1196" s="51"/>
    </row>
    <row r="1197" spans="1:2" x14ac:dyDescent="0.25">
      <c r="A1197" s="50"/>
      <c r="B1197" s="51" t="s">
        <v>540</v>
      </c>
    </row>
    <row r="1198" spans="1:2" x14ac:dyDescent="0.25">
      <c r="A1198" s="50"/>
      <c r="B1198" s="51"/>
    </row>
    <row r="1199" spans="1:2" x14ac:dyDescent="0.25">
      <c r="A1199" s="50"/>
      <c r="B1199" s="51" t="s">
        <v>708</v>
      </c>
    </row>
    <row r="1200" spans="1:2" x14ac:dyDescent="0.25">
      <c r="A1200" s="50"/>
      <c r="B1200" s="51"/>
    </row>
    <row r="1201" spans="1:2" x14ac:dyDescent="0.25">
      <c r="A1201" s="50"/>
      <c r="B1201" s="51" t="s">
        <v>709</v>
      </c>
    </row>
    <row r="1202" spans="1:2" x14ac:dyDescent="0.25">
      <c r="A1202" s="50"/>
      <c r="B1202" s="51"/>
    </row>
    <row r="1203" spans="1:2" x14ac:dyDescent="0.25">
      <c r="A1203" s="50"/>
      <c r="B1203" s="51" t="s">
        <v>710</v>
      </c>
    </row>
    <row r="1204" spans="1:2" x14ac:dyDescent="0.25">
      <c r="A1204" s="50"/>
      <c r="B1204" s="51"/>
    </row>
    <row r="1205" spans="1:2" x14ac:dyDescent="0.25">
      <c r="A1205" s="50"/>
      <c r="B1205" s="51" t="s">
        <v>711</v>
      </c>
    </row>
    <row r="1206" spans="1:2" x14ac:dyDescent="0.25">
      <c r="A1206" s="50"/>
      <c r="B1206" s="51"/>
    </row>
    <row r="1207" spans="1:2" x14ac:dyDescent="0.25">
      <c r="A1207" s="50"/>
      <c r="B1207" s="51" t="s">
        <v>712</v>
      </c>
    </row>
    <row r="1208" spans="1:2" x14ac:dyDescent="0.25">
      <c r="A1208" s="50"/>
      <c r="B1208" s="51"/>
    </row>
    <row r="1209" spans="1:2" x14ac:dyDescent="0.25">
      <c r="A1209" s="50"/>
      <c r="B1209" s="51" t="s">
        <v>713</v>
      </c>
    </row>
    <row r="1210" spans="1:2" x14ac:dyDescent="0.25">
      <c r="A1210" s="50"/>
      <c r="B1210" s="51"/>
    </row>
    <row r="1211" spans="1:2" x14ac:dyDescent="0.25">
      <c r="A1211" s="50"/>
      <c r="B1211" s="51" t="s">
        <v>714</v>
      </c>
    </row>
    <row r="1212" spans="1:2" x14ac:dyDescent="0.25">
      <c r="A1212" s="50"/>
      <c r="B1212" s="51"/>
    </row>
    <row r="1213" spans="1:2" x14ac:dyDescent="0.25">
      <c r="A1213" s="50"/>
      <c r="B1213" s="51" t="s">
        <v>715</v>
      </c>
    </row>
    <row r="1214" spans="1:2" x14ac:dyDescent="0.25">
      <c r="A1214" s="50"/>
      <c r="B1214" s="51"/>
    </row>
    <row r="1215" spans="1:2" x14ac:dyDescent="0.25">
      <c r="A1215" s="50"/>
      <c r="B1215" s="51" t="s">
        <v>716</v>
      </c>
    </row>
    <row r="1216" spans="1:2" x14ac:dyDescent="0.25">
      <c r="A1216" s="50"/>
      <c r="B1216" s="51"/>
    </row>
    <row r="1217" spans="1:2" x14ac:dyDescent="0.25">
      <c r="A1217" s="50"/>
      <c r="B1217" s="51" t="s">
        <v>717</v>
      </c>
    </row>
    <row r="1218" spans="1:2" x14ac:dyDescent="0.25">
      <c r="A1218" s="50"/>
      <c r="B1218" s="51"/>
    </row>
    <row r="1219" spans="1:2" x14ac:dyDescent="0.25">
      <c r="A1219" s="50"/>
      <c r="B1219" s="51" t="s">
        <v>718</v>
      </c>
    </row>
    <row r="1220" spans="1:2" x14ac:dyDescent="0.25">
      <c r="A1220" s="50"/>
      <c r="B1220" s="51"/>
    </row>
    <row r="1221" spans="1:2" x14ac:dyDescent="0.25">
      <c r="A1221" s="50"/>
      <c r="B1221" s="51" t="s">
        <v>719</v>
      </c>
    </row>
    <row r="1222" spans="1:2" x14ac:dyDescent="0.25">
      <c r="A1222" s="50"/>
      <c r="B1222" s="51"/>
    </row>
    <row r="1223" spans="1:2" x14ac:dyDescent="0.25">
      <c r="A1223" s="50"/>
      <c r="B1223" s="51" t="s">
        <v>706</v>
      </c>
    </row>
    <row r="1224" spans="1:2" x14ac:dyDescent="0.25">
      <c r="A1224" s="50"/>
      <c r="B1224" s="51"/>
    </row>
    <row r="1225" spans="1:2" x14ac:dyDescent="0.25">
      <c r="A1225" s="50"/>
      <c r="B1225" s="51" t="s">
        <v>720</v>
      </c>
    </row>
    <row r="1226" spans="1:2" x14ac:dyDescent="0.25">
      <c r="A1226" s="50"/>
      <c r="B1226" s="51"/>
    </row>
    <row r="1227" spans="1:2" x14ac:dyDescent="0.25">
      <c r="A1227" s="50"/>
      <c r="B1227" s="51" t="s">
        <v>721</v>
      </c>
    </row>
    <row r="1228" spans="1:2" x14ac:dyDescent="0.25">
      <c r="A1228" s="50"/>
      <c r="B1228" s="51"/>
    </row>
    <row r="1229" spans="1:2" x14ac:dyDescent="0.25">
      <c r="A1229" s="50"/>
      <c r="B1229" s="51" t="s">
        <v>722</v>
      </c>
    </row>
    <row r="1230" spans="1:2" x14ac:dyDescent="0.25">
      <c r="A1230" s="50"/>
      <c r="B1230" s="51"/>
    </row>
    <row r="1231" spans="1:2" x14ac:dyDescent="0.25">
      <c r="A1231" s="50"/>
      <c r="B1231" s="51" t="s">
        <v>723</v>
      </c>
    </row>
    <row r="1232" spans="1:2" x14ac:dyDescent="0.25">
      <c r="A1232" s="50"/>
      <c r="B1232" s="51"/>
    </row>
    <row r="1233" spans="1:2" x14ac:dyDescent="0.25">
      <c r="A1233" s="50"/>
      <c r="B1233" s="51" t="s">
        <v>724</v>
      </c>
    </row>
    <row r="1234" spans="1:2" x14ac:dyDescent="0.25">
      <c r="A1234" s="50"/>
      <c r="B1234" s="51"/>
    </row>
    <row r="1235" spans="1:2" x14ac:dyDescent="0.25">
      <c r="A1235" s="50"/>
      <c r="B1235" s="51" t="s">
        <v>488</v>
      </c>
    </row>
    <row r="1236" spans="1:2" x14ac:dyDescent="0.25">
      <c r="A1236" s="50"/>
      <c r="B1236" s="51"/>
    </row>
    <row r="1237" spans="1:2" x14ac:dyDescent="0.25">
      <c r="A1237" s="50"/>
      <c r="B1237" s="51" t="s">
        <v>725</v>
      </c>
    </row>
    <row r="1238" spans="1:2" x14ac:dyDescent="0.25">
      <c r="A1238" s="50"/>
      <c r="B1238" s="51"/>
    </row>
    <row r="1239" spans="1:2" x14ac:dyDescent="0.25">
      <c r="A1239" s="50"/>
      <c r="B1239" s="51" t="s">
        <v>726</v>
      </c>
    </row>
    <row r="1240" spans="1:2" x14ac:dyDescent="0.25">
      <c r="A1240" s="50"/>
      <c r="B1240" s="51"/>
    </row>
    <row r="1241" spans="1:2" x14ac:dyDescent="0.25">
      <c r="A1241" s="50"/>
      <c r="B1241" s="51" t="s">
        <v>727</v>
      </c>
    </row>
    <row r="1242" spans="1:2" x14ac:dyDescent="0.25">
      <c r="A1242" s="50"/>
      <c r="B1242" s="51"/>
    </row>
    <row r="1243" spans="1:2" x14ac:dyDescent="0.25">
      <c r="A1243" s="50"/>
      <c r="B1243" s="51" t="s">
        <v>650</v>
      </c>
    </row>
    <row r="1244" spans="1:2" x14ac:dyDescent="0.25">
      <c r="A1244" s="50"/>
      <c r="B1244" s="51"/>
    </row>
    <row r="1245" spans="1:2" x14ac:dyDescent="0.25">
      <c r="A1245" s="50"/>
      <c r="B1245" s="51" t="s">
        <v>708</v>
      </c>
    </row>
    <row r="1246" spans="1:2" x14ac:dyDescent="0.25">
      <c r="A1246" s="50"/>
      <c r="B1246" s="51"/>
    </row>
    <row r="1247" spans="1:2" x14ac:dyDescent="0.25">
      <c r="A1247" s="50"/>
      <c r="B1247" s="51" t="s">
        <v>728</v>
      </c>
    </row>
    <row r="1248" spans="1:2" x14ac:dyDescent="0.25">
      <c r="A1248" s="50"/>
      <c r="B1248" s="51"/>
    </row>
    <row r="1249" spans="1:2" x14ac:dyDescent="0.25">
      <c r="A1249" s="50"/>
      <c r="B1249" s="51" t="s">
        <v>290</v>
      </c>
    </row>
    <row r="1250" spans="1:2" x14ac:dyDescent="0.25">
      <c r="A1250" s="50"/>
      <c r="B1250" s="51"/>
    </row>
    <row r="1251" spans="1:2" x14ac:dyDescent="0.25">
      <c r="A1251" s="50"/>
      <c r="B1251" s="51" t="s">
        <v>729</v>
      </c>
    </row>
    <row r="1252" spans="1:2" x14ac:dyDescent="0.25">
      <c r="A1252" s="50"/>
      <c r="B1252" s="51"/>
    </row>
    <row r="1253" spans="1:2" x14ac:dyDescent="0.25">
      <c r="A1253" s="50"/>
      <c r="B1253" s="51" t="s">
        <v>456</v>
      </c>
    </row>
    <row r="1254" spans="1:2" x14ac:dyDescent="0.25">
      <c r="A1254" s="50"/>
      <c r="B1254" s="51"/>
    </row>
    <row r="1255" spans="1:2" x14ac:dyDescent="0.25">
      <c r="A1255" s="50"/>
      <c r="B1255" s="51" t="s">
        <v>696</v>
      </c>
    </row>
    <row r="1256" spans="1:2" x14ac:dyDescent="0.25">
      <c r="A1256" s="50"/>
      <c r="B1256" s="51"/>
    </row>
    <row r="1257" spans="1:2" x14ac:dyDescent="0.25">
      <c r="A1257" s="50"/>
      <c r="B1257" s="51" t="s">
        <v>730</v>
      </c>
    </row>
    <row r="1258" spans="1:2" x14ac:dyDescent="0.25">
      <c r="A1258" s="50"/>
      <c r="B1258" s="51"/>
    </row>
    <row r="1259" spans="1:2" x14ac:dyDescent="0.25">
      <c r="A1259" s="50"/>
      <c r="B1259" s="51" t="s">
        <v>731</v>
      </c>
    </row>
    <row r="1260" spans="1:2" x14ac:dyDescent="0.25">
      <c r="A1260" s="50"/>
      <c r="B1260" s="51"/>
    </row>
    <row r="1261" spans="1:2" x14ac:dyDescent="0.25">
      <c r="A1261" s="50"/>
      <c r="B1261" s="51" t="s">
        <v>732</v>
      </c>
    </row>
    <row r="1262" spans="1:2" x14ac:dyDescent="0.25">
      <c r="A1262" s="50"/>
      <c r="B1262" s="51"/>
    </row>
    <row r="1263" spans="1:2" x14ac:dyDescent="0.25">
      <c r="A1263" s="50"/>
      <c r="B1263" s="51" t="s">
        <v>733</v>
      </c>
    </row>
    <row r="1264" spans="1:2" x14ac:dyDescent="0.25">
      <c r="A1264" s="50"/>
      <c r="B1264" s="51"/>
    </row>
    <row r="1265" spans="1:2" x14ac:dyDescent="0.25">
      <c r="A1265" s="50"/>
      <c r="B1265" s="51" t="s">
        <v>518</v>
      </c>
    </row>
    <row r="1266" spans="1:2" x14ac:dyDescent="0.25">
      <c r="A1266" s="50"/>
      <c r="B1266" s="51"/>
    </row>
    <row r="1267" spans="1:2" x14ac:dyDescent="0.25">
      <c r="A1267" s="50"/>
      <c r="B1267" s="51" t="s">
        <v>325</v>
      </c>
    </row>
    <row r="1268" spans="1:2" x14ac:dyDescent="0.25">
      <c r="A1268" s="50"/>
      <c r="B1268" s="51"/>
    </row>
    <row r="1269" spans="1:2" x14ac:dyDescent="0.25">
      <c r="A1269" s="50"/>
      <c r="B1269" s="51" t="s">
        <v>734</v>
      </c>
    </row>
    <row r="1270" spans="1:2" x14ac:dyDescent="0.25">
      <c r="A1270" s="50"/>
      <c r="B1270" s="51"/>
    </row>
    <row r="1271" spans="1:2" x14ac:dyDescent="0.25">
      <c r="A1271" s="50"/>
      <c r="B1271" s="51" t="s">
        <v>415</v>
      </c>
    </row>
    <row r="1272" spans="1:2" x14ac:dyDescent="0.25">
      <c r="A1272" s="50"/>
      <c r="B1272" s="51"/>
    </row>
    <row r="1273" spans="1:2" x14ac:dyDescent="0.25">
      <c r="A1273" s="50"/>
      <c r="B1273" s="51" t="s">
        <v>735</v>
      </c>
    </row>
    <row r="1274" spans="1:2" x14ac:dyDescent="0.25">
      <c r="A1274" s="50"/>
      <c r="B1274" s="51"/>
    </row>
    <row r="1275" spans="1:2" x14ac:dyDescent="0.25">
      <c r="A1275" s="50"/>
      <c r="B1275" s="51" t="s">
        <v>524</v>
      </c>
    </row>
    <row r="1276" spans="1:2" x14ac:dyDescent="0.25">
      <c r="A1276" s="50"/>
      <c r="B1276" s="51"/>
    </row>
    <row r="1277" spans="1:2" x14ac:dyDescent="0.25">
      <c r="A1277" s="50"/>
      <c r="B1277" s="51" t="s">
        <v>476</v>
      </c>
    </row>
    <row r="1278" spans="1:2" x14ac:dyDescent="0.25">
      <c r="A1278" s="50"/>
      <c r="B1278" s="51"/>
    </row>
    <row r="1279" spans="1:2" x14ac:dyDescent="0.25">
      <c r="A1279" s="50"/>
      <c r="B1279" s="51" t="s">
        <v>438</v>
      </c>
    </row>
    <row r="1280" spans="1:2" x14ac:dyDescent="0.25">
      <c r="A1280" s="50"/>
      <c r="B1280" s="51"/>
    </row>
    <row r="1281" spans="1:2" x14ac:dyDescent="0.25">
      <c r="A1281" s="50"/>
      <c r="B1281" s="51" t="s">
        <v>736</v>
      </c>
    </row>
    <row r="1282" spans="1:2" x14ac:dyDescent="0.25">
      <c r="A1282" s="50"/>
      <c r="B1282" s="51"/>
    </row>
    <row r="1283" spans="1:2" x14ac:dyDescent="0.25">
      <c r="A1283" s="50"/>
      <c r="B1283" s="51" t="s">
        <v>688</v>
      </c>
    </row>
    <row r="1284" spans="1:2" x14ac:dyDescent="0.25">
      <c r="A1284" s="50"/>
      <c r="B1284" s="51"/>
    </row>
    <row r="1285" spans="1:2" x14ac:dyDescent="0.25">
      <c r="A1285" s="50"/>
      <c r="B1285" s="51" t="s">
        <v>737</v>
      </c>
    </row>
    <row r="1286" spans="1:2" x14ac:dyDescent="0.25">
      <c r="A1286" s="50"/>
      <c r="B1286" s="51"/>
    </row>
    <row r="1287" spans="1:2" x14ac:dyDescent="0.25">
      <c r="A1287" s="50"/>
      <c r="B1287" s="51" t="s">
        <v>513</v>
      </c>
    </row>
    <row r="1288" spans="1:2" x14ac:dyDescent="0.25">
      <c r="A1288" s="50"/>
      <c r="B1288" s="51"/>
    </row>
    <row r="1289" spans="1:2" x14ac:dyDescent="0.25">
      <c r="A1289" s="50"/>
      <c r="B1289" s="51" t="s">
        <v>738</v>
      </c>
    </row>
    <row r="1290" spans="1:2" x14ac:dyDescent="0.25">
      <c r="A1290" s="50"/>
      <c r="B1290" s="51"/>
    </row>
    <row r="1291" spans="1:2" x14ac:dyDescent="0.25">
      <c r="A1291" s="50"/>
      <c r="B1291" s="51" t="s">
        <v>739</v>
      </c>
    </row>
    <row r="1292" spans="1:2" x14ac:dyDescent="0.25">
      <c r="A1292" s="50"/>
      <c r="B1292" s="51"/>
    </row>
    <row r="1293" spans="1:2" x14ac:dyDescent="0.25">
      <c r="A1293" s="50"/>
      <c r="B1293" s="51" t="s">
        <v>450</v>
      </c>
    </row>
    <row r="1294" spans="1:2" x14ac:dyDescent="0.25">
      <c r="A1294" s="50"/>
      <c r="B1294" s="51"/>
    </row>
    <row r="1295" spans="1:2" x14ac:dyDescent="0.25">
      <c r="A1295" s="50"/>
      <c r="B1295" s="51" t="s">
        <v>740</v>
      </c>
    </row>
    <row r="1296" spans="1:2" x14ac:dyDescent="0.25">
      <c r="A1296" s="50"/>
      <c r="B1296" s="51"/>
    </row>
    <row r="1297" spans="1:2" x14ac:dyDescent="0.25">
      <c r="A1297" s="50"/>
      <c r="B1297" s="51" t="s">
        <v>538</v>
      </c>
    </row>
    <row r="1298" spans="1:2" x14ac:dyDescent="0.25">
      <c r="A1298" s="50"/>
      <c r="B1298" s="51"/>
    </row>
    <row r="1299" spans="1:2" x14ac:dyDescent="0.25">
      <c r="A1299" s="50"/>
      <c r="B1299" s="51" t="s">
        <v>741</v>
      </c>
    </row>
    <row r="1300" spans="1:2" x14ac:dyDescent="0.25">
      <c r="A1300" s="50"/>
      <c r="B1300" s="51"/>
    </row>
    <row r="1301" spans="1:2" x14ac:dyDescent="0.25">
      <c r="A1301" s="50"/>
      <c r="B1301" s="51" t="s">
        <v>525</v>
      </c>
    </row>
    <row r="1302" spans="1:2" x14ac:dyDescent="0.25">
      <c r="A1302" s="50"/>
      <c r="B1302" s="51"/>
    </row>
    <row r="1303" spans="1:2" x14ac:dyDescent="0.25">
      <c r="A1303" s="50"/>
      <c r="B1303" s="51" t="s">
        <v>470</v>
      </c>
    </row>
    <row r="1304" spans="1:2" x14ac:dyDescent="0.25">
      <c r="A1304" s="50"/>
      <c r="B1304" s="51"/>
    </row>
    <row r="1305" spans="1:2" x14ac:dyDescent="0.25">
      <c r="A1305" s="50"/>
      <c r="B1305" s="51" t="s">
        <v>685</v>
      </c>
    </row>
    <row r="1306" spans="1:2" x14ac:dyDescent="0.25">
      <c r="A1306" s="50"/>
      <c r="B1306" s="51"/>
    </row>
    <row r="1307" spans="1:2" x14ac:dyDescent="0.25">
      <c r="A1307" s="50"/>
      <c r="B1307" s="51" t="s">
        <v>742</v>
      </c>
    </row>
    <row r="1308" spans="1:2" x14ac:dyDescent="0.25">
      <c r="A1308" s="50"/>
      <c r="B1308" s="51"/>
    </row>
    <row r="1309" spans="1:2" x14ac:dyDescent="0.25">
      <c r="A1309" s="50"/>
      <c r="B1309" s="51" t="s">
        <v>457</v>
      </c>
    </row>
    <row r="1310" spans="1:2" x14ac:dyDescent="0.25">
      <c r="A1310" s="50"/>
      <c r="B1310" s="51"/>
    </row>
    <row r="1311" spans="1:2" x14ac:dyDescent="0.25">
      <c r="A1311" s="50"/>
      <c r="B1311" s="51" t="s">
        <v>468</v>
      </c>
    </row>
    <row r="1312" spans="1:2" x14ac:dyDescent="0.25">
      <c r="A1312" s="50"/>
      <c r="B1312" s="51"/>
    </row>
    <row r="1313" spans="1:2" x14ac:dyDescent="0.25">
      <c r="A1313" s="50"/>
      <c r="B1313" s="51" t="s">
        <v>743</v>
      </c>
    </row>
    <row r="1314" spans="1:2" x14ac:dyDescent="0.25">
      <c r="A1314" s="50"/>
      <c r="B1314" s="51"/>
    </row>
    <row r="1315" spans="1:2" x14ac:dyDescent="0.25">
      <c r="A1315" s="50"/>
      <c r="B1315" s="51" t="s">
        <v>469</v>
      </c>
    </row>
    <row r="1316" spans="1:2" x14ac:dyDescent="0.25">
      <c r="A1316" s="50"/>
      <c r="B1316" s="51"/>
    </row>
    <row r="1317" spans="1:2" x14ac:dyDescent="0.25">
      <c r="A1317" s="50"/>
      <c r="B1317" s="51" t="s">
        <v>744</v>
      </c>
    </row>
    <row r="1318" spans="1:2" x14ac:dyDescent="0.25">
      <c r="A1318" s="50"/>
      <c r="B1318" s="51"/>
    </row>
    <row r="1319" spans="1:2" x14ac:dyDescent="0.25">
      <c r="A1319" s="50"/>
      <c r="B1319" s="51" t="s">
        <v>745</v>
      </c>
    </row>
    <row r="1320" spans="1:2" x14ac:dyDescent="0.25">
      <c r="A1320" s="50"/>
      <c r="B1320" s="51"/>
    </row>
    <row r="1321" spans="1:2" x14ac:dyDescent="0.25">
      <c r="A1321" s="50"/>
      <c r="B1321" s="51" t="s">
        <v>746</v>
      </c>
    </row>
    <row r="1322" spans="1:2" x14ac:dyDescent="0.25">
      <c r="A1322" s="50"/>
      <c r="B1322" s="51"/>
    </row>
    <row r="1323" spans="1:2" x14ac:dyDescent="0.25">
      <c r="A1323" s="50"/>
      <c r="B1323" s="51" t="s">
        <v>747</v>
      </c>
    </row>
    <row r="1324" spans="1:2" x14ac:dyDescent="0.25">
      <c r="A1324" s="50"/>
      <c r="B1324" s="51"/>
    </row>
    <row r="1325" spans="1:2" x14ac:dyDescent="0.25">
      <c r="A1325" s="50"/>
      <c r="B1325" s="51" t="s">
        <v>583</v>
      </c>
    </row>
    <row r="1326" spans="1:2" x14ac:dyDescent="0.25">
      <c r="A1326" s="50"/>
      <c r="B1326" s="51"/>
    </row>
    <row r="1327" spans="1:2" x14ac:dyDescent="0.25">
      <c r="A1327" s="50"/>
      <c r="B1327" s="51" t="s">
        <v>520</v>
      </c>
    </row>
    <row r="1328" spans="1:2" x14ac:dyDescent="0.25">
      <c r="A1328" s="50"/>
      <c r="B1328" s="51"/>
    </row>
    <row r="1329" spans="1:2" x14ac:dyDescent="0.25">
      <c r="A1329" s="50"/>
      <c r="B1329" s="51" t="s">
        <v>588</v>
      </c>
    </row>
    <row r="1330" spans="1:2" x14ac:dyDescent="0.25">
      <c r="A1330" s="50"/>
      <c r="B1330" s="51"/>
    </row>
    <row r="1331" spans="1:2" x14ac:dyDescent="0.25">
      <c r="A1331" s="50"/>
      <c r="B1331" s="51" t="s">
        <v>586</v>
      </c>
    </row>
    <row r="1332" spans="1:2" x14ac:dyDescent="0.25">
      <c r="A1332" s="50"/>
      <c r="B1332" s="51"/>
    </row>
    <row r="1333" spans="1:2" x14ac:dyDescent="0.25">
      <c r="A1333" s="50"/>
      <c r="B1333" s="51" t="s">
        <v>560</v>
      </c>
    </row>
    <row r="1334" spans="1:2" x14ac:dyDescent="0.25">
      <c r="A1334" s="50"/>
      <c r="B1334" s="51"/>
    </row>
    <row r="1335" spans="1:2" x14ac:dyDescent="0.25">
      <c r="A1335" s="50"/>
      <c r="B1335" s="51" t="s">
        <v>579</v>
      </c>
    </row>
    <row r="1336" spans="1:2" x14ac:dyDescent="0.25">
      <c r="A1336" s="50"/>
      <c r="B1336" s="51"/>
    </row>
    <row r="1337" spans="1:2" x14ac:dyDescent="0.25">
      <c r="A1337" s="50"/>
      <c r="B1337" s="51" t="s">
        <v>580</v>
      </c>
    </row>
    <row r="1338" spans="1:2" x14ac:dyDescent="0.25">
      <c r="A1338" s="50"/>
      <c r="B1338" s="51"/>
    </row>
    <row r="1339" spans="1:2" x14ac:dyDescent="0.25">
      <c r="A1339" s="50"/>
      <c r="B1339" s="51" t="s">
        <v>748</v>
      </c>
    </row>
    <row r="1340" spans="1:2" x14ac:dyDescent="0.25">
      <c r="A1340" s="50"/>
      <c r="B1340" s="51"/>
    </row>
    <row r="1341" spans="1:2" x14ac:dyDescent="0.25">
      <c r="A1341" s="50"/>
      <c r="B1341" s="51" t="s">
        <v>749</v>
      </c>
    </row>
    <row r="1342" spans="1:2" x14ac:dyDescent="0.25">
      <c r="A1342" s="50"/>
      <c r="B1342" s="51"/>
    </row>
    <row r="1343" spans="1:2" x14ac:dyDescent="0.25">
      <c r="A1343" s="50"/>
      <c r="B1343" s="51" t="s">
        <v>724</v>
      </c>
    </row>
    <row r="1344" spans="1:2" x14ac:dyDescent="0.25">
      <c r="A1344" s="50"/>
      <c r="B1344" s="51"/>
    </row>
    <row r="1345" spans="1:2" x14ac:dyDescent="0.25">
      <c r="A1345" s="50"/>
      <c r="B1345" s="51" t="s">
        <v>750</v>
      </c>
    </row>
    <row r="1346" spans="1:2" x14ac:dyDescent="0.25">
      <c r="A1346" s="50"/>
      <c r="B1346" s="51"/>
    </row>
    <row r="1347" spans="1:2" x14ac:dyDescent="0.25">
      <c r="A1347" s="50"/>
      <c r="B1347" s="51" t="s">
        <v>751</v>
      </c>
    </row>
    <row r="1348" spans="1:2" x14ac:dyDescent="0.25">
      <c r="A1348" s="50"/>
    </row>
    <row r="1349" spans="1:2" x14ac:dyDescent="0.25">
      <c r="A1349" s="50"/>
      <c r="B1349" s="51" t="s">
        <v>574</v>
      </c>
    </row>
    <row r="1350" spans="1:2" x14ac:dyDescent="0.25">
      <c r="A1350" s="50"/>
      <c r="B1350" s="51"/>
    </row>
    <row r="1351" spans="1:2" x14ac:dyDescent="0.25">
      <c r="A1351" s="50"/>
      <c r="B1351" s="51" t="s">
        <v>685</v>
      </c>
    </row>
    <row r="1352" spans="1:2" x14ac:dyDescent="0.25">
      <c r="A1352" s="50"/>
      <c r="B1352" s="51"/>
    </row>
    <row r="1353" spans="1:2" x14ac:dyDescent="0.25">
      <c r="A1353" s="50"/>
      <c r="B1353" s="51" t="s">
        <v>590</v>
      </c>
    </row>
    <row r="1354" spans="1:2" x14ac:dyDescent="0.25">
      <c r="A1354" s="50"/>
      <c r="B1354" s="51"/>
    </row>
    <row r="1355" spans="1:2" x14ac:dyDescent="0.25">
      <c r="A1355" s="50"/>
      <c r="B1355" s="51" t="s">
        <v>591</v>
      </c>
    </row>
    <row r="1356" spans="1:2" x14ac:dyDescent="0.25">
      <c r="A1356" s="50"/>
      <c r="B1356" s="51"/>
    </row>
    <row r="1357" spans="1:2" x14ac:dyDescent="0.25">
      <c r="A1357" s="50"/>
      <c r="B1357" s="51" t="s">
        <v>578</v>
      </c>
    </row>
    <row r="1358" spans="1:2" x14ac:dyDescent="0.25">
      <c r="A1358" s="50"/>
      <c r="B1358" s="51"/>
    </row>
    <row r="1359" spans="1:2" x14ac:dyDescent="0.25">
      <c r="A1359" s="50"/>
      <c r="B1359" s="51" t="s">
        <v>592</v>
      </c>
    </row>
    <row r="1360" spans="1:2" x14ac:dyDescent="0.25">
      <c r="A1360" s="50"/>
      <c r="B1360" s="51"/>
    </row>
    <row r="1361" spans="1:2" x14ac:dyDescent="0.25">
      <c r="A1361" s="50"/>
      <c r="B1361" s="51" t="s">
        <v>581</v>
      </c>
    </row>
    <row r="1362" spans="1:2" x14ac:dyDescent="0.25">
      <c r="A1362" s="50"/>
      <c r="B1362" s="51"/>
    </row>
    <row r="1363" spans="1:2" x14ac:dyDescent="0.25">
      <c r="A1363" s="50"/>
      <c r="B1363" s="51" t="s">
        <v>752</v>
      </c>
    </row>
    <row r="1364" spans="1:2" x14ac:dyDescent="0.25">
      <c r="A1364" s="50"/>
      <c r="B1364" s="51"/>
    </row>
    <row r="1365" spans="1:2" x14ac:dyDescent="0.25">
      <c r="A1365" s="50"/>
      <c r="B1365" s="51" t="s">
        <v>753</v>
      </c>
    </row>
    <row r="1366" spans="1:2" x14ac:dyDescent="0.25">
      <c r="A1366" s="50"/>
      <c r="B1366" s="51"/>
    </row>
    <row r="1367" spans="1:2" x14ac:dyDescent="0.25">
      <c r="A1367" s="50"/>
      <c r="B1367" s="51" t="s">
        <v>754</v>
      </c>
    </row>
    <row r="1368" spans="1:2" x14ac:dyDescent="0.25">
      <c r="A1368" s="50"/>
      <c r="B1368" s="51"/>
    </row>
    <row r="1369" spans="1:2" x14ac:dyDescent="0.25">
      <c r="A1369" s="50"/>
      <c r="B1369" s="51" t="s">
        <v>755</v>
      </c>
    </row>
    <row r="1370" spans="1:2" x14ac:dyDescent="0.25">
      <c r="A1370" s="50"/>
      <c r="B1370" s="51"/>
    </row>
    <row r="1371" spans="1:2" x14ac:dyDescent="0.25">
      <c r="A1371" s="50"/>
      <c r="B1371" s="51" t="s">
        <v>495</v>
      </c>
    </row>
    <row r="1372" spans="1:2" x14ac:dyDescent="0.25">
      <c r="A1372" s="50"/>
      <c r="B1372" s="51"/>
    </row>
    <row r="1373" spans="1:2" x14ac:dyDescent="0.25">
      <c r="A1373" s="50"/>
      <c r="B1373" s="51" t="s">
        <v>320</v>
      </c>
    </row>
    <row r="1374" spans="1:2" x14ac:dyDescent="0.25">
      <c r="A1374" s="50"/>
      <c r="B1374" s="51"/>
    </row>
    <row r="1375" spans="1:2" x14ac:dyDescent="0.25">
      <c r="A1375" s="50"/>
      <c r="B1375" s="51" t="s">
        <v>756</v>
      </c>
    </row>
    <row r="1376" spans="1:2" x14ac:dyDescent="0.25">
      <c r="A1376" s="50"/>
      <c r="B1376" s="51"/>
    </row>
    <row r="1377" spans="1:2" x14ac:dyDescent="0.25">
      <c r="A1377" s="50"/>
      <c r="B1377" s="51" t="s">
        <v>757</v>
      </c>
    </row>
    <row r="1378" spans="1:2" x14ac:dyDescent="0.25">
      <c r="A1378" s="50"/>
      <c r="B1378" s="51"/>
    </row>
    <row r="1379" spans="1:2" x14ac:dyDescent="0.25">
      <c r="A1379" s="50"/>
      <c r="B1379" s="51" t="s">
        <v>300</v>
      </c>
    </row>
    <row r="1380" spans="1:2" x14ac:dyDescent="0.25">
      <c r="A1380" s="50"/>
      <c r="B1380" s="51"/>
    </row>
    <row r="1381" spans="1:2" x14ac:dyDescent="0.25">
      <c r="A1381" s="50"/>
      <c r="B1381" s="51" t="s">
        <v>758</v>
      </c>
    </row>
    <row r="1382" spans="1:2" x14ac:dyDescent="0.25">
      <c r="A1382" s="50"/>
      <c r="B1382" s="51"/>
    </row>
    <row r="1383" spans="1:2" x14ac:dyDescent="0.25">
      <c r="A1383" s="50"/>
      <c r="B1383" s="51" t="s">
        <v>274</v>
      </c>
    </row>
    <row r="1384" spans="1:2" x14ac:dyDescent="0.25">
      <c r="A1384" s="50"/>
      <c r="B1384" s="51"/>
    </row>
    <row r="1385" spans="1:2" x14ac:dyDescent="0.25">
      <c r="A1385" s="50"/>
      <c r="B1385" s="51" t="s">
        <v>551</v>
      </c>
    </row>
    <row r="1386" spans="1:2" x14ac:dyDescent="0.25">
      <c r="A1386" s="50"/>
      <c r="B1386" s="51"/>
    </row>
    <row r="1387" spans="1:2" x14ac:dyDescent="0.25">
      <c r="A1387" s="50"/>
      <c r="B1387" s="51" t="s">
        <v>759</v>
      </c>
    </row>
    <row r="1388" spans="1:2" x14ac:dyDescent="0.25">
      <c r="A1388" s="50"/>
      <c r="B1388" s="51"/>
    </row>
    <row r="1389" spans="1:2" x14ac:dyDescent="0.25">
      <c r="A1389" s="50"/>
      <c r="B1389" s="51" t="s">
        <v>760</v>
      </c>
    </row>
    <row r="1390" spans="1:2" x14ac:dyDescent="0.25">
      <c r="A1390" s="50"/>
      <c r="B1390" s="51"/>
    </row>
    <row r="1391" spans="1:2" x14ac:dyDescent="0.25">
      <c r="A1391" s="50"/>
      <c r="B1391" s="51" t="s">
        <v>519</v>
      </c>
    </row>
    <row r="1392" spans="1:2" x14ac:dyDescent="0.25">
      <c r="A1392" s="50"/>
      <c r="B1392" s="51"/>
    </row>
    <row r="1393" spans="1:2" x14ac:dyDescent="0.25">
      <c r="A1393" s="50"/>
      <c r="B1393" s="51" t="s">
        <v>276</v>
      </c>
    </row>
    <row r="1394" spans="1:2" x14ac:dyDescent="0.25">
      <c r="A1394" s="50"/>
      <c r="B1394" s="51"/>
    </row>
    <row r="1395" spans="1:2" x14ac:dyDescent="0.25">
      <c r="A1395" s="50"/>
      <c r="B1395" s="51" t="s">
        <v>557</v>
      </c>
    </row>
    <row r="1396" spans="1:2" x14ac:dyDescent="0.25">
      <c r="A1396" s="50"/>
      <c r="B1396" s="51"/>
    </row>
    <row r="1397" spans="1:2" x14ac:dyDescent="0.25">
      <c r="A1397" s="50"/>
      <c r="B1397" s="51" t="s">
        <v>684</v>
      </c>
    </row>
    <row r="1398" spans="1:2" x14ac:dyDescent="0.25">
      <c r="A1398" s="50"/>
      <c r="B1398" s="51"/>
    </row>
    <row r="1399" spans="1:2" x14ac:dyDescent="0.25">
      <c r="A1399" s="50"/>
      <c r="B1399" s="51" t="s">
        <v>682</v>
      </c>
    </row>
    <row r="1400" spans="1:2" x14ac:dyDescent="0.25">
      <c r="A1400" s="50"/>
      <c r="B1400" s="51"/>
    </row>
    <row r="1401" spans="1:2" x14ac:dyDescent="0.25">
      <c r="A1401" s="50"/>
      <c r="B1401" s="51" t="s">
        <v>761</v>
      </c>
    </row>
    <row r="1402" spans="1:2" x14ac:dyDescent="0.25">
      <c r="A1402" s="50"/>
      <c r="B1402" s="51"/>
    </row>
    <row r="1403" spans="1:2" x14ac:dyDescent="0.25">
      <c r="A1403" s="50"/>
      <c r="B1403" s="51" t="s">
        <v>762</v>
      </c>
    </row>
    <row r="1404" spans="1:2" x14ac:dyDescent="0.25">
      <c r="A1404" s="50"/>
      <c r="B1404" s="51"/>
    </row>
    <row r="1405" spans="1:2" x14ac:dyDescent="0.25">
      <c r="A1405" s="50"/>
      <c r="B1405" s="51" t="s">
        <v>763</v>
      </c>
    </row>
    <row r="1406" spans="1:2" x14ac:dyDescent="0.25">
      <c r="A1406" s="50"/>
      <c r="B1406" s="51"/>
    </row>
    <row r="1407" spans="1:2" x14ac:dyDescent="0.25">
      <c r="A1407" s="50"/>
      <c r="B1407" s="51" t="s">
        <v>528</v>
      </c>
    </row>
    <row r="1408" spans="1:2" x14ac:dyDescent="0.25">
      <c r="A1408" s="50"/>
      <c r="B1408" s="51"/>
    </row>
    <row r="1409" spans="1:2" x14ac:dyDescent="0.25">
      <c r="A1409" s="50"/>
      <c r="B1409" s="51" t="s">
        <v>764</v>
      </c>
    </row>
    <row r="1410" spans="1:2" x14ac:dyDescent="0.25">
      <c r="A1410" s="50"/>
      <c r="B1410" s="51"/>
    </row>
    <row r="1411" spans="1:2" x14ac:dyDescent="0.25">
      <c r="A1411" s="50"/>
      <c r="B1411" s="51" t="s">
        <v>543</v>
      </c>
    </row>
    <row r="1412" spans="1:2" x14ac:dyDescent="0.25">
      <c r="A1412" s="50"/>
      <c r="B1412" s="51"/>
    </row>
    <row r="1413" spans="1:2" x14ac:dyDescent="0.25">
      <c r="A1413" s="50"/>
      <c r="B1413" s="51" t="s">
        <v>765</v>
      </c>
    </row>
    <row r="1414" spans="1:2" x14ac:dyDescent="0.25">
      <c r="A1414" s="50"/>
      <c r="B1414" s="51"/>
    </row>
    <row r="1415" spans="1:2" x14ac:dyDescent="0.25">
      <c r="A1415" s="50"/>
      <c r="B1415" s="51" t="s">
        <v>766</v>
      </c>
    </row>
    <row r="1416" spans="1:2" x14ac:dyDescent="0.25">
      <c r="A1416" s="50"/>
      <c r="B1416" s="51"/>
    </row>
    <row r="1417" spans="1:2" x14ac:dyDescent="0.25">
      <c r="A1417" s="50"/>
      <c r="B1417" s="51" t="s">
        <v>767</v>
      </c>
    </row>
    <row r="1418" spans="1:2" x14ac:dyDescent="0.25">
      <c r="A1418" s="50"/>
      <c r="B1418" s="51"/>
    </row>
    <row r="1419" spans="1:2" x14ac:dyDescent="0.25">
      <c r="A1419" s="50"/>
      <c r="B1419" s="51" t="s">
        <v>768</v>
      </c>
    </row>
    <row r="1420" spans="1:2" x14ac:dyDescent="0.25">
      <c r="A1420" s="50"/>
      <c r="B1420" s="51"/>
    </row>
    <row r="1421" spans="1:2" x14ac:dyDescent="0.25">
      <c r="A1421" s="50"/>
      <c r="B1421" s="51" t="s">
        <v>769</v>
      </c>
    </row>
    <row r="1422" spans="1:2" x14ac:dyDescent="0.25">
      <c r="A1422" s="50"/>
      <c r="B1422" s="51"/>
    </row>
    <row r="1423" spans="1:2" x14ac:dyDescent="0.25">
      <c r="A1423" s="50"/>
      <c r="B1423" s="51" t="s">
        <v>770</v>
      </c>
    </row>
    <row r="1424" spans="1:2" x14ac:dyDescent="0.25">
      <c r="A1424" s="50"/>
      <c r="B1424" s="51"/>
    </row>
    <row r="1425" spans="1:2" x14ac:dyDescent="0.25">
      <c r="A1425" s="50"/>
      <c r="B1425" s="51" t="s">
        <v>570</v>
      </c>
    </row>
    <row r="1426" spans="1:2" x14ac:dyDescent="0.25">
      <c r="A1426" s="50"/>
      <c r="B1426" s="51"/>
    </row>
    <row r="1427" spans="1:2" x14ac:dyDescent="0.25">
      <c r="A1427" s="50"/>
      <c r="B1427" s="51" t="s">
        <v>771</v>
      </c>
    </row>
    <row r="1428" spans="1:2" x14ac:dyDescent="0.25">
      <c r="A1428" s="50"/>
      <c r="B1428" s="51"/>
    </row>
    <row r="1429" spans="1:2" x14ac:dyDescent="0.25">
      <c r="A1429" s="50"/>
      <c r="B1429" s="51" t="s">
        <v>567</v>
      </c>
    </row>
    <row r="1430" spans="1:2" x14ac:dyDescent="0.25">
      <c r="A1430" s="50"/>
      <c r="B1430" s="51"/>
    </row>
    <row r="1431" spans="1:2" x14ac:dyDescent="0.25">
      <c r="A1431" s="50"/>
      <c r="B1431" s="51" t="s">
        <v>502</v>
      </c>
    </row>
    <row r="1432" spans="1:2" x14ac:dyDescent="0.25">
      <c r="A1432" s="50"/>
      <c r="B1432" s="51"/>
    </row>
    <row r="1433" spans="1:2" x14ac:dyDescent="0.25">
      <c r="A1433" s="50"/>
      <c r="B1433" s="51" t="s">
        <v>395</v>
      </c>
    </row>
    <row r="1434" spans="1:2" x14ac:dyDescent="0.25">
      <c r="A1434" s="50"/>
      <c r="B1434" s="51"/>
    </row>
    <row r="1435" spans="1:2" x14ac:dyDescent="0.25">
      <c r="A1435" s="50"/>
      <c r="B1435" s="51" t="s">
        <v>489</v>
      </c>
    </row>
    <row r="1436" spans="1:2" x14ac:dyDescent="0.25">
      <c r="A1436" s="50"/>
      <c r="B1436" s="51"/>
    </row>
    <row r="1437" spans="1:2" x14ac:dyDescent="0.25">
      <c r="A1437" s="50"/>
      <c r="B1437" s="51" t="s">
        <v>439</v>
      </c>
    </row>
    <row r="1438" spans="1:2" x14ac:dyDescent="0.25">
      <c r="A1438" s="50"/>
      <c r="B1438" s="51"/>
    </row>
    <row r="1439" spans="1:2" x14ac:dyDescent="0.25">
      <c r="A1439" s="50"/>
      <c r="B1439" s="51" t="s">
        <v>688</v>
      </c>
    </row>
    <row r="1440" spans="1:2" x14ac:dyDescent="0.25">
      <c r="A1440" s="50"/>
      <c r="B1440" s="51"/>
    </row>
    <row r="1441" spans="1:2" x14ac:dyDescent="0.25">
      <c r="A1441" s="50"/>
      <c r="B1441" s="51" t="s">
        <v>772</v>
      </c>
    </row>
    <row r="1442" spans="1:2" x14ac:dyDescent="0.25">
      <c r="A1442" s="50"/>
      <c r="B1442" s="51"/>
    </row>
    <row r="1443" spans="1:2" x14ac:dyDescent="0.25">
      <c r="A1443" s="50"/>
      <c r="B1443" s="51" t="s">
        <v>541</v>
      </c>
    </row>
    <row r="1444" spans="1:2" x14ac:dyDescent="0.25">
      <c r="A1444" s="50"/>
      <c r="B1444" s="51"/>
    </row>
    <row r="1445" spans="1:2" x14ac:dyDescent="0.25">
      <c r="A1445" s="50"/>
      <c r="B1445" s="51" t="s">
        <v>442</v>
      </c>
    </row>
    <row r="1446" spans="1:2" x14ac:dyDescent="0.25">
      <c r="A1446" s="50"/>
      <c r="B1446" s="51"/>
    </row>
    <row r="1447" spans="1:2" x14ac:dyDescent="0.25">
      <c r="A1447" s="50"/>
      <c r="B1447" s="51" t="s">
        <v>773</v>
      </c>
    </row>
    <row r="1448" spans="1:2" x14ac:dyDescent="0.25">
      <c r="A1448" s="50"/>
      <c r="B1448" s="51"/>
    </row>
    <row r="1449" spans="1:2" x14ac:dyDescent="0.25">
      <c r="A1449" s="50"/>
      <c r="B1449" s="51" t="s">
        <v>774</v>
      </c>
    </row>
    <row r="1450" spans="1:2" x14ac:dyDescent="0.25">
      <c r="A1450" s="50"/>
      <c r="B1450" s="51"/>
    </row>
    <row r="1451" spans="1:2" x14ac:dyDescent="0.25">
      <c r="A1451" s="50"/>
      <c r="B1451" s="51" t="s">
        <v>775</v>
      </c>
    </row>
    <row r="1452" spans="1:2" x14ac:dyDescent="0.25">
      <c r="A1452" s="50"/>
      <c r="B1452" s="51"/>
    </row>
    <row r="1453" spans="1:2" x14ac:dyDescent="0.25">
      <c r="A1453" s="50"/>
      <c r="B1453" s="51" t="s">
        <v>776</v>
      </c>
    </row>
    <row r="1454" spans="1:2" x14ac:dyDescent="0.25">
      <c r="A1454" s="50"/>
      <c r="B1454" s="51"/>
    </row>
    <row r="1455" spans="1:2" x14ac:dyDescent="0.25">
      <c r="A1455" s="50"/>
      <c r="B1455" s="51" t="s">
        <v>777</v>
      </c>
    </row>
    <row r="1456" spans="1:2" x14ac:dyDescent="0.25">
      <c r="A1456" s="50"/>
      <c r="B1456" s="51"/>
    </row>
    <row r="1457" spans="1:2" x14ac:dyDescent="0.25">
      <c r="A1457" s="50"/>
      <c r="B1457" s="51" t="s">
        <v>589</v>
      </c>
    </row>
    <row r="1458" spans="1:2" x14ac:dyDescent="0.25">
      <c r="A1458" s="50"/>
      <c r="B1458" s="51"/>
    </row>
    <row r="1459" spans="1:2" x14ac:dyDescent="0.25">
      <c r="A1459" s="50"/>
      <c r="B1459" s="51" t="s">
        <v>778</v>
      </c>
    </row>
    <row r="1460" spans="1:2" x14ac:dyDescent="0.25">
      <c r="A1460" s="50"/>
      <c r="B1460" s="51"/>
    </row>
    <row r="1461" spans="1:2" x14ac:dyDescent="0.25">
      <c r="A1461" s="50"/>
      <c r="B1461" s="51" t="s">
        <v>418</v>
      </c>
    </row>
    <row r="1462" spans="1:2" x14ac:dyDescent="0.25">
      <c r="A1462" s="50"/>
      <c r="B1462" s="51"/>
    </row>
    <row r="1463" spans="1:2" x14ac:dyDescent="0.25">
      <c r="A1463" s="50"/>
      <c r="B1463" s="51" t="s">
        <v>286</v>
      </c>
    </row>
    <row r="1464" spans="1:2" x14ac:dyDescent="0.25">
      <c r="A1464" s="50"/>
      <c r="B1464" s="51"/>
    </row>
    <row r="1465" spans="1:2" x14ac:dyDescent="0.25">
      <c r="A1465" s="50"/>
      <c r="B1465" s="51" t="s">
        <v>779</v>
      </c>
    </row>
    <row r="1466" spans="1:2" x14ac:dyDescent="0.25">
      <c r="A1466" s="50"/>
      <c r="B1466" s="51"/>
    </row>
    <row r="1467" spans="1:2" x14ac:dyDescent="0.25">
      <c r="A1467" s="50"/>
      <c r="B1467" s="51" t="s">
        <v>780</v>
      </c>
    </row>
    <row r="1468" spans="1:2" x14ac:dyDescent="0.25">
      <c r="A1468" s="50"/>
      <c r="B1468" s="51"/>
    </row>
    <row r="1469" spans="1:2" x14ac:dyDescent="0.25">
      <c r="A1469" s="50"/>
      <c r="B1469" s="51" t="s">
        <v>781</v>
      </c>
    </row>
    <row r="1470" spans="1:2" x14ac:dyDescent="0.25">
      <c r="A1470" s="50"/>
      <c r="B1470" s="51"/>
    </row>
    <row r="1471" spans="1:2" x14ac:dyDescent="0.25">
      <c r="A1471" s="50"/>
      <c r="B1471" s="51" t="s">
        <v>565</v>
      </c>
    </row>
    <row r="1472" spans="1:2" x14ac:dyDescent="0.25">
      <c r="A1472" s="50"/>
      <c r="B1472" s="51"/>
    </row>
    <row r="1473" spans="1:2" x14ac:dyDescent="0.25">
      <c r="A1473" s="50"/>
      <c r="B1473" s="51" t="s">
        <v>782</v>
      </c>
    </row>
    <row r="1474" spans="1:2" x14ac:dyDescent="0.25">
      <c r="A1474" s="50"/>
      <c r="B1474" s="51"/>
    </row>
    <row r="1475" spans="1:2" x14ac:dyDescent="0.25">
      <c r="A1475" s="50"/>
      <c r="B1475" s="51" t="s">
        <v>783</v>
      </c>
    </row>
    <row r="1476" spans="1:2" x14ac:dyDescent="0.25">
      <c r="A1476" s="50"/>
      <c r="B1476" s="51"/>
    </row>
    <row r="1477" spans="1:2" x14ac:dyDescent="0.25">
      <c r="A1477" s="50"/>
      <c r="B1477" s="51" t="s">
        <v>784</v>
      </c>
    </row>
    <row r="1478" spans="1:2" x14ac:dyDescent="0.25">
      <c r="A1478" s="50"/>
      <c r="B1478" s="51"/>
    </row>
    <row r="1479" spans="1:2" x14ac:dyDescent="0.25">
      <c r="A1479" s="50"/>
      <c r="B1479" s="51" t="s">
        <v>785</v>
      </c>
    </row>
    <row r="1480" spans="1:2" x14ac:dyDescent="0.25">
      <c r="A1480" s="50"/>
      <c r="B1480" s="51"/>
    </row>
    <row r="1481" spans="1:2" x14ac:dyDescent="0.25">
      <c r="A1481" s="50"/>
      <c r="B1481" s="51" t="s">
        <v>786</v>
      </c>
    </row>
    <row r="1482" spans="1:2" x14ac:dyDescent="0.25">
      <c r="A1482" s="50"/>
      <c r="B1482" s="51"/>
    </row>
    <row r="1483" spans="1:2" x14ac:dyDescent="0.25">
      <c r="A1483" s="50"/>
      <c r="B1483" s="51" t="s">
        <v>687</v>
      </c>
    </row>
    <row r="1484" spans="1:2" x14ac:dyDescent="0.25">
      <c r="A1484" s="50"/>
      <c r="B1484" s="51"/>
    </row>
    <row r="1485" spans="1:2" x14ac:dyDescent="0.25">
      <c r="A1485" s="50"/>
      <c r="B1485" s="51" t="s">
        <v>787</v>
      </c>
    </row>
    <row r="1486" spans="1:2" x14ac:dyDescent="0.25">
      <c r="A1486" s="50"/>
      <c r="B1486" s="51"/>
    </row>
    <row r="1487" spans="1:2" x14ac:dyDescent="0.25">
      <c r="A1487" s="50"/>
      <c r="B1487" s="51" t="s">
        <v>555</v>
      </c>
    </row>
    <row r="1488" spans="1:2" x14ac:dyDescent="0.25">
      <c r="A1488" s="50"/>
      <c r="B1488" s="51"/>
    </row>
    <row r="1489" spans="1:2" x14ac:dyDescent="0.25">
      <c r="A1489" s="50"/>
      <c r="B1489" s="51" t="s">
        <v>556</v>
      </c>
    </row>
    <row r="1490" spans="1:2" x14ac:dyDescent="0.25">
      <c r="A1490" s="50"/>
      <c r="B1490" s="51"/>
    </row>
    <row r="1491" spans="1:2" x14ac:dyDescent="0.25">
      <c r="A1491" s="50"/>
      <c r="B1491" s="51" t="s">
        <v>299</v>
      </c>
    </row>
    <row r="1492" spans="1:2" x14ac:dyDescent="0.25">
      <c r="A1492" s="50"/>
      <c r="B1492" s="51"/>
    </row>
    <row r="1493" spans="1:2" x14ac:dyDescent="0.25">
      <c r="A1493" s="50"/>
      <c r="B1493" s="51" t="s">
        <v>788</v>
      </c>
    </row>
    <row r="1494" spans="1:2" x14ac:dyDescent="0.25">
      <c r="A1494" s="50"/>
      <c r="B1494" s="51"/>
    </row>
    <row r="1495" spans="1:2" x14ac:dyDescent="0.25">
      <c r="A1495" s="50"/>
      <c r="B1495" s="51" t="s">
        <v>789</v>
      </c>
    </row>
    <row r="1496" spans="1:2" x14ac:dyDescent="0.25">
      <c r="A1496" s="50"/>
      <c r="B1496" s="51"/>
    </row>
    <row r="1497" spans="1:2" x14ac:dyDescent="0.25">
      <c r="A1497" s="50"/>
      <c r="B1497" s="51" t="s">
        <v>566</v>
      </c>
    </row>
    <row r="1498" spans="1:2" x14ac:dyDescent="0.25">
      <c r="A1498" s="50"/>
      <c r="B1498" s="51"/>
    </row>
    <row r="1499" spans="1:2" x14ac:dyDescent="0.25">
      <c r="A1499" s="50"/>
      <c r="B1499" s="51" t="s">
        <v>790</v>
      </c>
    </row>
    <row r="1500" spans="1:2" x14ac:dyDescent="0.25">
      <c r="A1500" s="50"/>
      <c r="B1500" s="51"/>
    </row>
    <row r="1501" spans="1:2" x14ac:dyDescent="0.25">
      <c r="A1501" s="50"/>
      <c r="B1501" s="51" t="s">
        <v>791</v>
      </c>
    </row>
    <row r="1502" spans="1:2" x14ac:dyDescent="0.25">
      <c r="A1502" s="50"/>
      <c r="B1502" s="51"/>
    </row>
    <row r="1503" spans="1:2" x14ac:dyDescent="0.25">
      <c r="A1503" s="50"/>
      <c r="B1503" s="51" t="s">
        <v>792</v>
      </c>
    </row>
    <row r="1504" spans="1:2" x14ac:dyDescent="0.25">
      <c r="A1504" s="50"/>
      <c r="B1504" s="51"/>
    </row>
    <row r="1505" spans="1:2" x14ac:dyDescent="0.25">
      <c r="A1505" s="50"/>
      <c r="B1505" s="51" t="s">
        <v>793</v>
      </c>
    </row>
    <row r="1506" spans="1:2" x14ac:dyDescent="0.25">
      <c r="A1506" s="50"/>
      <c r="B1506" s="51"/>
    </row>
    <row r="1507" spans="1:2" x14ac:dyDescent="0.25">
      <c r="A1507" s="50"/>
      <c r="B1507" s="51" t="s">
        <v>564</v>
      </c>
    </row>
    <row r="1508" spans="1:2" x14ac:dyDescent="0.25">
      <c r="A1508" s="50"/>
      <c r="B1508" s="51"/>
    </row>
    <row r="1509" spans="1:2" x14ac:dyDescent="0.25">
      <c r="A1509" s="50"/>
      <c r="B1509" s="51" t="s">
        <v>794</v>
      </c>
    </row>
    <row r="1510" spans="1:2" x14ac:dyDescent="0.25">
      <c r="A1510" s="50"/>
      <c r="B1510" s="51"/>
    </row>
    <row r="1511" spans="1:2" x14ac:dyDescent="0.25">
      <c r="A1511" s="50"/>
      <c r="B1511" s="51" t="s">
        <v>795</v>
      </c>
    </row>
    <row r="1512" spans="1:2" x14ac:dyDescent="0.25">
      <c r="A1512" s="50"/>
      <c r="B1512" s="51"/>
    </row>
    <row r="1513" spans="1:2" x14ac:dyDescent="0.25">
      <c r="A1513" s="50"/>
      <c r="B1513" s="51" t="s">
        <v>796</v>
      </c>
    </row>
    <row r="1514" spans="1:2" x14ac:dyDescent="0.25">
      <c r="A1514" s="50"/>
      <c r="B1514" s="51"/>
    </row>
    <row r="1515" spans="1:2" x14ac:dyDescent="0.25">
      <c r="A1515" s="50"/>
      <c r="B1515" s="51" t="s">
        <v>797</v>
      </c>
    </row>
    <row r="1516" spans="1:2" x14ac:dyDescent="0.25">
      <c r="A1516" s="50"/>
      <c r="B1516" s="51"/>
    </row>
    <row r="1517" spans="1:2" x14ac:dyDescent="0.25">
      <c r="A1517" s="50"/>
      <c r="B1517" s="51" t="s">
        <v>798</v>
      </c>
    </row>
    <row r="1518" spans="1:2" x14ac:dyDescent="0.25">
      <c r="A1518" s="50"/>
      <c r="B1518" s="51"/>
    </row>
    <row r="1519" spans="1:2" x14ac:dyDescent="0.25">
      <c r="A1519" s="50"/>
      <c r="B1519" s="51" t="s">
        <v>724</v>
      </c>
    </row>
    <row r="1520" spans="1:2" x14ac:dyDescent="0.25">
      <c r="A1520" s="50"/>
      <c r="B1520" s="51"/>
    </row>
    <row r="1521" spans="1:2" x14ac:dyDescent="0.25">
      <c r="A1521" s="50"/>
      <c r="B1521" s="51" t="s">
        <v>619</v>
      </c>
    </row>
    <row r="1522" spans="1:2" x14ac:dyDescent="0.25">
      <c r="A1522" s="50"/>
      <c r="B1522" s="51"/>
    </row>
    <row r="1523" spans="1:2" x14ac:dyDescent="0.25">
      <c r="A1523" s="50"/>
      <c r="B1523" s="51" t="s">
        <v>799</v>
      </c>
    </row>
    <row r="1524" spans="1:2" x14ac:dyDescent="0.25">
      <c r="A1524" s="50"/>
      <c r="B1524" s="51"/>
    </row>
    <row r="1525" spans="1:2" x14ac:dyDescent="0.25">
      <c r="A1525" s="50"/>
      <c r="B1525" s="51" t="s">
        <v>800</v>
      </c>
    </row>
    <row r="1526" spans="1:2" x14ac:dyDescent="0.25">
      <c r="A1526" s="50"/>
      <c r="B1526" s="51"/>
    </row>
    <row r="1527" spans="1:2" x14ac:dyDescent="0.25">
      <c r="A1527" s="50"/>
      <c r="B1527" s="51" t="s">
        <v>801</v>
      </c>
    </row>
    <row r="1528" spans="1:2" x14ac:dyDescent="0.25">
      <c r="A1528" s="50"/>
      <c r="B1528" s="51"/>
    </row>
    <row r="1529" spans="1:2" x14ac:dyDescent="0.25">
      <c r="A1529" s="50"/>
      <c r="B1529" s="51" t="s">
        <v>620</v>
      </c>
    </row>
    <row r="1530" spans="1:2" x14ac:dyDescent="0.25">
      <c r="A1530" s="50"/>
      <c r="B1530" s="51"/>
    </row>
    <row r="1531" spans="1:2" x14ac:dyDescent="0.25">
      <c r="A1531" s="50"/>
      <c r="B1531" s="51" t="s">
        <v>621</v>
      </c>
    </row>
    <row r="1532" spans="1:2" x14ac:dyDescent="0.25">
      <c r="A1532" s="50"/>
      <c r="B1532" s="51"/>
    </row>
    <row r="1533" spans="1:2" x14ac:dyDescent="0.25">
      <c r="A1533" s="50"/>
      <c r="B1533" s="51" t="s">
        <v>569</v>
      </c>
    </row>
    <row r="1534" spans="1:2" x14ac:dyDescent="0.25">
      <c r="A1534" s="50"/>
      <c r="B1534" s="51"/>
    </row>
    <row r="1535" spans="1:2" x14ac:dyDescent="0.25">
      <c r="A1535" s="50"/>
      <c r="B1535" s="51" t="s">
        <v>572</v>
      </c>
    </row>
    <row r="1536" spans="1:2" x14ac:dyDescent="0.25">
      <c r="A1536" s="50"/>
      <c r="B1536" s="52"/>
    </row>
    <row r="1537" spans="1:2" x14ac:dyDescent="0.25">
      <c r="A1537" s="50"/>
      <c r="B1537" s="51" t="s">
        <v>296</v>
      </c>
    </row>
    <row r="1538" spans="1:2" x14ac:dyDescent="0.25">
      <c r="A1538" s="50"/>
      <c r="B1538" s="51"/>
    </row>
    <row r="1539" spans="1:2" x14ac:dyDescent="0.25">
      <c r="A1539" s="50"/>
      <c r="B1539" s="51" t="s">
        <v>802</v>
      </c>
    </row>
    <row r="1540" spans="1:2" x14ac:dyDescent="0.25">
      <c r="A1540" s="50"/>
      <c r="B1540" s="51"/>
    </row>
    <row r="1541" spans="1:2" x14ac:dyDescent="0.25">
      <c r="A1541" s="50"/>
      <c r="B1541" s="51" t="s">
        <v>803</v>
      </c>
    </row>
    <row r="1542" spans="1:2" x14ac:dyDescent="0.25">
      <c r="A1542" s="50"/>
      <c r="B1542" s="51"/>
    </row>
    <row r="1543" spans="1:2" x14ac:dyDescent="0.25">
      <c r="A1543" s="50"/>
      <c r="B1543" s="51" t="s">
        <v>804</v>
      </c>
    </row>
    <row r="1544" spans="1:2" x14ac:dyDescent="0.25">
      <c r="A1544" s="50"/>
      <c r="B1544" s="51"/>
    </row>
    <row r="1545" spans="1:2" x14ac:dyDescent="0.25">
      <c r="A1545" s="50"/>
      <c r="B1545" s="51" t="s">
        <v>805</v>
      </c>
    </row>
    <row r="1546" spans="1:2" x14ac:dyDescent="0.25">
      <c r="A1546" s="50"/>
      <c r="B1546" s="51"/>
    </row>
    <row r="1547" spans="1:2" x14ac:dyDescent="0.25">
      <c r="A1547" s="50"/>
      <c r="B1547" s="51" t="s">
        <v>618</v>
      </c>
    </row>
    <row r="1548" spans="1:2" x14ac:dyDescent="0.25">
      <c r="A1548" s="50"/>
      <c r="B1548" s="51"/>
    </row>
    <row r="1549" spans="1:2" x14ac:dyDescent="0.25">
      <c r="A1549" s="50"/>
      <c r="B1549" s="51" t="s">
        <v>806</v>
      </c>
    </row>
    <row r="1550" spans="1:2" x14ac:dyDescent="0.25">
      <c r="A1550" s="50"/>
      <c r="B1550" s="51"/>
    </row>
    <row r="1551" spans="1:2" x14ac:dyDescent="0.25">
      <c r="A1551" s="50"/>
      <c r="B1551" s="51" t="s">
        <v>346</v>
      </c>
    </row>
    <row r="1552" spans="1:2" x14ac:dyDescent="0.25">
      <c r="A1552" s="50"/>
      <c r="B1552" s="51"/>
    </row>
    <row r="1553" spans="1:2" x14ac:dyDescent="0.25">
      <c r="A1553" s="50"/>
      <c r="B1553" s="51" t="s">
        <v>807</v>
      </c>
    </row>
    <row r="1554" spans="1:2" x14ac:dyDescent="0.25">
      <c r="A1554" s="50"/>
      <c r="B1554" s="51"/>
    </row>
    <row r="1555" spans="1:2" x14ac:dyDescent="0.25">
      <c r="A1555" s="50"/>
      <c r="B1555" s="51" t="s">
        <v>601</v>
      </c>
    </row>
    <row r="1556" spans="1:2" x14ac:dyDescent="0.25">
      <c r="A1556" s="50"/>
      <c r="B1556" s="51"/>
    </row>
    <row r="1557" spans="1:2" x14ac:dyDescent="0.25">
      <c r="A1557" s="50"/>
      <c r="B1557" s="51" t="s">
        <v>808</v>
      </c>
    </row>
    <row r="1558" spans="1:2" x14ac:dyDescent="0.25">
      <c r="A1558" s="50"/>
      <c r="B1558" s="51"/>
    </row>
    <row r="1559" spans="1:2" x14ac:dyDescent="0.25">
      <c r="A1559" s="50"/>
      <c r="B1559" s="51" t="s">
        <v>809</v>
      </c>
    </row>
    <row r="1560" spans="1:2" x14ac:dyDescent="0.25">
      <c r="A1560" s="50"/>
      <c r="B1560" s="51"/>
    </row>
    <row r="1561" spans="1:2" x14ac:dyDescent="0.25">
      <c r="A1561" s="50"/>
      <c r="B1561" s="51" t="s">
        <v>810</v>
      </c>
    </row>
    <row r="1562" spans="1:2" x14ac:dyDescent="0.25">
      <c r="A1562" s="50"/>
      <c r="B1562" s="51"/>
    </row>
    <row r="1563" spans="1:2" x14ac:dyDescent="0.25">
      <c r="A1563" s="50"/>
      <c r="B1563" s="51" t="s">
        <v>576</v>
      </c>
    </row>
    <row r="1564" spans="1:2" x14ac:dyDescent="0.25">
      <c r="A1564" s="50"/>
      <c r="B1564" s="51"/>
    </row>
    <row r="1565" spans="1:2" x14ac:dyDescent="0.25">
      <c r="A1565" s="50"/>
      <c r="B1565" s="51" t="s">
        <v>312</v>
      </c>
    </row>
    <row r="1566" spans="1:2" x14ac:dyDescent="0.25">
      <c r="A1566" s="50"/>
      <c r="B1566" s="51"/>
    </row>
    <row r="1567" spans="1:2" x14ac:dyDescent="0.25">
      <c r="A1567" s="50"/>
      <c r="B1567" s="51" t="s">
        <v>811</v>
      </c>
    </row>
    <row r="1568" spans="1:2" x14ac:dyDescent="0.25">
      <c r="A1568" s="50"/>
      <c r="B1568" s="51"/>
    </row>
    <row r="1569" spans="1:2" x14ac:dyDescent="0.25">
      <c r="A1569" s="50"/>
      <c r="B1569" s="51" t="s">
        <v>676</v>
      </c>
    </row>
    <row r="1570" spans="1:2" x14ac:dyDescent="0.25">
      <c r="A1570" s="50"/>
      <c r="B1570" s="51"/>
    </row>
    <row r="1571" spans="1:2" x14ac:dyDescent="0.25">
      <c r="A1571" s="50"/>
      <c r="B1571" s="51" t="s">
        <v>577</v>
      </c>
    </row>
    <row r="1572" spans="1:2" x14ac:dyDescent="0.25">
      <c r="A1572" s="50"/>
      <c r="B1572" s="51"/>
    </row>
    <row r="1573" spans="1:2" x14ac:dyDescent="0.25">
      <c r="A1573" s="50"/>
      <c r="B1573" s="51" t="s">
        <v>532</v>
      </c>
    </row>
    <row r="1574" spans="1:2" x14ac:dyDescent="0.25">
      <c r="A1574" s="50"/>
      <c r="B1574" s="51"/>
    </row>
    <row r="1575" spans="1:2" x14ac:dyDescent="0.25">
      <c r="A1575" s="50"/>
      <c r="B1575" s="51" t="s">
        <v>812</v>
      </c>
    </row>
    <row r="1576" spans="1:2" x14ac:dyDescent="0.25">
      <c r="A1576" s="50"/>
      <c r="B1576" s="51"/>
    </row>
    <row r="1577" spans="1:2" x14ac:dyDescent="0.25">
      <c r="A1577" s="50"/>
      <c r="B1577" s="51" t="s">
        <v>813</v>
      </c>
    </row>
    <row r="1578" spans="1:2" x14ac:dyDescent="0.25">
      <c r="A1578" s="50"/>
      <c r="B1578" s="51"/>
    </row>
    <row r="1579" spans="1:2" x14ac:dyDescent="0.25">
      <c r="A1579" s="50"/>
      <c r="B1579" s="51" t="s">
        <v>397</v>
      </c>
    </row>
    <row r="1580" spans="1:2" x14ac:dyDescent="0.25">
      <c r="A1580" s="50"/>
      <c r="B1580" s="51"/>
    </row>
    <row r="1581" spans="1:2" x14ac:dyDescent="0.25">
      <c r="A1581" s="50"/>
      <c r="B1581" s="51" t="s">
        <v>571</v>
      </c>
    </row>
    <row r="1582" spans="1:2" x14ac:dyDescent="0.25">
      <c r="A1582" s="50"/>
      <c r="B1582" s="51"/>
    </row>
    <row r="1583" spans="1:2" x14ac:dyDescent="0.25">
      <c r="A1583" s="50"/>
      <c r="B1583" s="51" t="s">
        <v>814</v>
      </c>
    </row>
    <row r="1584" spans="1:2" x14ac:dyDescent="0.25">
      <c r="A1584" s="50"/>
      <c r="B1584" s="51"/>
    </row>
    <row r="1585" spans="1:2" x14ac:dyDescent="0.25">
      <c r="A1585" s="50"/>
      <c r="B1585" s="51" t="s">
        <v>622</v>
      </c>
    </row>
    <row r="1586" spans="1:2" x14ac:dyDescent="0.25">
      <c r="A1586" s="50"/>
      <c r="B1586" s="51"/>
    </row>
    <row r="1587" spans="1:2" x14ac:dyDescent="0.25">
      <c r="A1587" s="50"/>
      <c r="B1587" s="51" t="s">
        <v>815</v>
      </c>
    </row>
    <row r="1588" spans="1:2" x14ac:dyDescent="0.25">
      <c r="A1588" s="50"/>
      <c r="B1588" s="51"/>
    </row>
    <row r="1589" spans="1:2" x14ac:dyDescent="0.25">
      <c r="A1589" s="50"/>
      <c r="B1589" s="51" t="s">
        <v>724</v>
      </c>
    </row>
    <row r="1590" spans="1:2" x14ac:dyDescent="0.25">
      <c r="A1590" s="50"/>
      <c r="B1590" s="51"/>
    </row>
    <row r="1591" spans="1:2" x14ac:dyDescent="0.25">
      <c r="A1591" s="50"/>
      <c r="B1591" s="51" t="s">
        <v>274</v>
      </c>
    </row>
    <row r="1592" spans="1:2" x14ac:dyDescent="0.25">
      <c r="A1592" s="50"/>
      <c r="B1592" s="51"/>
    </row>
    <row r="1593" spans="1:2" x14ac:dyDescent="0.25">
      <c r="A1593" s="50"/>
      <c r="B1593" s="51" t="s">
        <v>796</v>
      </c>
    </row>
    <row r="1594" spans="1:2" x14ac:dyDescent="0.25">
      <c r="A1594" s="50"/>
      <c r="B1594" s="51"/>
    </row>
    <row r="1595" spans="1:2" x14ac:dyDescent="0.25">
      <c r="A1595" s="50"/>
      <c r="B1595" s="51" t="s">
        <v>534</v>
      </c>
    </row>
    <row r="1596" spans="1:2" x14ac:dyDescent="0.25">
      <c r="A1596" s="50"/>
      <c r="B1596" s="51"/>
    </row>
    <row r="1597" spans="1:2" x14ac:dyDescent="0.25">
      <c r="A1597" s="50"/>
      <c r="B1597" s="51" t="s">
        <v>816</v>
      </c>
    </row>
    <row r="1598" spans="1:2" x14ac:dyDescent="0.25">
      <c r="A1598" s="50"/>
    </row>
    <row r="1599" spans="1:2" x14ac:dyDescent="0.25">
      <c r="A1599" s="50"/>
      <c r="B1599" s="51" t="s">
        <v>817</v>
      </c>
    </row>
    <row r="1600" spans="1:2" x14ac:dyDescent="0.25">
      <c r="A1600" s="50"/>
      <c r="B1600" s="51"/>
    </row>
    <row r="1601" spans="1:2" x14ac:dyDescent="0.25">
      <c r="A1601" s="50"/>
      <c r="B1601" s="51" t="s">
        <v>818</v>
      </c>
    </row>
    <row r="1602" spans="1:2" x14ac:dyDescent="0.25">
      <c r="A1602" s="50"/>
      <c r="B1602" s="51"/>
    </row>
    <row r="1603" spans="1:2" x14ac:dyDescent="0.25">
      <c r="A1603" s="50"/>
      <c r="B1603" s="51" t="s">
        <v>819</v>
      </c>
    </row>
    <row r="1604" spans="1:2" x14ac:dyDescent="0.25">
      <c r="A1604" s="50"/>
      <c r="B1604" s="51"/>
    </row>
    <row r="1605" spans="1:2" x14ac:dyDescent="0.25">
      <c r="A1605" s="50"/>
      <c r="B1605" s="51" t="s">
        <v>820</v>
      </c>
    </row>
    <row r="1606" spans="1:2" x14ac:dyDescent="0.25">
      <c r="A1606" s="50"/>
      <c r="B1606" s="51"/>
    </row>
    <row r="1607" spans="1:2" x14ac:dyDescent="0.25">
      <c r="A1607" s="50"/>
      <c r="B1607" s="51" t="s">
        <v>821</v>
      </c>
    </row>
    <row r="1608" spans="1:2" x14ac:dyDescent="0.25">
      <c r="A1608" s="50"/>
      <c r="B1608" s="51"/>
    </row>
    <row r="1609" spans="1:2" x14ac:dyDescent="0.25">
      <c r="A1609" s="50"/>
      <c r="B1609" s="51" t="s">
        <v>822</v>
      </c>
    </row>
    <row r="1610" spans="1:2" x14ac:dyDescent="0.25">
      <c r="A1610" s="50"/>
      <c r="B1610" s="51"/>
    </row>
    <row r="1611" spans="1:2" x14ac:dyDescent="0.25">
      <c r="A1611" s="50"/>
      <c r="B1611" s="51" t="s">
        <v>823</v>
      </c>
    </row>
    <row r="1612" spans="1:2" x14ac:dyDescent="0.25">
      <c r="A1612" s="50"/>
      <c r="B1612" s="51"/>
    </row>
    <row r="1613" spans="1:2" x14ac:dyDescent="0.25">
      <c r="A1613" s="50"/>
      <c r="B1613" s="51" t="s">
        <v>824</v>
      </c>
    </row>
    <row r="1614" spans="1:2" x14ac:dyDescent="0.25">
      <c r="A1614" s="50"/>
      <c r="B1614" s="51"/>
    </row>
    <row r="1615" spans="1:2" x14ac:dyDescent="0.25">
      <c r="A1615" s="50"/>
      <c r="B1615" s="51" t="s">
        <v>609</v>
      </c>
    </row>
    <row r="1616" spans="1:2" x14ac:dyDescent="0.25">
      <c r="A1616" s="50"/>
      <c r="B1616" s="51"/>
    </row>
    <row r="1617" spans="1:2" x14ac:dyDescent="0.25">
      <c r="A1617" s="50"/>
      <c r="B1617" s="51" t="s">
        <v>825</v>
      </c>
    </row>
    <row r="1618" spans="1:2" x14ac:dyDescent="0.25">
      <c r="A1618" s="50"/>
      <c r="B1618" s="51"/>
    </row>
    <row r="1619" spans="1:2" x14ac:dyDescent="0.25">
      <c r="A1619" s="50"/>
      <c r="B1619" s="51" t="s">
        <v>826</v>
      </c>
    </row>
    <row r="1620" spans="1:2" x14ac:dyDescent="0.25">
      <c r="A1620" s="50"/>
      <c r="B1620" s="51"/>
    </row>
    <row r="1621" spans="1:2" x14ac:dyDescent="0.25">
      <c r="A1621" s="50"/>
      <c r="B1621" s="51" t="s">
        <v>339</v>
      </c>
    </row>
    <row r="1622" spans="1:2" x14ac:dyDescent="0.25">
      <c r="A1622" s="50"/>
      <c r="B1622" s="51"/>
    </row>
    <row r="1623" spans="1:2" x14ac:dyDescent="0.25">
      <c r="A1623" s="50"/>
      <c r="B1623" s="51" t="s">
        <v>615</v>
      </c>
    </row>
    <row r="1624" spans="1:2" x14ac:dyDescent="0.25">
      <c r="A1624" s="50"/>
      <c r="B1624" s="51"/>
    </row>
    <row r="1625" spans="1:2" x14ac:dyDescent="0.25">
      <c r="A1625" s="50"/>
      <c r="B1625" s="51" t="s">
        <v>827</v>
      </c>
    </row>
    <row r="1626" spans="1:2" x14ac:dyDescent="0.25">
      <c r="A1626" s="50"/>
      <c r="B1626" s="51"/>
    </row>
    <row r="1627" spans="1:2" x14ac:dyDescent="0.25">
      <c r="A1627" s="50"/>
      <c r="B1627" s="51" t="s">
        <v>361</v>
      </c>
    </row>
    <row r="1628" spans="1:2" x14ac:dyDescent="0.25">
      <c r="A1628" s="50"/>
      <c r="B1628" s="51"/>
    </row>
    <row r="1629" spans="1:2" x14ac:dyDescent="0.25">
      <c r="A1629" s="50"/>
      <c r="B1629" s="51" t="s">
        <v>363</v>
      </c>
    </row>
    <row r="1630" spans="1:2" x14ac:dyDescent="0.25">
      <c r="A1630" s="50"/>
      <c r="B1630" s="51"/>
    </row>
    <row r="1631" spans="1:2" x14ac:dyDescent="0.25">
      <c r="A1631" s="50"/>
      <c r="B1631" s="51" t="s">
        <v>828</v>
      </c>
    </row>
    <row r="1632" spans="1:2" x14ac:dyDescent="0.25">
      <c r="A1632" s="50"/>
      <c r="B1632" s="51"/>
    </row>
    <row r="1633" spans="1:2" x14ac:dyDescent="0.25">
      <c r="A1633" s="50"/>
      <c r="B1633" s="51" t="s">
        <v>829</v>
      </c>
    </row>
    <row r="1634" spans="1:2" x14ac:dyDescent="0.25">
      <c r="A1634" s="50"/>
      <c r="B1634" s="51"/>
    </row>
    <row r="1635" spans="1:2" x14ac:dyDescent="0.25">
      <c r="A1635" s="50"/>
      <c r="B1635" s="51" t="s">
        <v>830</v>
      </c>
    </row>
    <row r="1636" spans="1:2" x14ac:dyDescent="0.25">
      <c r="A1636" s="50"/>
      <c r="B1636" s="51"/>
    </row>
    <row r="1637" spans="1:2" x14ac:dyDescent="0.25">
      <c r="A1637" s="50"/>
      <c r="B1637" s="51" t="s">
        <v>307</v>
      </c>
    </row>
    <row r="1638" spans="1:2" x14ac:dyDescent="0.25">
      <c r="A1638" s="50"/>
      <c r="B1638" s="51"/>
    </row>
    <row r="1639" spans="1:2" x14ac:dyDescent="0.25">
      <c r="A1639" s="50"/>
      <c r="B1639" s="51" t="s">
        <v>318</v>
      </c>
    </row>
    <row r="1640" spans="1:2" x14ac:dyDescent="0.25">
      <c r="A1640" s="50"/>
      <c r="B1640" s="51"/>
    </row>
    <row r="1641" spans="1:2" x14ac:dyDescent="0.25">
      <c r="A1641" s="50"/>
      <c r="B1641" s="51" t="s">
        <v>831</v>
      </c>
    </row>
    <row r="1642" spans="1:2" x14ac:dyDescent="0.25">
      <c r="A1642" s="50"/>
      <c r="B1642" s="51"/>
    </row>
    <row r="1643" spans="1:2" x14ac:dyDescent="0.25">
      <c r="A1643" s="50"/>
      <c r="B1643" s="51" t="s">
        <v>832</v>
      </c>
    </row>
    <row r="1644" spans="1:2" x14ac:dyDescent="0.25">
      <c r="A1644" s="50"/>
      <c r="B1644" s="51"/>
    </row>
    <row r="1645" spans="1:2" x14ac:dyDescent="0.25">
      <c r="A1645" s="50"/>
      <c r="B1645" s="51" t="s">
        <v>833</v>
      </c>
    </row>
    <row r="1646" spans="1:2" x14ac:dyDescent="0.25">
      <c r="A1646" s="50"/>
      <c r="B1646" s="51"/>
    </row>
    <row r="1647" spans="1:2" x14ac:dyDescent="0.25">
      <c r="A1647" s="50"/>
      <c r="B1647" s="51" t="s">
        <v>834</v>
      </c>
    </row>
    <row r="1648" spans="1:2" x14ac:dyDescent="0.25">
      <c r="A1648" s="50"/>
      <c r="B1648" s="51"/>
    </row>
    <row r="1649" spans="1:2" x14ac:dyDescent="0.25">
      <c r="A1649" s="50"/>
      <c r="B1649" s="51" t="s">
        <v>835</v>
      </c>
    </row>
    <row r="1650" spans="1:2" x14ac:dyDescent="0.25">
      <c r="A1650" s="50"/>
      <c r="B1650" s="51"/>
    </row>
    <row r="1651" spans="1:2" x14ac:dyDescent="0.25">
      <c r="A1651" s="50"/>
      <c r="B1651" s="51" t="s">
        <v>836</v>
      </c>
    </row>
    <row r="1652" spans="1:2" x14ac:dyDescent="0.25">
      <c r="A1652" s="50"/>
      <c r="B1652" s="51"/>
    </row>
    <row r="1653" spans="1:2" x14ac:dyDescent="0.25">
      <c r="A1653" s="50"/>
      <c r="B1653" s="51" t="s">
        <v>672</v>
      </c>
    </row>
    <row r="1654" spans="1:2" x14ac:dyDescent="0.25">
      <c r="A1654" s="50"/>
      <c r="B1654" s="51"/>
    </row>
    <row r="1655" spans="1:2" x14ac:dyDescent="0.25">
      <c r="A1655" s="50"/>
      <c r="B1655" s="51" t="s">
        <v>837</v>
      </c>
    </row>
    <row r="1656" spans="1:2" x14ac:dyDescent="0.25">
      <c r="A1656" s="50"/>
      <c r="B1656" s="51"/>
    </row>
    <row r="1657" spans="1:2" x14ac:dyDescent="0.25">
      <c r="A1657" s="50"/>
      <c r="B1657" s="51" t="s">
        <v>666</v>
      </c>
    </row>
    <row r="1658" spans="1:2" x14ac:dyDescent="0.25">
      <c r="A1658" s="50"/>
      <c r="B1658" s="51"/>
    </row>
    <row r="1659" spans="1:2" x14ac:dyDescent="0.25">
      <c r="A1659" s="50"/>
      <c r="B1659" s="51" t="s">
        <v>838</v>
      </c>
    </row>
    <row r="1660" spans="1:2" x14ac:dyDescent="0.25">
      <c r="A1660" s="50"/>
      <c r="B1660" s="51"/>
    </row>
    <row r="1661" spans="1:2" x14ac:dyDescent="0.25">
      <c r="A1661" s="50"/>
      <c r="B1661" s="51" t="s">
        <v>839</v>
      </c>
    </row>
    <row r="1662" spans="1:2" x14ac:dyDescent="0.25">
      <c r="A1662" s="50"/>
    </row>
    <row r="1663" spans="1:2" x14ac:dyDescent="0.25">
      <c r="A1663" s="50"/>
      <c r="B1663" s="51" t="s">
        <v>724</v>
      </c>
    </row>
    <row r="1664" spans="1:2" x14ac:dyDescent="0.25">
      <c r="A1664" s="50"/>
      <c r="B1664" s="53"/>
    </row>
    <row r="1665" spans="1:2" x14ac:dyDescent="0.25">
      <c r="A1665" s="50"/>
      <c r="B1665" s="51" t="s">
        <v>840</v>
      </c>
    </row>
    <row r="1666" spans="1:2" x14ac:dyDescent="0.25">
      <c r="A1666" s="50"/>
      <c r="B1666" s="53"/>
    </row>
    <row r="1667" spans="1:2" x14ac:dyDescent="0.25">
      <c r="A1667" s="50"/>
      <c r="B1667" s="51" t="s">
        <v>354</v>
      </c>
    </row>
    <row r="1668" spans="1:2" x14ac:dyDescent="0.25">
      <c r="A1668" s="50"/>
      <c r="B1668" s="53"/>
    </row>
    <row r="1669" spans="1:2" x14ac:dyDescent="0.25">
      <c r="A1669" s="50"/>
      <c r="B1669" s="51" t="s">
        <v>841</v>
      </c>
    </row>
    <row r="1670" spans="1:2" x14ac:dyDescent="0.25">
      <c r="A1670" s="50"/>
      <c r="B1670" s="53"/>
    </row>
    <row r="1671" spans="1:2" x14ac:dyDescent="0.25">
      <c r="A1671" s="50"/>
      <c r="B1671" s="51" t="s">
        <v>842</v>
      </c>
    </row>
    <row r="1672" spans="1:2" x14ac:dyDescent="0.25">
      <c r="A1672" s="50"/>
      <c r="B1672" s="53"/>
    </row>
    <row r="1673" spans="1:2" x14ac:dyDescent="0.25">
      <c r="B1673" s="51" t="s">
        <v>843</v>
      </c>
    </row>
    <row r="1674" spans="1:2" x14ac:dyDescent="0.25">
      <c r="B1674" s="53"/>
    </row>
    <row r="1675" spans="1:2" x14ac:dyDescent="0.25">
      <c r="B1675" s="51" t="s">
        <v>844</v>
      </c>
    </row>
    <row r="1676" spans="1:2" x14ac:dyDescent="0.25">
      <c r="B1676" s="53"/>
    </row>
    <row r="1677" spans="1:2" x14ac:dyDescent="0.25">
      <c r="B1677" s="51" t="s">
        <v>643</v>
      </c>
    </row>
    <row r="1678" spans="1:2" x14ac:dyDescent="0.25">
      <c r="B1678" s="53"/>
    </row>
    <row r="1679" spans="1:2" x14ac:dyDescent="0.25">
      <c r="B1679" s="51" t="s">
        <v>845</v>
      </c>
    </row>
    <row r="1680" spans="1:2" x14ac:dyDescent="0.25">
      <c r="B1680" s="53"/>
    </row>
    <row r="1681" spans="2:2" x14ac:dyDescent="0.25">
      <c r="B1681" s="51" t="s">
        <v>846</v>
      </c>
    </row>
    <row r="1682" spans="2:2" x14ac:dyDescent="0.25">
      <c r="B1682" s="53"/>
    </row>
    <row r="1683" spans="2:2" x14ac:dyDescent="0.25">
      <c r="B1683" s="51" t="s">
        <v>438</v>
      </c>
    </row>
    <row r="1684" spans="2:2" x14ac:dyDescent="0.25">
      <c r="B1684" s="53"/>
    </row>
    <row r="1685" spans="2:2" x14ac:dyDescent="0.25">
      <c r="B1685" s="51" t="s">
        <v>847</v>
      </c>
    </row>
    <row r="1686" spans="2:2" x14ac:dyDescent="0.25">
      <c r="B1686" s="53"/>
    </row>
    <row r="1687" spans="2:2" x14ac:dyDescent="0.25">
      <c r="B1687" s="51" t="s">
        <v>608</v>
      </c>
    </row>
    <row r="1688" spans="2:2" x14ac:dyDescent="0.25">
      <c r="B1688" s="53"/>
    </row>
    <row r="1689" spans="2:2" x14ac:dyDescent="0.25">
      <c r="B1689" s="51" t="s">
        <v>593</v>
      </c>
    </row>
    <row r="1690" spans="2:2" x14ac:dyDescent="0.25">
      <c r="B1690" s="53"/>
    </row>
    <row r="1691" spans="2:2" x14ac:dyDescent="0.25">
      <c r="B1691" s="51" t="s">
        <v>516</v>
      </c>
    </row>
    <row r="1692" spans="2:2" x14ac:dyDescent="0.25">
      <c r="B1692" s="53"/>
    </row>
    <row r="1693" spans="2:2" x14ac:dyDescent="0.25">
      <c r="B1693" s="51" t="s">
        <v>848</v>
      </c>
    </row>
    <row r="1694" spans="2:2" x14ac:dyDescent="0.25">
      <c r="B1694" s="53"/>
    </row>
    <row r="1695" spans="2:2" x14ac:dyDescent="0.25">
      <c r="B1695" s="51" t="s">
        <v>396</v>
      </c>
    </row>
    <row r="1696" spans="2:2" x14ac:dyDescent="0.25">
      <c r="B1696" s="53"/>
    </row>
    <row r="1697" spans="2:2" x14ac:dyDescent="0.25">
      <c r="B1697" s="51" t="s">
        <v>849</v>
      </c>
    </row>
    <row r="1698" spans="2:2" x14ac:dyDescent="0.25">
      <c r="B1698" s="53"/>
    </row>
    <row r="1699" spans="2:2" x14ac:dyDescent="0.25">
      <c r="B1699" s="51" t="s">
        <v>850</v>
      </c>
    </row>
    <row r="1700" spans="2:2" x14ac:dyDescent="0.25">
      <c r="B1700" s="53"/>
    </row>
    <row r="1701" spans="2:2" x14ac:dyDescent="0.25">
      <c r="B1701" s="51" t="s">
        <v>851</v>
      </c>
    </row>
    <row r="1702" spans="2:2" x14ac:dyDescent="0.25">
      <c r="B1702" s="53"/>
    </row>
    <row r="1703" spans="2:2" x14ac:dyDescent="0.25">
      <c r="B1703" s="51" t="s">
        <v>377</v>
      </c>
    </row>
    <row r="1704" spans="2:2" x14ac:dyDescent="0.25">
      <c r="B1704" s="53"/>
    </row>
    <row r="1705" spans="2:2" x14ac:dyDescent="0.25">
      <c r="B1705" s="51" t="s">
        <v>852</v>
      </c>
    </row>
    <row r="1706" spans="2:2" x14ac:dyDescent="0.25">
      <c r="B1706" s="53"/>
    </row>
    <row r="1707" spans="2:2" x14ac:dyDescent="0.25">
      <c r="B1707" s="51" t="s">
        <v>658</v>
      </c>
    </row>
    <row r="1708" spans="2:2" x14ac:dyDescent="0.25">
      <c r="B1708" s="53"/>
    </row>
    <row r="1709" spans="2:2" x14ac:dyDescent="0.25">
      <c r="B1709" s="51" t="s">
        <v>517</v>
      </c>
    </row>
    <row r="1710" spans="2:2" x14ac:dyDescent="0.25">
      <c r="B1710" s="53"/>
    </row>
    <row r="1711" spans="2:2" x14ac:dyDescent="0.25">
      <c r="B1711" s="51" t="s">
        <v>853</v>
      </c>
    </row>
    <row r="1712" spans="2:2" x14ac:dyDescent="0.25">
      <c r="B1712" s="53"/>
    </row>
    <row r="1713" spans="2:2" x14ac:dyDescent="0.25">
      <c r="B1713" s="51" t="s">
        <v>854</v>
      </c>
    </row>
    <row r="1714" spans="2:2" x14ac:dyDescent="0.25">
      <c r="B1714" s="53"/>
    </row>
    <row r="1715" spans="2:2" x14ac:dyDescent="0.25">
      <c r="B1715" s="51" t="s">
        <v>308</v>
      </c>
    </row>
    <row r="1716" spans="2:2" x14ac:dyDescent="0.25">
      <c r="B1716" s="53"/>
    </row>
    <row r="1717" spans="2:2" x14ac:dyDescent="0.25">
      <c r="B1717" s="51" t="s">
        <v>606</v>
      </c>
    </row>
    <row r="1718" spans="2:2" x14ac:dyDescent="0.25">
      <c r="B1718" s="53"/>
    </row>
    <row r="1719" spans="2:2" x14ac:dyDescent="0.25">
      <c r="B1719" s="51" t="s">
        <v>646</v>
      </c>
    </row>
    <row r="1720" spans="2:2" x14ac:dyDescent="0.25">
      <c r="B1720" s="53"/>
    </row>
    <row r="1721" spans="2:2" x14ac:dyDescent="0.25">
      <c r="B1721" s="51" t="s">
        <v>638</v>
      </c>
    </row>
    <row r="1722" spans="2:2" x14ac:dyDescent="0.25">
      <c r="B1722" s="53"/>
    </row>
    <row r="1723" spans="2:2" x14ac:dyDescent="0.25">
      <c r="B1723" s="51" t="s">
        <v>855</v>
      </c>
    </row>
    <row r="1724" spans="2:2" x14ac:dyDescent="0.25">
      <c r="B1724" s="53"/>
    </row>
    <row r="1725" spans="2:2" x14ac:dyDescent="0.25">
      <c r="B1725" s="51" t="s">
        <v>856</v>
      </c>
    </row>
    <row r="1726" spans="2:2" x14ac:dyDescent="0.25">
      <c r="B1726" s="53"/>
    </row>
    <row r="1727" spans="2:2" x14ac:dyDescent="0.25">
      <c r="B1727" s="51" t="s">
        <v>857</v>
      </c>
    </row>
    <row r="1728" spans="2:2" x14ac:dyDescent="0.25">
      <c r="B1728" s="53"/>
    </row>
    <row r="1729" spans="2:2" x14ac:dyDescent="0.25">
      <c r="B1729" s="51" t="s">
        <v>372</v>
      </c>
    </row>
    <row r="1730" spans="2:2" x14ac:dyDescent="0.25">
      <c r="B1730" s="53"/>
    </row>
    <row r="1731" spans="2:2" x14ac:dyDescent="0.25">
      <c r="B1731" s="51" t="s">
        <v>376</v>
      </c>
    </row>
    <row r="1732" spans="2:2" x14ac:dyDescent="0.25">
      <c r="B1732" s="53"/>
    </row>
    <row r="1733" spans="2:2" x14ac:dyDescent="0.25">
      <c r="B1733" s="51" t="s">
        <v>858</v>
      </c>
    </row>
    <row r="1734" spans="2:2" x14ac:dyDescent="0.25">
      <c r="B1734" s="53"/>
    </row>
    <row r="1735" spans="2:2" x14ac:dyDescent="0.25">
      <c r="B1735" s="51" t="s">
        <v>859</v>
      </c>
    </row>
    <row r="1736" spans="2:2" x14ac:dyDescent="0.25">
      <c r="B1736" s="53"/>
    </row>
    <row r="1737" spans="2:2" x14ac:dyDescent="0.25">
      <c r="B1737" s="51" t="s">
        <v>607</v>
      </c>
    </row>
    <row r="1738" spans="2:2" x14ac:dyDescent="0.25">
      <c r="B1738" s="53"/>
    </row>
    <row r="1739" spans="2:2" x14ac:dyDescent="0.25">
      <c r="B1739" s="51" t="s">
        <v>860</v>
      </c>
    </row>
    <row r="1740" spans="2:2" x14ac:dyDescent="0.25">
      <c r="B1740" s="53"/>
    </row>
    <row r="1741" spans="2:2" x14ac:dyDescent="0.25">
      <c r="B1741" s="51" t="s">
        <v>861</v>
      </c>
    </row>
    <row r="1742" spans="2:2" x14ac:dyDescent="0.25">
      <c r="B1742" s="53"/>
    </row>
    <row r="1743" spans="2:2" x14ac:dyDescent="0.25">
      <c r="B1743" s="51" t="s">
        <v>862</v>
      </c>
    </row>
    <row r="1744" spans="2:2" x14ac:dyDescent="0.25">
      <c r="B1744" s="53"/>
    </row>
    <row r="1745" spans="2:2" x14ac:dyDescent="0.25">
      <c r="B1745" s="51" t="s">
        <v>310</v>
      </c>
    </row>
    <row r="1746" spans="2:2" x14ac:dyDescent="0.25">
      <c r="B1746" s="53"/>
    </row>
    <row r="1747" spans="2:2" x14ac:dyDescent="0.25">
      <c r="B1747" s="51" t="s">
        <v>863</v>
      </c>
    </row>
    <row r="1748" spans="2:2" x14ac:dyDescent="0.25">
      <c r="B1748" s="53"/>
    </row>
    <row r="1749" spans="2:2" x14ac:dyDescent="0.25">
      <c r="B1749" s="51" t="s">
        <v>864</v>
      </c>
    </row>
    <row r="1750" spans="2:2" x14ac:dyDescent="0.25">
      <c r="B1750" s="53"/>
    </row>
    <row r="1751" spans="2:2" x14ac:dyDescent="0.25">
      <c r="B1751" s="51" t="s">
        <v>865</v>
      </c>
    </row>
    <row r="1752" spans="2:2" x14ac:dyDescent="0.25">
      <c r="B1752" s="53"/>
    </row>
    <row r="1753" spans="2:2" x14ac:dyDescent="0.25">
      <c r="B1753" s="51" t="s">
        <v>350</v>
      </c>
    </row>
    <row r="1754" spans="2:2" x14ac:dyDescent="0.25">
      <c r="B1754" s="53"/>
    </row>
    <row r="1755" spans="2:2" x14ac:dyDescent="0.25">
      <c r="B1755" s="51" t="s">
        <v>368</v>
      </c>
    </row>
    <row r="1756" spans="2:2" x14ac:dyDescent="0.25">
      <c r="B1756" s="53"/>
    </row>
    <row r="1757" spans="2:2" x14ac:dyDescent="0.25">
      <c r="B1757" s="51" t="s">
        <v>362</v>
      </c>
    </row>
    <row r="1758" spans="2:2" x14ac:dyDescent="0.25">
      <c r="B1758" s="53"/>
    </row>
    <row r="1759" spans="2:2" x14ac:dyDescent="0.25">
      <c r="B1759" s="51" t="s">
        <v>317</v>
      </c>
    </row>
    <row r="1760" spans="2:2" x14ac:dyDescent="0.25">
      <c r="B1760" s="53"/>
    </row>
    <row r="1761" spans="2:2" x14ac:dyDescent="0.25">
      <c r="B1761" s="51" t="s">
        <v>410</v>
      </c>
    </row>
    <row r="1762" spans="2:2" x14ac:dyDescent="0.25">
      <c r="B1762" s="53"/>
    </row>
    <row r="1763" spans="2:2" x14ac:dyDescent="0.25">
      <c r="B1763" s="51" t="s">
        <v>311</v>
      </c>
    </row>
    <row r="1764" spans="2:2" x14ac:dyDescent="0.25">
      <c r="B1764" s="53"/>
    </row>
    <row r="1765" spans="2:2" x14ac:dyDescent="0.25">
      <c r="B1765" s="51" t="s">
        <v>319</v>
      </c>
    </row>
    <row r="1766" spans="2:2" x14ac:dyDescent="0.25">
      <c r="B1766" s="53"/>
    </row>
    <row r="1767" spans="2:2" x14ac:dyDescent="0.25">
      <c r="B1767" s="51" t="s">
        <v>866</v>
      </c>
    </row>
    <row r="1768" spans="2:2" x14ac:dyDescent="0.25">
      <c r="B1768" s="53"/>
    </row>
    <row r="1769" spans="2:2" x14ac:dyDescent="0.25">
      <c r="B1769" s="51" t="s">
        <v>867</v>
      </c>
    </row>
    <row r="1770" spans="2:2" x14ac:dyDescent="0.25">
      <c r="B1770" s="53"/>
    </row>
    <row r="1771" spans="2:2" x14ac:dyDescent="0.25">
      <c r="B1771" s="51" t="s">
        <v>868</v>
      </c>
    </row>
    <row r="1772" spans="2:2" x14ac:dyDescent="0.25">
      <c r="B1772" s="53"/>
    </row>
    <row r="1773" spans="2:2" x14ac:dyDescent="0.25">
      <c r="B1773" s="51" t="s">
        <v>869</v>
      </c>
    </row>
    <row r="1774" spans="2:2" x14ac:dyDescent="0.25">
      <c r="B1774" s="53"/>
    </row>
    <row r="1775" spans="2:2" x14ac:dyDescent="0.25">
      <c r="B1775" s="51" t="s">
        <v>611</v>
      </c>
    </row>
    <row r="1776" spans="2:2" x14ac:dyDescent="0.25">
      <c r="B1776" s="53"/>
    </row>
    <row r="1777" spans="2:2" x14ac:dyDescent="0.25">
      <c r="B1777" s="51" t="s">
        <v>394</v>
      </c>
    </row>
    <row r="1778" spans="2:2" x14ac:dyDescent="0.25">
      <c r="B1778" s="53"/>
    </row>
    <row r="1779" spans="2:2" x14ac:dyDescent="0.25">
      <c r="B1779" s="51" t="s">
        <v>612</v>
      </c>
    </row>
    <row r="1780" spans="2:2" x14ac:dyDescent="0.25">
      <c r="B1780" s="53"/>
    </row>
    <row r="1781" spans="2:2" x14ac:dyDescent="0.25">
      <c r="B1781" s="51" t="s">
        <v>613</v>
      </c>
    </row>
    <row r="1782" spans="2:2" x14ac:dyDescent="0.25">
      <c r="B1782" s="53"/>
    </row>
    <row r="1783" spans="2:2" x14ac:dyDescent="0.25">
      <c r="B1783" s="51" t="s">
        <v>870</v>
      </c>
    </row>
    <row r="1784" spans="2:2" x14ac:dyDescent="0.25">
      <c r="B1784" s="53"/>
    </row>
    <row r="1785" spans="2:2" x14ac:dyDescent="0.25">
      <c r="B1785" s="51" t="s">
        <v>871</v>
      </c>
    </row>
    <row r="1786" spans="2:2" x14ac:dyDescent="0.25">
      <c r="B1786" s="53"/>
    </row>
    <row r="1787" spans="2:2" x14ac:dyDescent="0.25">
      <c r="B1787" s="51" t="s">
        <v>872</v>
      </c>
    </row>
    <row r="1788" spans="2:2" x14ac:dyDescent="0.25">
      <c r="B1788" s="53"/>
    </row>
    <row r="1789" spans="2:2" x14ac:dyDescent="0.25">
      <c r="B1789" s="51" t="s">
        <v>873</v>
      </c>
    </row>
    <row r="1790" spans="2:2" x14ac:dyDescent="0.25">
      <c r="B1790" s="53"/>
    </row>
    <row r="1791" spans="2:2" x14ac:dyDescent="0.25">
      <c r="B1791" s="51" t="s">
        <v>326</v>
      </c>
    </row>
    <row r="1792" spans="2:2" x14ac:dyDescent="0.25">
      <c r="B1792" s="53"/>
    </row>
    <row r="1793" spans="2:2" x14ac:dyDescent="0.25">
      <c r="B1793" s="51" t="s">
        <v>514</v>
      </c>
    </row>
    <row r="1794" spans="2:2" x14ac:dyDescent="0.25">
      <c r="B1794" s="53"/>
    </row>
    <row r="1795" spans="2:2" x14ac:dyDescent="0.25">
      <c r="B1795" s="51" t="s">
        <v>470</v>
      </c>
    </row>
    <row r="1796" spans="2:2" x14ac:dyDescent="0.25">
      <c r="B1796" s="53"/>
    </row>
    <row r="1797" spans="2:2" x14ac:dyDescent="0.25">
      <c r="B1797" s="51" t="s">
        <v>358</v>
      </c>
    </row>
    <row r="1798" spans="2:2" x14ac:dyDescent="0.25">
      <c r="B1798" s="53"/>
    </row>
    <row r="1799" spans="2:2" x14ac:dyDescent="0.25">
      <c r="B1799" s="51" t="s">
        <v>874</v>
      </c>
    </row>
    <row r="1800" spans="2:2" x14ac:dyDescent="0.25">
      <c r="B1800" s="53"/>
    </row>
    <row r="1801" spans="2:2" x14ac:dyDescent="0.25">
      <c r="B1801" s="51" t="s">
        <v>875</v>
      </c>
    </row>
    <row r="1802" spans="2:2" x14ac:dyDescent="0.25">
      <c r="B1802" s="53"/>
    </row>
    <row r="1803" spans="2:2" x14ac:dyDescent="0.25">
      <c r="B1803" s="51" t="s">
        <v>876</v>
      </c>
    </row>
    <row r="1804" spans="2:2" x14ac:dyDescent="0.25">
      <c r="B1804" s="53"/>
    </row>
    <row r="1805" spans="2:2" x14ac:dyDescent="0.25">
      <c r="B1805" s="51" t="s">
        <v>499</v>
      </c>
    </row>
    <row r="1806" spans="2:2" x14ac:dyDescent="0.25">
      <c r="B1806" s="53"/>
    </row>
    <row r="1807" spans="2:2" x14ac:dyDescent="0.25">
      <c r="B1807" s="51" t="s">
        <v>877</v>
      </c>
    </row>
    <row r="1808" spans="2:2" x14ac:dyDescent="0.25">
      <c r="B1808" s="53"/>
    </row>
    <row r="1809" spans="2:2" x14ac:dyDescent="0.25">
      <c r="B1809" s="51" t="s">
        <v>878</v>
      </c>
    </row>
    <row r="1810" spans="2:2" x14ac:dyDescent="0.25">
      <c r="B1810" s="53"/>
    </row>
    <row r="1811" spans="2:2" x14ac:dyDescent="0.25">
      <c r="B1811" s="51" t="s">
        <v>393</v>
      </c>
    </row>
    <row r="1812" spans="2:2" x14ac:dyDescent="0.25">
      <c r="B1812" s="53"/>
    </row>
    <row r="1813" spans="2:2" x14ac:dyDescent="0.25">
      <c r="B1813" s="51" t="s">
        <v>879</v>
      </c>
    </row>
    <row r="1814" spans="2:2" x14ac:dyDescent="0.25">
      <c r="B1814" s="53"/>
    </row>
    <row r="1815" spans="2:2" x14ac:dyDescent="0.25">
      <c r="B1815" s="51" t="s">
        <v>367</v>
      </c>
    </row>
    <row r="1816" spans="2:2" x14ac:dyDescent="0.25">
      <c r="B1816" s="53"/>
    </row>
    <row r="1817" spans="2:2" x14ac:dyDescent="0.25">
      <c r="B1817" s="51" t="s">
        <v>382</v>
      </c>
    </row>
    <row r="1818" spans="2:2" x14ac:dyDescent="0.25">
      <c r="B1818" s="53"/>
    </row>
    <row r="1819" spans="2:2" x14ac:dyDescent="0.25">
      <c r="B1819" s="51" t="s">
        <v>880</v>
      </c>
    </row>
    <row r="1820" spans="2:2" x14ac:dyDescent="0.25">
      <c r="B1820" s="53"/>
    </row>
    <row r="1821" spans="2:2" x14ac:dyDescent="0.25">
      <c r="B1821" s="51" t="s">
        <v>881</v>
      </c>
    </row>
    <row r="1822" spans="2:2" x14ac:dyDescent="0.25">
      <c r="B1822" s="53"/>
    </row>
    <row r="1823" spans="2:2" x14ac:dyDescent="0.25">
      <c r="B1823" s="51" t="s">
        <v>882</v>
      </c>
    </row>
    <row r="1824" spans="2:2" x14ac:dyDescent="0.25">
      <c r="B1824" s="53"/>
    </row>
    <row r="1825" spans="2:2" x14ac:dyDescent="0.25">
      <c r="B1825" s="51" t="s">
        <v>883</v>
      </c>
    </row>
    <row r="1826" spans="2:2" x14ac:dyDescent="0.25">
      <c r="B1826" s="53"/>
    </row>
    <row r="1827" spans="2:2" x14ac:dyDescent="0.25">
      <c r="B1827" s="51" t="s">
        <v>884</v>
      </c>
    </row>
    <row r="1828" spans="2:2" x14ac:dyDescent="0.25">
      <c r="B1828" s="53"/>
    </row>
    <row r="1829" spans="2:2" x14ac:dyDescent="0.25">
      <c r="B1829" s="51" t="s">
        <v>274</v>
      </c>
    </row>
    <row r="1830" spans="2:2" x14ac:dyDescent="0.25">
      <c r="B1830" s="53"/>
    </row>
    <row r="1831" spans="2:2" x14ac:dyDescent="0.25">
      <c r="B1831" s="51" t="s">
        <v>365</v>
      </c>
    </row>
    <row r="1832" spans="2:2" x14ac:dyDescent="0.25">
      <c r="B1832" s="53"/>
    </row>
    <row r="1833" spans="2:2" x14ac:dyDescent="0.25">
      <c r="B1833" s="51" t="s">
        <v>885</v>
      </c>
    </row>
    <row r="1834" spans="2:2" x14ac:dyDescent="0.25">
      <c r="B1834" s="53"/>
    </row>
    <row r="1835" spans="2:2" x14ac:dyDescent="0.25">
      <c r="B1835" s="51" t="s">
        <v>886</v>
      </c>
    </row>
    <row r="1836" spans="2:2" x14ac:dyDescent="0.25">
      <c r="B1836" s="53"/>
    </row>
    <row r="1837" spans="2:2" x14ac:dyDescent="0.25">
      <c r="B1837" s="51" t="s">
        <v>887</v>
      </c>
    </row>
    <row r="1838" spans="2:2" x14ac:dyDescent="0.25">
      <c r="B1838" s="53"/>
    </row>
    <row r="1839" spans="2:2" x14ac:dyDescent="0.25">
      <c r="B1839" s="51" t="s">
        <v>888</v>
      </c>
    </row>
    <row r="1840" spans="2:2" x14ac:dyDescent="0.25">
      <c r="B1840" s="53"/>
    </row>
    <row r="1841" spans="2:2" x14ac:dyDescent="0.25">
      <c r="B1841" s="51" t="s">
        <v>889</v>
      </c>
    </row>
    <row r="1842" spans="2:2" x14ac:dyDescent="0.25">
      <c r="B1842" s="53"/>
    </row>
    <row r="1843" spans="2:2" x14ac:dyDescent="0.25">
      <c r="B1843" s="51" t="s">
        <v>537</v>
      </c>
    </row>
    <row r="1844" spans="2:2" x14ac:dyDescent="0.25">
      <c r="B1844" s="53"/>
    </row>
    <row r="1845" spans="2:2" x14ac:dyDescent="0.25">
      <c r="B1845" s="51" t="s">
        <v>890</v>
      </c>
    </row>
    <row r="1846" spans="2:2" x14ac:dyDescent="0.25">
      <c r="B1846" s="53"/>
    </row>
    <row r="1847" spans="2:2" x14ac:dyDescent="0.25">
      <c r="B1847" s="51" t="s">
        <v>796</v>
      </c>
    </row>
    <row r="1848" spans="2:2" x14ac:dyDescent="0.25">
      <c r="B1848" s="53"/>
    </row>
    <row r="1849" spans="2:2" x14ac:dyDescent="0.25">
      <c r="B1849" s="51" t="s">
        <v>321</v>
      </c>
    </row>
    <row r="1850" spans="2:2" x14ac:dyDescent="0.25">
      <c r="B1850" s="53"/>
    </row>
    <row r="1851" spans="2:2" x14ac:dyDescent="0.25">
      <c r="B1851" s="51" t="s">
        <v>891</v>
      </c>
    </row>
    <row r="1852" spans="2:2" x14ac:dyDescent="0.25">
      <c r="B1852" s="53"/>
    </row>
    <row r="1853" spans="2:2" x14ac:dyDescent="0.25">
      <c r="B1853" s="51" t="s">
        <v>892</v>
      </c>
    </row>
    <row r="1854" spans="2:2" x14ac:dyDescent="0.25">
      <c r="B1854" s="53"/>
    </row>
    <row r="1855" spans="2:2" x14ac:dyDescent="0.25">
      <c r="B1855" s="51" t="s">
        <v>893</v>
      </c>
    </row>
    <row r="1856" spans="2:2" x14ac:dyDescent="0.25">
      <c r="B1856" s="53"/>
    </row>
    <row r="1857" spans="2:2" x14ac:dyDescent="0.25">
      <c r="B1857" s="51" t="s">
        <v>894</v>
      </c>
    </row>
    <row r="1858" spans="2:2" x14ac:dyDescent="0.25">
      <c r="B1858" s="53"/>
    </row>
    <row r="1859" spans="2:2" x14ac:dyDescent="0.25">
      <c r="B1859" s="51" t="s">
        <v>895</v>
      </c>
    </row>
    <row r="1860" spans="2:2" x14ac:dyDescent="0.25">
      <c r="B1860" s="53"/>
    </row>
    <row r="1861" spans="2:2" x14ac:dyDescent="0.25">
      <c r="B1861" s="51" t="s">
        <v>896</v>
      </c>
    </row>
    <row r="1862" spans="2:2" x14ac:dyDescent="0.25">
      <c r="B1862" s="53"/>
    </row>
    <row r="1863" spans="2:2" x14ac:dyDescent="0.25">
      <c r="B1863" s="51" t="s">
        <v>897</v>
      </c>
    </row>
    <row r="1864" spans="2:2" x14ac:dyDescent="0.25">
      <c r="B1864" s="53"/>
    </row>
    <row r="1865" spans="2:2" x14ac:dyDescent="0.25">
      <c r="B1865" s="51" t="s">
        <v>898</v>
      </c>
    </row>
    <row r="1866" spans="2:2" x14ac:dyDescent="0.25">
      <c r="B1866" s="53"/>
    </row>
    <row r="1867" spans="2:2" x14ac:dyDescent="0.25">
      <c r="B1867" s="51" t="s">
        <v>899</v>
      </c>
    </row>
    <row r="1868" spans="2:2" x14ac:dyDescent="0.25">
      <c r="B1868" s="53"/>
    </row>
    <row r="1869" spans="2:2" x14ac:dyDescent="0.25">
      <c r="B1869" s="51" t="s">
        <v>900</v>
      </c>
    </row>
    <row r="1870" spans="2:2" x14ac:dyDescent="0.25">
      <c r="B1870" s="53"/>
    </row>
    <row r="1871" spans="2:2" x14ac:dyDescent="0.25">
      <c r="B1871" s="51" t="s">
        <v>901</v>
      </c>
    </row>
    <row r="1872" spans="2:2" x14ac:dyDescent="0.25">
      <c r="B1872" s="53"/>
    </row>
    <row r="1873" spans="2:2" x14ac:dyDescent="0.25">
      <c r="B1873" s="51" t="s">
        <v>902</v>
      </c>
    </row>
    <row r="1874" spans="2:2" x14ac:dyDescent="0.25">
      <c r="B1874" s="53"/>
    </row>
    <row r="1875" spans="2:2" x14ac:dyDescent="0.25">
      <c r="B1875" s="51" t="s">
        <v>903</v>
      </c>
    </row>
    <row r="1876" spans="2:2" x14ac:dyDescent="0.25">
      <c r="B1876" s="53"/>
    </row>
    <row r="1877" spans="2:2" x14ac:dyDescent="0.25">
      <c r="B1877" s="51" t="s">
        <v>490</v>
      </c>
    </row>
    <row r="1878" spans="2:2" x14ac:dyDescent="0.25">
      <c r="B1878" s="53"/>
    </row>
    <row r="1879" spans="2:2" x14ac:dyDescent="0.25">
      <c r="B1879" s="51" t="s">
        <v>462</v>
      </c>
    </row>
    <row r="1880" spans="2:2" x14ac:dyDescent="0.25">
      <c r="B1880" s="53"/>
    </row>
    <row r="1881" spans="2:2" x14ac:dyDescent="0.25">
      <c r="B1881" s="51" t="s">
        <v>404</v>
      </c>
    </row>
    <row r="1882" spans="2:2" x14ac:dyDescent="0.25">
      <c r="B1882" s="53"/>
    </row>
    <row r="1883" spans="2:2" x14ac:dyDescent="0.25">
      <c r="B1883" s="51" t="s">
        <v>904</v>
      </c>
    </row>
    <row r="1884" spans="2:2" x14ac:dyDescent="0.25">
      <c r="B1884" s="53"/>
    </row>
    <row r="1885" spans="2:2" x14ac:dyDescent="0.25">
      <c r="B1885" s="51" t="s">
        <v>905</v>
      </c>
    </row>
    <row r="1886" spans="2:2" x14ac:dyDescent="0.25">
      <c r="B1886" s="53"/>
    </row>
    <row r="1887" spans="2:2" x14ac:dyDescent="0.25">
      <c r="B1887" s="51" t="s">
        <v>906</v>
      </c>
    </row>
    <row r="1888" spans="2:2" x14ac:dyDescent="0.25">
      <c r="B1888" s="53"/>
    </row>
    <row r="1889" spans="2:2" x14ac:dyDescent="0.25">
      <c r="B1889" s="51" t="s">
        <v>907</v>
      </c>
    </row>
    <row r="1890" spans="2:2" x14ac:dyDescent="0.25">
      <c r="B1890" s="53"/>
    </row>
    <row r="1891" spans="2:2" x14ac:dyDescent="0.25">
      <c r="B1891" s="51" t="s">
        <v>539</v>
      </c>
    </row>
    <row r="1892" spans="2:2" x14ac:dyDescent="0.25">
      <c r="B1892" s="53"/>
    </row>
    <row r="1893" spans="2:2" x14ac:dyDescent="0.25">
      <c r="B1893" s="51" t="s">
        <v>540</v>
      </c>
    </row>
    <row r="1894" spans="2:2" x14ac:dyDescent="0.25">
      <c r="B1894" s="53"/>
    </row>
    <row r="1895" spans="2:2" x14ac:dyDescent="0.25">
      <c r="B1895" s="51" t="s">
        <v>908</v>
      </c>
    </row>
    <row r="1896" spans="2:2" x14ac:dyDescent="0.25">
      <c r="B1896" s="53"/>
    </row>
    <row r="1897" spans="2:2" x14ac:dyDescent="0.25">
      <c r="B1897" s="51" t="s">
        <v>909</v>
      </c>
    </row>
    <row r="1898" spans="2:2" x14ac:dyDescent="0.25">
      <c r="B1898" s="53"/>
    </row>
    <row r="1899" spans="2:2" x14ac:dyDescent="0.25">
      <c r="B1899" s="51" t="s">
        <v>910</v>
      </c>
    </row>
    <row r="1900" spans="2:2" x14ac:dyDescent="0.25">
      <c r="B1900" s="53"/>
    </row>
    <row r="1901" spans="2:2" x14ac:dyDescent="0.25">
      <c r="B1901" s="51" t="s">
        <v>911</v>
      </c>
    </row>
    <row r="1902" spans="2:2" x14ac:dyDescent="0.25">
      <c r="B1902" s="53"/>
    </row>
    <row r="1903" spans="2:2" x14ac:dyDescent="0.25">
      <c r="B1903" s="51" t="s">
        <v>912</v>
      </c>
    </row>
    <row r="1904" spans="2:2" x14ac:dyDescent="0.25">
      <c r="B1904" s="53"/>
    </row>
    <row r="1905" spans="2:2" x14ac:dyDescent="0.25">
      <c r="B1905" s="51" t="s">
        <v>913</v>
      </c>
    </row>
    <row r="1906" spans="2:2" x14ac:dyDescent="0.25">
      <c r="B1906" s="53"/>
    </row>
    <row r="1907" spans="2:2" x14ac:dyDescent="0.25">
      <c r="B1907" s="51" t="s">
        <v>914</v>
      </c>
    </row>
    <row r="1908" spans="2:2" x14ac:dyDescent="0.25">
      <c r="B1908" s="53"/>
    </row>
    <row r="1909" spans="2:2" x14ac:dyDescent="0.25">
      <c r="B1909" s="51" t="s">
        <v>915</v>
      </c>
    </row>
    <row r="1910" spans="2:2" x14ac:dyDescent="0.25">
      <c r="B1910" s="53"/>
    </row>
    <row r="1911" spans="2:2" x14ac:dyDescent="0.25">
      <c r="B1911" s="51" t="s">
        <v>916</v>
      </c>
    </row>
    <row r="1912" spans="2:2" x14ac:dyDescent="0.25">
      <c r="B1912" s="53"/>
    </row>
    <row r="1913" spans="2:2" x14ac:dyDescent="0.25">
      <c r="B1913" s="51" t="s">
        <v>917</v>
      </c>
    </row>
    <row r="1914" spans="2:2" x14ac:dyDescent="0.25">
      <c r="B1914" s="53"/>
    </row>
    <row r="1915" spans="2:2" x14ac:dyDescent="0.25">
      <c r="B1915" s="51" t="s">
        <v>918</v>
      </c>
    </row>
    <row r="1916" spans="2:2" x14ac:dyDescent="0.25">
      <c r="B1916" s="53"/>
    </row>
    <row r="1917" spans="2:2" x14ac:dyDescent="0.25">
      <c r="B1917" s="51" t="s">
        <v>919</v>
      </c>
    </row>
    <row r="1918" spans="2:2" x14ac:dyDescent="0.25">
      <c r="B1918" s="53"/>
    </row>
    <row r="1919" spans="2:2" x14ac:dyDescent="0.25">
      <c r="B1919" s="51" t="s">
        <v>916</v>
      </c>
    </row>
    <row r="1920" spans="2:2" x14ac:dyDescent="0.25">
      <c r="B1920" s="53"/>
    </row>
    <row r="1921" spans="2:2" x14ac:dyDescent="0.25">
      <c r="B1921" s="51" t="s">
        <v>920</v>
      </c>
    </row>
    <row r="1922" spans="2:2" x14ac:dyDescent="0.25">
      <c r="B1922" s="53"/>
    </row>
    <row r="1923" spans="2:2" x14ac:dyDescent="0.25">
      <c r="B1923" s="51" t="s">
        <v>921</v>
      </c>
    </row>
    <row r="1924" spans="2:2" x14ac:dyDescent="0.25">
      <c r="B1924" s="53"/>
    </row>
    <row r="1925" spans="2:2" x14ac:dyDescent="0.25">
      <c r="B1925" s="51" t="s">
        <v>333</v>
      </c>
    </row>
    <row r="1926" spans="2:2" x14ac:dyDescent="0.25">
      <c r="B1926" s="53"/>
    </row>
    <row r="1927" spans="2:2" x14ac:dyDescent="0.25">
      <c r="B1927" s="51" t="s">
        <v>333</v>
      </c>
    </row>
    <row r="1928" spans="2:2" x14ac:dyDescent="0.25">
      <c r="B1928" s="53"/>
    </row>
    <row r="1929" spans="2:2" x14ac:dyDescent="0.25">
      <c r="B1929" s="51" t="s">
        <v>381</v>
      </c>
    </row>
    <row r="1930" spans="2:2" x14ac:dyDescent="0.25">
      <c r="B1930" s="53"/>
    </row>
    <row r="1931" spans="2:2" x14ac:dyDescent="0.25">
      <c r="B1931" s="51" t="s">
        <v>922</v>
      </c>
    </row>
    <row r="1932" spans="2:2" x14ac:dyDescent="0.25">
      <c r="B1932" s="53"/>
    </row>
    <row r="1933" spans="2:2" x14ac:dyDescent="0.25">
      <c r="B1933" s="51" t="s">
        <v>923</v>
      </c>
    </row>
    <row r="1934" spans="2:2" x14ac:dyDescent="0.25">
      <c r="B1934" s="53"/>
    </row>
    <row r="1935" spans="2:2" x14ac:dyDescent="0.25">
      <c r="B1935" s="51" t="s">
        <v>924</v>
      </c>
    </row>
    <row r="1936" spans="2:2" x14ac:dyDescent="0.25">
      <c r="B1936" s="53"/>
    </row>
    <row r="1937" spans="2:2" x14ac:dyDescent="0.25">
      <c r="B1937" s="51" t="s">
        <v>925</v>
      </c>
    </row>
    <row r="1938" spans="2:2" x14ac:dyDescent="0.25">
      <c r="B1938" s="53"/>
    </row>
    <row r="1939" spans="2:2" x14ac:dyDescent="0.25">
      <c r="B1939" s="51" t="s">
        <v>926</v>
      </c>
    </row>
    <row r="1940" spans="2:2" x14ac:dyDescent="0.25">
      <c r="B1940" s="53"/>
    </row>
    <row r="1941" spans="2:2" x14ac:dyDescent="0.25">
      <c r="B1941" s="51" t="s">
        <v>927</v>
      </c>
    </row>
    <row r="1942" spans="2:2" x14ac:dyDescent="0.25">
      <c r="B1942" s="53"/>
    </row>
    <row r="1943" spans="2:2" x14ac:dyDescent="0.25">
      <c r="B1943" s="51" t="s">
        <v>928</v>
      </c>
    </row>
    <row r="1944" spans="2:2" x14ac:dyDescent="0.25">
      <c r="B1944" s="53"/>
    </row>
    <row r="1945" spans="2:2" x14ac:dyDescent="0.25">
      <c r="B1945" s="51" t="s">
        <v>559</v>
      </c>
    </row>
    <row r="1946" spans="2:2" x14ac:dyDescent="0.25">
      <c r="B1946" s="53"/>
    </row>
    <row r="1947" spans="2:2" x14ac:dyDescent="0.25">
      <c r="B1947" s="51" t="s">
        <v>533</v>
      </c>
    </row>
    <row r="1948" spans="2:2" x14ac:dyDescent="0.25">
      <c r="B1948" s="53"/>
    </row>
    <row r="1949" spans="2:2" x14ac:dyDescent="0.25">
      <c r="B1949" s="51" t="s">
        <v>929</v>
      </c>
    </row>
    <row r="1950" spans="2:2" x14ac:dyDescent="0.25">
      <c r="B1950" s="53"/>
    </row>
    <row r="1951" spans="2:2" x14ac:dyDescent="0.25">
      <c r="B1951" s="51" t="s">
        <v>387</v>
      </c>
    </row>
    <row r="1952" spans="2:2" x14ac:dyDescent="0.25">
      <c r="B1952" s="53"/>
    </row>
    <row r="1953" spans="2:2" x14ac:dyDescent="0.25">
      <c r="B1953" s="51" t="s">
        <v>630</v>
      </c>
    </row>
    <row r="1954" spans="2:2" x14ac:dyDescent="0.25">
      <c r="B1954" s="53"/>
    </row>
    <row r="1955" spans="2:2" x14ac:dyDescent="0.25">
      <c r="B1955" s="51" t="s">
        <v>628</v>
      </c>
    </row>
    <row r="1956" spans="2:2" x14ac:dyDescent="0.25">
      <c r="B1956" s="53"/>
    </row>
    <row r="1957" spans="2:2" x14ac:dyDescent="0.25">
      <c r="B1957" s="51" t="s">
        <v>930</v>
      </c>
    </row>
    <row r="1958" spans="2:2" x14ac:dyDescent="0.25">
      <c r="B1958" s="53"/>
    </row>
    <row r="1959" spans="2:2" x14ac:dyDescent="0.25">
      <c r="B1959" s="51" t="s">
        <v>417</v>
      </c>
    </row>
    <row r="1960" spans="2:2" x14ac:dyDescent="0.25">
      <c r="B1960" s="53"/>
    </row>
    <row r="1961" spans="2:2" x14ac:dyDescent="0.25">
      <c r="B1961" s="51" t="s">
        <v>931</v>
      </c>
    </row>
    <row r="1962" spans="2:2" x14ac:dyDescent="0.25">
      <c r="B1962" s="53"/>
    </row>
    <row r="1963" spans="2:2" x14ac:dyDescent="0.25">
      <c r="B1963" s="51" t="s">
        <v>791</v>
      </c>
    </row>
    <row r="1964" spans="2:2" x14ac:dyDescent="0.25">
      <c r="B1964" s="53"/>
    </row>
    <row r="1965" spans="2:2" x14ac:dyDescent="0.25">
      <c r="B1965" s="51" t="s">
        <v>932</v>
      </c>
    </row>
    <row r="1966" spans="2:2" x14ac:dyDescent="0.25">
      <c r="B1966" s="53"/>
    </row>
    <row r="1967" spans="2:2" x14ac:dyDescent="0.25">
      <c r="B1967" s="51" t="s">
        <v>933</v>
      </c>
    </row>
    <row r="1968" spans="2:2" x14ac:dyDescent="0.25">
      <c r="B1968" s="53"/>
    </row>
    <row r="1969" spans="2:2" x14ac:dyDescent="0.25">
      <c r="B1969" s="51" t="s">
        <v>409</v>
      </c>
    </row>
    <row r="1970" spans="2:2" x14ac:dyDescent="0.25">
      <c r="B1970" s="53"/>
    </row>
    <row r="1971" spans="2:2" x14ac:dyDescent="0.25">
      <c r="B1971" s="51" t="s">
        <v>425</v>
      </c>
    </row>
    <row r="1972" spans="2:2" x14ac:dyDescent="0.25">
      <c r="B1972" s="53"/>
    </row>
    <row r="1973" spans="2:2" x14ac:dyDescent="0.25">
      <c r="B1973" s="51" t="s">
        <v>596</v>
      </c>
    </row>
    <row r="1974" spans="2:2" x14ac:dyDescent="0.25">
      <c r="B1974" s="53"/>
    </row>
    <row r="1975" spans="2:2" x14ac:dyDescent="0.25">
      <c r="B1975" s="51" t="s">
        <v>934</v>
      </c>
    </row>
    <row r="1976" spans="2:2" x14ac:dyDescent="0.25">
      <c r="B1976" s="53"/>
    </row>
    <row r="1977" spans="2:2" x14ac:dyDescent="0.25">
      <c r="B1977" s="51" t="s">
        <v>935</v>
      </c>
    </row>
    <row r="1978" spans="2:2" x14ac:dyDescent="0.25">
      <c r="B1978" s="53"/>
    </row>
    <row r="1979" spans="2:2" x14ac:dyDescent="0.25">
      <c r="B1979" s="51" t="s">
        <v>936</v>
      </c>
    </row>
    <row r="1980" spans="2:2" x14ac:dyDescent="0.25">
      <c r="B1980" s="53"/>
    </row>
    <row r="1981" spans="2:2" x14ac:dyDescent="0.25">
      <c r="B1981" s="51" t="s">
        <v>937</v>
      </c>
    </row>
    <row r="1982" spans="2:2" x14ac:dyDescent="0.25">
      <c r="B1982" s="53"/>
    </row>
    <row r="1983" spans="2:2" x14ac:dyDescent="0.25">
      <c r="B1983" s="51" t="s">
        <v>938</v>
      </c>
    </row>
    <row r="1984" spans="2:2" x14ac:dyDescent="0.25">
      <c r="B1984" s="53"/>
    </row>
    <row r="1985" spans="2:2" x14ac:dyDescent="0.25">
      <c r="B1985" s="51" t="s">
        <v>939</v>
      </c>
    </row>
    <row r="1986" spans="2:2" x14ac:dyDescent="0.25">
      <c r="B1986" s="53"/>
    </row>
    <row r="1987" spans="2:2" x14ac:dyDescent="0.25">
      <c r="B1987" s="51" t="s">
        <v>408</v>
      </c>
    </row>
    <row r="1988" spans="2:2" x14ac:dyDescent="0.25">
      <c r="B1988" s="53"/>
    </row>
    <row r="1989" spans="2:2" x14ac:dyDescent="0.25">
      <c r="B1989" s="51" t="s">
        <v>940</v>
      </c>
    </row>
    <row r="1990" spans="2:2" x14ac:dyDescent="0.25">
      <c r="B1990" s="53"/>
    </row>
    <row r="1991" spans="2:2" x14ac:dyDescent="0.25">
      <c r="B1991" s="51" t="s">
        <v>941</v>
      </c>
    </row>
    <row r="1992" spans="2:2" x14ac:dyDescent="0.25">
      <c r="B1992" s="53"/>
    </row>
    <row r="1993" spans="2:2" x14ac:dyDescent="0.25">
      <c r="B1993" s="51" t="s">
        <v>942</v>
      </c>
    </row>
    <row r="1994" spans="2:2" x14ac:dyDescent="0.25">
      <c r="B1994" s="53"/>
    </row>
    <row r="1995" spans="2:2" x14ac:dyDescent="0.25">
      <c r="B1995" s="51" t="s">
        <v>943</v>
      </c>
    </row>
    <row r="1996" spans="2:2" x14ac:dyDescent="0.25">
      <c r="B1996" s="53"/>
    </row>
    <row r="1997" spans="2:2" x14ac:dyDescent="0.25">
      <c r="B1997" s="51" t="s">
        <v>944</v>
      </c>
    </row>
    <row r="1998" spans="2:2" x14ac:dyDescent="0.25">
      <c r="B1998" s="53"/>
    </row>
    <row r="1999" spans="2:2" x14ac:dyDescent="0.25">
      <c r="B1999" s="51" t="s">
        <v>945</v>
      </c>
    </row>
    <row r="2000" spans="2:2" x14ac:dyDescent="0.25">
      <c r="B2000" s="53"/>
    </row>
    <row r="2001" spans="2:2" x14ac:dyDescent="0.25">
      <c r="B2001" s="51" t="s">
        <v>380</v>
      </c>
    </row>
    <row r="2002" spans="2:2" x14ac:dyDescent="0.25">
      <c r="B2002" s="53"/>
    </row>
    <row r="2003" spans="2:2" x14ac:dyDescent="0.25">
      <c r="B2003" s="51" t="s">
        <v>946</v>
      </c>
    </row>
    <row r="2004" spans="2:2" x14ac:dyDescent="0.25">
      <c r="B2004" s="53"/>
    </row>
    <row r="2005" spans="2:2" x14ac:dyDescent="0.25">
      <c r="B2005" s="51" t="s">
        <v>947</v>
      </c>
    </row>
    <row r="2006" spans="2:2" x14ac:dyDescent="0.25">
      <c r="B2006" s="53"/>
    </row>
    <row r="2007" spans="2:2" x14ac:dyDescent="0.25">
      <c r="B2007" s="51" t="s">
        <v>948</v>
      </c>
    </row>
    <row r="2008" spans="2:2" x14ac:dyDescent="0.25">
      <c r="B2008" s="53"/>
    </row>
    <row r="2009" spans="2:2" x14ac:dyDescent="0.25">
      <c r="B2009" s="51" t="s">
        <v>949</v>
      </c>
    </row>
    <row r="2010" spans="2:2" x14ac:dyDescent="0.25">
      <c r="B2010" s="53"/>
    </row>
    <row r="2011" spans="2:2" x14ac:dyDescent="0.25">
      <c r="B2011" s="51" t="s">
        <v>950</v>
      </c>
    </row>
    <row r="2012" spans="2:2" x14ac:dyDescent="0.25">
      <c r="B2012" s="53"/>
    </row>
    <row r="2013" spans="2:2" x14ac:dyDescent="0.25">
      <c r="B2013" s="51" t="s">
        <v>951</v>
      </c>
    </row>
    <row r="2014" spans="2:2" x14ac:dyDescent="0.25">
      <c r="B2014" s="53"/>
    </row>
    <row r="2015" spans="2:2" x14ac:dyDescent="0.25">
      <c r="B2015" s="51" t="s">
        <v>952</v>
      </c>
    </row>
    <row r="2016" spans="2:2" x14ac:dyDescent="0.25">
      <c r="B2016" s="53"/>
    </row>
    <row r="2017" spans="2:2" x14ac:dyDescent="0.25">
      <c r="B2017" s="51" t="s">
        <v>459</v>
      </c>
    </row>
    <row r="2018" spans="2:2" x14ac:dyDescent="0.25">
      <c r="B2018" s="53"/>
    </row>
    <row r="2019" spans="2:2" x14ac:dyDescent="0.25">
      <c r="B2019" s="51" t="s">
        <v>953</v>
      </c>
    </row>
    <row r="2020" spans="2:2" x14ac:dyDescent="0.25">
      <c r="B2020" s="53"/>
    </row>
    <row r="2021" spans="2:2" x14ac:dyDescent="0.25">
      <c r="B2021" s="51" t="s">
        <v>452</v>
      </c>
    </row>
    <row r="2022" spans="2:2" x14ac:dyDescent="0.25">
      <c r="B2022" s="53"/>
    </row>
    <row r="2023" spans="2:2" x14ac:dyDescent="0.25">
      <c r="B2023" s="51" t="s">
        <v>954</v>
      </c>
    </row>
    <row r="2024" spans="2:2" x14ac:dyDescent="0.25">
      <c r="B2024" s="53"/>
    </row>
    <row r="2025" spans="2:2" x14ac:dyDescent="0.25">
      <c r="B2025" s="51" t="s">
        <v>955</v>
      </c>
    </row>
    <row r="2026" spans="2:2" x14ac:dyDescent="0.25">
      <c r="B2026" s="53"/>
    </row>
    <row r="2027" spans="2:2" x14ac:dyDescent="0.25">
      <c r="B2027" s="51" t="s">
        <v>675</v>
      </c>
    </row>
    <row r="2028" spans="2:2" x14ac:dyDescent="0.25">
      <c r="B2028" s="53"/>
    </row>
    <row r="2029" spans="2:2" x14ac:dyDescent="0.25">
      <c r="B2029" s="51" t="s">
        <v>956</v>
      </c>
    </row>
    <row r="2030" spans="2:2" x14ac:dyDescent="0.25">
      <c r="B2030" s="53"/>
    </row>
    <row r="2031" spans="2:2" x14ac:dyDescent="0.25">
      <c r="B2031" s="51" t="s">
        <v>415</v>
      </c>
    </row>
    <row r="2032" spans="2:2" x14ac:dyDescent="0.25">
      <c r="B2032" s="53"/>
    </row>
    <row r="2033" spans="2:2" x14ac:dyDescent="0.25">
      <c r="B2033" s="51" t="s">
        <v>957</v>
      </c>
    </row>
    <row r="2034" spans="2:2" x14ac:dyDescent="0.25">
      <c r="B2034" s="53"/>
    </row>
    <row r="2035" spans="2:2" x14ac:dyDescent="0.25">
      <c r="B2035" s="51" t="s">
        <v>320</v>
      </c>
    </row>
    <row r="2036" spans="2:2" x14ac:dyDescent="0.25">
      <c r="B2036" s="53"/>
    </row>
    <row r="2037" spans="2:2" x14ac:dyDescent="0.25">
      <c r="B2037" s="51" t="s">
        <v>958</v>
      </c>
    </row>
    <row r="2038" spans="2:2" x14ac:dyDescent="0.25">
      <c r="B2038" s="53"/>
    </row>
    <row r="2039" spans="2:2" x14ac:dyDescent="0.25">
      <c r="B2039" s="51" t="s">
        <v>959</v>
      </c>
    </row>
    <row r="2040" spans="2:2" x14ac:dyDescent="0.25">
      <c r="B2040" s="53"/>
    </row>
    <row r="2041" spans="2:2" x14ac:dyDescent="0.25">
      <c r="B2041" s="51" t="s">
        <v>960</v>
      </c>
    </row>
    <row r="2042" spans="2:2" x14ac:dyDescent="0.25">
      <c r="B2042" s="53"/>
    </row>
    <row r="2043" spans="2:2" x14ac:dyDescent="0.25">
      <c r="B2043" s="51" t="s">
        <v>961</v>
      </c>
    </row>
    <row r="2044" spans="2:2" x14ac:dyDescent="0.25">
      <c r="B2044" s="53"/>
    </row>
    <row r="2045" spans="2:2" x14ac:dyDescent="0.25">
      <c r="B2045" s="51" t="s">
        <v>469</v>
      </c>
    </row>
    <row r="2046" spans="2:2" x14ac:dyDescent="0.25">
      <c r="B2046" s="53"/>
    </row>
    <row r="2047" spans="2:2" x14ac:dyDescent="0.25">
      <c r="B2047" s="51" t="s">
        <v>962</v>
      </c>
    </row>
    <row r="2048" spans="2:2" x14ac:dyDescent="0.25">
      <c r="B2048" s="53"/>
    </row>
    <row r="2049" spans="2:2" x14ac:dyDescent="0.25">
      <c r="B2049" s="51" t="s">
        <v>963</v>
      </c>
    </row>
    <row r="2050" spans="2:2" x14ac:dyDescent="0.25">
      <c r="B2050" s="53"/>
    </row>
    <row r="2051" spans="2:2" x14ac:dyDescent="0.25">
      <c r="B2051" s="51" t="s">
        <v>403</v>
      </c>
    </row>
    <row r="2052" spans="2:2" x14ac:dyDescent="0.25">
      <c r="B2052" s="53"/>
    </row>
    <row r="2053" spans="2:2" x14ac:dyDescent="0.25">
      <c r="B2053" s="51" t="s">
        <v>964</v>
      </c>
    </row>
    <row r="2054" spans="2:2" x14ac:dyDescent="0.25">
      <c r="B2054" s="53"/>
    </row>
    <row r="2055" spans="2:2" x14ac:dyDescent="0.25">
      <c r="B2055" s="51" t="s">
        <v>965</v>
      </c>
    </row>
    <row r="2056" spans="2:2" x14ac:dyDescent="0.25">
      <c r="B2056" s="53"/>
    </row>
    <row r="2057" spans="2:2" x14ac:dyDescent="0.25">
      <c r="B2057" s="51" t="s">
        <v>966</v>
      </c>
    </row>
    <row r="2058" spans="2:2" x14ac:dyDescent="0.25">
      <c r="B2058" s="53"/>
    </row>
    <row r="2059" spans="2:2" x14ac:dyDescent="0.25">
      <c r="B2059" s="51" t="s">
        <v>967</v>
      </c>
    </row>
    <row r="2060" spans="2:2" x14ac:dyDescent="0.25">
      <c r="B2060" s="53"/>
    </row>
    <row r="2061" spans="2:2" x14ac:dyDescent="0.25">
      <c r="B2061" s="51" t="s">
        <v>968</v>
      </c>
    </row>
    <row r="2062" spans="2:2" x14ac:dyDescent="0.25">
      <c r="B2062" s="53"/>
    </row>
    <row r="2063" spans="2:2" x14ac:dyDescent="0.25">
      <c r="B2063" s="51" t="s">
        <v>969</v>
      </c>
    </row>
    <row r="2064" spans="2:2" x14ac:dyDescent="0.25">
      <c r="B2064" s="53"/>
    </row>
    <row r="2065" spans="2:2" x14ac:dyDescent="0.25">
      <c r="B2065" s="51" t="s">
        <v>970</v>
      </c>
    </row>
    <row r="2066" spans="2:2" x14ac:dyDescent="0.25">
      <c r="B2066" s="53"/>
    </row>
    <row r="2067" spans="2:2" x14ac:dyDescent="0.25">
      <c r="B2067" s="51" t="s">
        <v>496</v>
      </c>
    </row>
    <row r="2068" spans="2:2" x14ac:dyDescent="0.25">
      <c r="B2068" s="53"/>
    </row>
    <row r="2069" spans="2:2" x14ac:dyDescent="0.25">
      <c r="B2069" s="51" t="s">
        <v>402</v>
      </c>
    </row>
    <row r="2070" spans="2:2" x14ac:dyDescent="0.25">
      <c r="B2070" s="53"/>
    </row>
    <row r="2071" spans="2:2" x14ac:dyDescent="0.25">
      <c r="B2071" s="51" t="s">
        <v>353</v>
      </c>
    </row>
    <row r="2072" spans="2:2" x14ac:dyDescent="0.25">
      <c r="B2072" s="53"/>
    </row>
    <row r="2073" spans="2:2" x14ac:dyDescent="0.25">
      <c r="B2073" s="51" t="s">
        <v>526</v>
      </c>
    </row>
    <row r="2074" spans="2:2" x14ac:dyDescent="0.25">
      <c r="B2074" s="53"/>
    </row>
    <row r="2075" spans="2:2" x14ac:dyDescent="0.25">
      <c r="B2075" s="51" t="s">
        <v>971</v>
      </c>
    </row>
    <row r="2076" spans="2:2" x14ac:dyDescent="0.25">
      <c r="B2076" s="53"/>
    </row>
    <row r="2077" spans="2:2" x14ac:dyDescent="0.25">
      <c r="B2077" s="51" t="s">
        <v>972</v>
      </c>
    </row>
    <row r="2078" spans="2:2" x14ac:dyDescent="0.25">
      <c r="B2078" s="53"/>
    </row>
    <row r="2079" spans="2:2" x14ac:dyDescent="0.25">
      <c r="B2079" s="51" t="s">
        <v>587</v>
      </c>
    </row>
    <row r="2080" spans="2:2" x14ac:dyDescent="0.25">
      <c r="B2080" s="53"/>
    </row>
    <row r="2081" spans="2:2" x14ac:dyDescent="0.25">
      <c r="B2081" s="51" t="s">
        <v>973</v>
      </c>
    </row>
    <row r="2082" spans="2:2" x14ac:dyDescent="0.25">
      <c r="B2082" s="53"/>
    </row>
    <row r="2083" spans="2:2" x14ac:dyDescent="0.25">
      <c r="B2083" s="51" t="s">
        <v>974</v>
      </c>
    </row>
    <row r="2084" spans="2:2" x14ac:dyDescent="0.25">
      <c r="B2084" s="53"/>
    </row>
    <row r="2085" spans="2:2" x14ac:dyDescent="0.25">
      <c r="B2085" s="51" t="s">
        <v>656</v>
      </c>
    </row>
    <row r="2086" spans="2:2" x14ac:dyDescent="0.25">
      <c r="B2086" s="53"/>
    </row>
    <row r="2087" spans="2:2" x14ac:dyDescent="0.25">
      <c r="B2087" s="51" t="s">
        <v>633</v>
      </c>
    </row>
    <row r="2088" spans="2:2" x14ac:dyDescent="0.25">
      <c r="B2088" s="53"/>
    </row>
    <row r="2089" spans="2:2" x14ac:dyDescent="0.25">
      <c r="B2089" s="51" t="s">
        <v>577</v>
      </c>
    </row>
    <row r="2090" spans="2:2" x14ac:dyDescent="0.25">
      <c r="B2090" s="53"/>
    </row>
    <row r="2091" spans="2:2" x14ac:dyDescent="0.25">
      <c r="B2091" s="51" t="s">
        <v>477</v>
      </c>
    </row>
    <row r="2092" spans="2:2" x14ac:dyDescent="0.25">
      <c r="B2092" s="53"/>
    </row>
    <row r="2093" spans="2:2" x14ac:dyDescent="0.25">
      <c r="B2093" s="51" t="s">
        <v>975</v>
      </c>
    </row>
    <row r="2094" spans="2:2" x14ac:dyDescent="0.25">
      <c r="B2094" s="53"/>
    </row>
    <row r="2095" spans="2:2" x14ac:dyDescent="0.25">
      <c r="B2095" s="51" t="s">
        <v>976</v>
      </c>
    </row>
    <row r="2096" spans="2:2" x14ac:dyDescent="0.25">
      <c r="B2096" s="53"/>
    </row>
    <row r="2097" spans="2:2" x14ac:dyDescent="0.25">
      <c r="B2097" s="51" t="s">
        <v>416</v>
      </c>
    </row>
    <row r="2098" spans="2:2" x14ac:dyDescent="0.25">
      <c r="B2098" s="53"/>
    </row>
    <row r="2099" spans="2:2" x14ac:dyDescent="0.25">
      <c r="B2099" s="51" t="s">
        <v>977</v>
      </c>
    </row>
    <row r="2100" spans="2:2" x14ac:dyDescent="0.25">
      <c r="B2100" s="53"/>
    </row>
    <row r="2101" spans="2:2" x14ac:dyDescent="0.25">
      <c r="B2101" s="51" t="s">
        <v>978</v>
      </c>
    </row>
    <row r="2102" spans="2:2" x14ac:dyDescent="0.25">
      <c r="B2102" s="53"/>
    </row>
    <row r="2103" spans="2:2" x14ac:dyDescent="0.25">
      <c r="B2103" s="51" t="s">
        <v>979</v>
      </c>
    </row>
    <row r="2104" spans="2:2" x14ac:dyDescent="0.25">
      <c r="B2104" s="53"/>
    </row>
    <row r="2105" spans="2:2" x14ac:dyDescent="0.25">
      <c r="B2105" s="51" t="s">
        <v>980</v>
      </c>
    </row>
    <row r="2106" spans="2:2" x14ac:dyDescent="0.25">
      <c r="B2106" s="53"/>
    </row>
    <row r="2107" spans="2:2" x14ac:dyDescent="0.25">
      <c r="B2107" s="51" t="s">
        <v>981</v>
      </c>
    </row>
    <row r="2108" spans="2:2" x14ac:dyDescent="0.25">
      <c r="B2108" s="53"/>
    </row>
    <row r="2109" spans="2:2" x14ac:dyDescent="0.25">
      <c r="B2109" s="51" t="s">
        <v>441</v>
      </c>
    </row>
    <row r="2110" spans="2:2" x14ac:dyDescent="0.25">
      <c r="B2110" s="53"/>
    </row>
    <row r="2111" spans="2:2" x14ac:dyDescent="0.25">
      <c r="B2111" s="51" t="s">
        <v>982</v>
      </c>
    </row>
    <row r="2112" spans="2:2" x14ac:dyDescent="0.25">
      <c r="B2112" s="53"/>
    </row>
    <row r="2113" spans="2:2" x14ac:dyDescent="0.25">
      <c r="B2113" s="51" t="s">
        <v>983</v>
      </c>
    </row>
    <row r="2114" spans="2:2" x14ac:dyDescent="0.25">
      <c r="B2114" s="53"/>
    </row>
    <row r="2115" spans="2:2" x14ac:dyDescent="0.25">
      <c r="B2115" s="51" t="s">
        <v>984</v>
      </c>
    </row>
    <row r="2116" spans="2:2" x14ac:dyDescent="0.25">
      <c r="B2116" s="53"/>
    </row>
    <row r="2117" spans="2:2" x14ac:dyDescent="0.25">
      <c r="B2117" s="51" t="s">
        <v>676</v>
      </c>
    </row>
    <row r="2118" spans="2:2" x14ac:dyDescent="0.25">
      <c r="B2118" s="53"/>
    </row>
    <row r="2119" spans="2:2" x14ac:dyDescent="0.25">
      <c r="B2119" s="51" t="s">
        <v>985</v>
      </c>
    </row>
    <row r="2120" spans="2:2" x14ac:dyDescent="0.25">
      <c r="B2120" s="53"/>
    </row>
    <row r="2121" spans="2:2" x14ac:dyDescent="0.25">
      <c r="B2121" s="51" t="s">
        <v>424</v>
      </c>
    </row>
    <row r="2122" spans="2:2" x14ac:dyDescent="0.25">
      <c r="B2122" s="53"/>
    </row>
    <row r="2123" spans="2:2" x14ac:dyDescent="0.25">
      <c r="B2123" s="51" t="s">
        <v>986</v>
      </c>
    </row>
    <row r="2124" spans="2:2" x14ac:dyDescent="0.25">
      <c r="B2124" s="53"/>
    </row>
    <row r="2125" spans="2:2" x14ac:dyDescent="0.25">
      <c r="B2125" s="51" t="s">
        <v>987</v>
      </c>
    </row>
    <row r="2126" spans="2:2" x14ac:dyDescent="0.25">
      <c r="B2126" s="53"/>
    </row>
    <row r="2127" spans="2:2" x14ac:dyDescent="0.25">
      <c r="B2127" s="51" t="s">
        <v>437</v>
      </c>
    </row>
    <row r="2128" spans="2:2" x14ac:dyDescent="0.25">
      <c r="B2128" s="53"/>
    </row>
    <row r="2129" spans="2:2" x14ac:dyDescent="0.25">
      <c r="B2129" s="51" t="s">
        <v>988</v>
      </c>
    </row>
    <row r="2130" spans="2:2" x14ac:dyDescent="0.25">
      <c r="B2130" s="53"/>
    </row>
    <row r="2131" spans="2:2" x14ac:dyDescent="0.25">
      <c r="B2131" s="51" t="s">
        <v>989</v>
      </c>
    </row>
    <row r="2132" spans="2:2" x14ac:dyDescent="0.25">
      <c r="B2132" s="53"/>
    </row>
    <row r="2133" spans="2:2" x14ac:dyDescent="0.25">
      <c r="B2133" s="51" t="s">
        <v>990</v>
      </c>
    </row>
    <row r="2134" spans="2:2" x14ac:dyDescent="0.25">
      <c r="B2134" s="53"/>
    </row>
    <row r="2135" spans="2:2" x14ac:dyDescent="0.25">
      <c r="B2135" s="51" t="s">
        <v>991</v>
      </c>
    </row>
    <row r="2136" spans="2:2" x14ac:dyDescent="0.25">
      <c r="B2136" s="53"/>
    </row>
    <row r="2137" spans="2:2" x14ac:dyDescent="0.25">
      <c r="B2137" s="51" t="s">
        <v>992</v>
      </c>
    </row>
    <row r="2138" spans="2:2" x14ac:dyDescent="0.25">
      <c r="B2138" s="53"/>
    </row>
    <row r="2139" spans="2:2" x14ac:dyDescent="0.25">
      <c r="B2139" s="51" t="s">
        <v>993</v>
      </c>
    </row>
    <row r="2140" spans="2:2" x14ac:dyDescent="0.25">
      <c r="B2140" s="53"/>
    </row>
    <row r="2141" spans="2:2" x14ac:dyDescent="0.25">
      <c r="B2141" s="51" t="s">
        <v>994</v>
      </c>
    </row>
    <row r="2142" spans="2:2" x14ac:dyDescent="0.25">
      <c r="B2142" s="53"/>
    </row>
    <row r="2143" spans="2:2" x14ac:dyDescent="0.25">
      <c r="B2143" s="51" t="s">
        <v>352</v>
      </c>
    </row>
    <row r="2144" spans="2:2" x14ac:dyDescent="0.25">
      <c r="B2144" s="53"/>
    </row>
    <row r="2145" spans="2:2" x14ac:dyDescent="0.25">
      <c r="B2145" s="51" t="s">
        <v>532</v>
      </c>
    </row>
    <row r="2146" spans="2:2" x14ac:dyDescent="0.25">
      <c r="B2146" s="53"/>
    </row>
    <row r="2147" spans="2:2" x14ac:dyDescent="0.25">
      <c r="B2147" s="51" t="s">
        <v>995</v>
      </c>
    </row>
    <row r="2148" spans="2:2" x14ac:dyDescent="0.25">
      <c r="B2148" s="53"/>
    </row>
    <row r="2149" spans="2:2" x14ac:dyDescent="0.25">
      <c r="B2149" s="51" t="s">
        <v>996</v>
      </c>
    </row>
    <row r="2150" spans="2:2" x14ac:dyDescent="0.25">
      <c r="B2150" s="53"/>
    </row>
    <row r="2151" spans="2:2" x14ac:dyDescent="0.25">
      <c r="B2151" s="51" t="s">
        <v>997</v>
      </c>
    </row>
    <row r="2152" spans="2:2" x14ac:dyDescent="0.25">
      <c r="B2152" s="53"/>
    </row>
    <row r="2153" spans="2:2" x14ac:dyDescent="0.25">
      <c r="B2153" s="51" t="s">
        <v>998</v>
      </c>
    </row>
    <row r="2154" spans="2:2" x14ac:dyDescent="0.25">
      <c r="B2154" s="53"/>
    </row>
    <row r="2155" spans="2:2" x14ac:dyDescent="0.25">
      <c r="B2155" s="51" t="s">
        <v>642</v>
      </c>
    </row>
    <row r="2156" spans="2:2" x14ac:dyDescent="0.25">
      <c r="B2156" s="53"/>
    </row>
    <row r="2157" spans="2:2" x14ac:dyDescent="0.25">
      <c r="B2157" s="51" t="s">
        <v>999</v>
      </c>
    </row>
    <row r="2158" spans="2:2" x14ac:dyDescent="0.25">
      <c r="B2158" s="53"/>
    </row>
    <row r="2159" spans="2:2" x14ac:dyDescent="0.25">
      <c r="B2159" s="51" t="s">
        <v>536</v>
      </c>
    </row>
    <row r="2160" spans="2:2" x14ac:dyDescent="0.25">
      <c r="B2160" s="53"/>
    </row>
    <row r="2161" spans="2:2" x14ac:dyDescent="0.25">
      <c r="B2161" s="51" t="s">
        <v>1000</v>
      </c>
    </row>
    <row r="2162" spans="2:2" x14ac:dyDescent="0.25">
      <c r="B2162" s="53"/>
    </row>
    <row r="2163" spans="2:2" x14ac:dyDescent="0.25">
      <c r="B2163" s="51" t="s">
        <v>1001</v>
      </c>
    </row>
    <row r="2164" spans="2:2" x14ac:dyDescent="0.25">
      <c r="B2164" s="53"/>
    </row>
    <row r="2165" spans="2:2" x14ac:dyDescent="0.25">
      <c r="B2165" s="51" t="s">
        <v>1002</v>
      </c>
    </row>
    <row r="2166" spans="2:2" x14ac:dyDescent="0.25">
      <c r="B2166" s="53"/>
    </row>
    <row r="2167" spans="2:2" x14ac:dyDescent="0.25">
      <c r="B2167" s="51" t="s">
        <v>1003</v>
      </c>
    </row>
    <row r="2168" spans="2:2" x14ac:dyDescent="0.25">
      <c r="B2168" s="53"/>
    </row>
    <row r="2169" spans="2:2" x14ac:dyDescent="0.25">
      <c r="B2169" s="51" t="s">
        <v>1004</v>
      </c>
    </row>
    <row r="2170" spans="2:2" x14ac:dyDescent="0.25">
      <c r="B2170" s="53"/>
    </row>
    <row r="2171" spans="2:2" x14ac:dyDescent="0.25">
      <c r="B2171" s="51" t="s">
        <v>1005</v>
      </c>
    </row>
    <row r="2172" spans="2:2" x14ac:dyDescent="0.25">
      <c r="B2172" s="53"/>
    </row>
    <row r="2173" spans="2:2" x14ac:dyDescent="0.25">
      <c r="B2173" s="51" t="s">
        <v>1006</v>
      </c>
    </row>
    <row r="2174" spans="2:2" x14ac:dyDescent="0.25">
      <c r="B2174" s="53"/>
    </row>
    <row r="2175" spans="2:2" x14ac:dyDescent="0.25">
      <c r="B2175" s="51" t="s">
        <v>1007</v>
      </c>
    </row>
    <row r="2176" spans="2:2" x14ac:dyDescent="0.25">
      <c r="B2176" s="53"/>
    </row>
    <row r="2177" spans="2:2" x14ac:dyDescent="0.25">
      <c r="B2177" s="51" t="s">
        <v>1008</v>
      </c>
    </row>
    <row r="2178" spans="2:2" x14ac:dyDescent="0.25">
      <c r="B2178" s="53"/>
    </row>
    <row r="2179" spans="2:2" x14ac:dyDescent="0.25">
      <c r="B2179" s="51" t="s">
        <v>694</v>
      </c>
    </row>
    <row r="2180" spans="2:2" x14ac:dyDescent="0.25">
      <c r="B2180" s="53"/>
    </row>
    <row r="2181" spans="2:2" x14ac:dyDescent="0.25">
      <c r="B2181" s="51" t="s">
        <v>668</v>
      </c>
    </row>
    <row r="2182" spans="2:2" x14ac:dyDescent="0.25">
      <c r="B2182" s="53"/>
    </row>
    <row r="2183" spans="2:2" x14ac:dyDescent="0.25">
      <c r="B2183" s="51" t="s">
        <v>1009</v>
      </c>
    </row>
    <row r="2184" spans="2:2" x14ac:dyDescent="0.25">
      <c r="B2184" s="53"/>
    </row>
    <row r="2185" spans="2:2" x14ac:dyDescent="0.25">
      <c r="B2185" s="51" t="s">
        <v>405</v>
      </c>
    </row>
    <row r="2186" spans="2:2" x14ac:dyDescent="0.25">
      <c r="B2186" s="53"/>
    </row>
    <row r="2187" spans="2:2" x14ac:dyDescent="0.25">
      <c r="B2187" s="51" t="s">
        <v>1010</v>
      </c>
    </row>
    <row r="2188" spans="2:2" x14ac:dyDescent="0.25">
      <c r="B2188" s="53"/>
    </row>
    <row r="2189" spans="2:2" x14ac:dyDescent="0.25">
      <c r="B2189" s="51" t="s">
        <v>1011</v>
      </c>
    </row>
    <row r="2190" spans="2:2" x14ac:dyDescent="0.25">
      <c r="B2190" s="53"/>
    </row>
    <row r="2191" spans="2:2" x14ac:dyDescent="0.25">
      <c r="B2191" s="51" t="s">
        <v>604</v>
      </c>
    </row>
    <row r="2192" spans="2:2" x14ac:dyDescent="0.25">
      <c r="B2192" s="53"/>
    </row>
    <row r="2193" spans="2:2" x14ac:dyDescent="0.25">
      <c r="B2193" s="51" t="s">
        <v>1012</v>
      </c>
    </row>
    <row r="2194" spans="2:2" x14ac:dyDescent="0.25">
      <c r="B2194" s="53"/>
    </row>
    <row r="2195" spans="2:2" x14ac:dyDescent="0.25">
      <c r="B2195" s="51" t="s">
        <v>667</v>
      </c>
    </row>
    <row r="2196" spans="2:2" x14ac:dyDescent="0.25">
      <c r="B2196" s="53"/>
    </row>
    <row r="2197" spans="2:2" x14ac:dyDescent="0.25">
      <c r="B2197" s="51" t="s">
        <v>652</v>
      </c>
    </row>
    <row r="2198" spans="2:2" x14ac:dyDescent="0.25">
      <c r="B2198" s="53"/>
    </row>
    <row r="2199" spans="2:2" x14ac:dyDescent="0.25">
      <c r="B2199" s="51" t="s">
        <v>641</v>
      </c>
    </row>
    <row r="2200" spans="2:2" x14ac:dyDescent="0.25">
      <c r="B2200" s="53"/>
    </row>
    <row r="2201" spans="2:2" x14ac:dyDescent="0.25">
      <c r="B2201" s="51" t="s">
        <v>649</v>
      </c>
    </row>
    <row r="2202" spans="2:2" x14ac:dyDescent="0.25">
      <c r="B2202" s="53"/>
    </row>
    <row r="2203" spans="2:2" x14ac:dyDescent="0.25">
      <c r="B2203" s="51" t="s">
        <v>1013</v>
      </c>
    </row>
    <row r="2204" spans="2:2" x14ac:dyDescent="0.25">
      <c r="B2204" s="53"/>
    </row>
    <row r="2205" spans="2:2" x14ac:dyDescent="0.25">
      <c r="B2205" s="51" t="s">
        <v>494</v>
      </c>
    </row>
    <row r="2206" spans="2:2" x14ac:dyDescent="0.25">
      <c r="B2206" s="53"/>
    </row>
    <row r="2207" spans="2:2" x14ac:dyDescent="0.25">
      <c r="B2207" s="51" t="s">
        <v>451</v>
      </c>
    </row>
    <row r="2208" spans="2:2" x14ac:dyDescent="0.25">
      <c r="B2208" s="53"/>
    </row>
    <row r="2209" spans="2:2" x14ac:dyDescent="0.25">
      <c r="B2209" s="51" t="s">
        <v>1014</v>
      </c>
    </row>
    <row r="2210" spans="2:2" x14ac:dyDescent="0.25">
      <c r="B2210" s="53"/>
    </row>
    <row r="2211" spans="2:2" x14ac:dyDescent="0.25">
      <c r="B2211" s="51" t="s">
        <v>1015</v>
      </c>
    </row>
    <row r="2212" spans="2:2" x14ac:dyDescent="0.25">
      <c r="B2212" s="53"/>
    </row>
    <row r="2213" spans="2:2" x14ac:dyDescent="0.25">
      <c r="B2213" s="51" t="s">
        <v>1016</v>
      </c>
    </row>
    <row r="2214" spans="2:2" x14ac:dyDescent="0.25">
      <c r="B2214" s="53"/>
    </row>
    <row r="2215" spans="2:2" x14ac:dyDescent="0.25">
      <c r="B2215" s="51" t="s">
        <v>1017</v>
      </c>
    </row>
    <row r="2216" spans="2:2" x14ac:dyDescent="0.25">
      <c r="B2216" s="53"/>
    </row>
    <row r="2217" spans="2:2" x14ac:dyDescent="0.25">
      <c r="B2217" s="51" t="s">
        <v>1018</v>
      </c>
    </row>
    <row r="2218" spans="2:2" x14ac:dyDescent="0.25">
      <c r="B2218" s="53"/>
    </row>
    <row r="2219" spans="2:2" x14ac:dyDescent="0.25">
      <c r="B2219" s="51" t="s">
        <v>1019</v>
      </c>
    </row>
    <row r="2220" spans="2:2" x14ac:dyDescent="0.25">
      <c r="B2220" s="53"/>
    </row>
    <row r="2221" spans="2:2" x14ac:dyDescent="0.25">
      <c r="B2221" s="51" t="s">
        <v>1020</v>
      </c>
    </row>
    <row r="2222" spans="2:2" x14ac:dyDescent="0.25">
      <c r="B2222" s="53"/>
    </row>
    <row r="2223" spans="2:2" x14ac:dyDescent="0.25">
      <c r="B2223" s="51" t="s">
        <v>1021</v>
      </c>
    </row>
    <row r="2224" spans="2:2" x14ac:dyDescent="0.25">
      <c r="B2224" s="53"/>
    </row>
    <row r="2225" spans="2:2" x14ac:dyDescent="0.25">
      <c r="B2225" s="51" t="s">
        <v>1022</v>
      </c>
    </row>
    <row r="2226" spans="2:2" x14ac:dyDescent="0.25">
      <c r="B2226" s="53"/>
    </row>
    <row r="2227" spans="2:2" x14ac:dyDescent="0.25">
      <c r="B2227" s="51" t="s">
        <v>1023</v>
      </c>
    </row>
    <row r="2228" spans="2:2" x14ac:dyDescent="0.25">
      <c r="B2228" s="53"/>
    </row>
    <row r="2229" spans="2:2" x14ac:dyDescent="0.25">
      <c r="B2229" s="51" t="s">
        <v>1024</v>
      </c>
    </row>
    <row r="2230" spans="2:2" x14ac:dyDescent="0.25">
      <c r="B2230" s="53"/>
    </row>
    <row r="2231" spans="2:2" x14ac:dyDescent="0.25">
      <c r="B2231" s="51" t="s">
        <v>1025</v>
      </c>
    </row>
    <row r="2232" spans="2:2" x14ac:dyDescent="0.25">
      <c r="B2232" s="53"/>
    </row>
    <row r="2233" spans="2:2" x14ac:dyDescent="0.25">
      <c r="B2233" s="51" t="s">
        <v>1026</v>
      </c>
    </row>
    <row r="2234" spans="2:2" x14ac:dyDescent="0.25">
      <c r="B2234" s="53"/>
    </row>
    <row r="2235" spans="2:2" x14ac:dyDescent="0.25">
      <c r="B2235" s="51" t="s">
        <v>1027</v>
      </c>
    </row>
    <row r="2236" spans="2:2" x14ac:dyDescent="0.25">
      <c r="B2236" s="53"/>
    </row>
    <row r="2237" spans="2:2" x14ac:dyDescent="0.25">
      <c r="B2237" s="51" t="s">
        <v>1028</v>
      </c>
    </row>
    <row r="2238" spans="2:2" x14ac:dyDescent="0.25">
      <c r="B2238" s="53"/>
    </row>
    <row r="2239" spans="2:2" x14ac:dyDescent="0.25">
      <c r="B2239" s="51" t="s">
        <v>1029</v>
      </c>
    </row>
    <row r="2240" spans="2:2" x14ac:dyDescent="0.25">
      <c r="B2240" s="53"/>
    </row>
    <row r="2241" spans="2:2" x14ac:dyDescent="0.25">
      <c r="B2241" s="51" t="s">
        <v>1030</v>
      </c>
    </row>
    <row r="2242" spans="2:2" x14ac:dyDescent="0.25">
      <c r="B2242" s="53"/>
    </row>
    <row r="2243" spans="2:2" x14ac:dyDescent="0.25">
      <c r="B2243" s="51" t="s">
        <v>1031</v>
      </c>
    </row>
    <row r="2244" spans="2:2" x14ac:dyDescent="0.25">
      <c r="B2244" s="53"/>
    </row>
    <row r="2245" spans="2:2" x14ac:dyDescent="0.25">
      <c r="B2245" s="51" t="s">
        <v>1032</v>
      </c>
    </row>
    <row r="2246" spans="2:2" x14ac:dyDescent="0.25">
      <c r="B2246" s="53"/>
    </row>
    <row r="2247" spans="2:2" x14ac:dyDescent="0.25">
      <c r="B2247" s="51" t="s">
        <v>657</v>
      </c>
    </row>
    <row r="2248" spans="2:2" x14ac:dyDescent="0.25">
      <c r="B2248" s="53"/>
    </row>
    <row r="2249" spans="2:2" x14ac:dyDescent="0.25">
      <c r="B2249" s="51" t="s">
        <v>651</v>
      </c>
    </row>
    <row r="2250" spans="2:2" x14ac:dyDescent="0.25">
      <c r="B2250" s="53"/>
    </row>
    <row r="2251" spans="2:2" x14ac:dyDescent="0.25">
      <c r="B2251" s="51" t="s">
        <v>650</v>
      </c>
    </row>
    <row r="2252" spans="2:2" x14ac:dyDescent="0.25">
      <c r="B2252" s="53"/>
    </row>
    <row r="2253" spans="2:2" x14ac:dyDescent="0.25">
      <c r="B2253" s="51" t="s">
        <v>1033</v>
      </c>
    </row>
    <row r="2254" spans="2:2" x14ac:dyDescent="0.25">
      <c r="B2254" s="53"/>
    </row>
    <row r="2255" spans="2:2" x14ac:dyDescent="0.25">
      <c r="B2255" s="51" t="s">
        <v>1034</v>
      </c>
    </row>
    <row r="2256" spans="2:2" x14ac:dyDescent="0.25">
      <c r="B2256" s="53"/>
    </row>
    <row r="2257" spans="2:2" x14ac:dyDescent="0.25">
      <c r="B2257" s="51" t="s">
        <v>727</v>
      </c>
    </row>
    <row r="2258" spans="2:2" x14ac:dyDescent="0.25">
      <c r="B2258" s="53"/>
    </row>
    <row r="2259" spans="2:2" x14ac:dyDescent="0.25">
      <c r="B2259" s="51" t="s">
        <v>1035</v>
      </c>
    </row>
    <row r="2260" spans="2:2" x14ac:dyDescent="0.25">
      <c r="B2260" s="53"/>
    </row>
    <row r="2261" spans="2:2" x14ac:dyDescent="0.25">
      <c r="B2261" s="51" t="s">
        <v>1036</v>
      </c>
    </row>
    <row r="2262" spans="2:2" x14ac:dyDescent="0.25">
      <c r="B2262" s="53"/>
    </row>
    <row r="2263" spans="2:2" x14ac:dyDescent="0.25">
      <c r="B2263" s="51" t="s">
        <v>1037</v>
      </c>
    </row>
    <row r="2264" spans="2:2" x14ac:dyDescent="0.25">
      <c r="B2264" s="53"/>
    </row>
    <row r="2265" spans="2:2" x14ac:dyDescent="0.25">
      <c r="B2265" s="51" t="s">
        <v>276</v>
      </c>
    </row>
    <row r="2266" spans="2:2" x14ac:dyDescent="0.25">
      <c r="B2266" s="53"/>
    </row>
    <row r="2267" spans="2:2" x14ac:dyDescent="0.25">
      <c r="B2267" s="51" t="s">
        <v>1038</v>
      </c>
    </row>
    <row r="2268" spans="2:2" x14ac:dyDescent="0.25">
      <c r="B2268" s="53"/>
    </row>
    <row r="2269" spans="2:2" x14ac:dyDescent="0.25">
      <c r="B2269" s="51" t="s">
        <v>1039</v>
      </c>
    </row>
    <row r="2270" spans="2:2" x14ac:dyDescent="0.25">
      <c r="B2270" s="53"/>
    </row>
    <row r="2271" spans="2:2" x14ac:dyDescent="0.25">
      <c r="B2271" s="51" t="s">
        <v>1040</v>
      </c>
    </row>
    <row r="2272" spans="2:2" x14ac:dyDescent="0.25">
      <c r="B2272" s="53"/>
    </row>
    <row r="2273" spans="2:2" x14ac:dyDescent="0.25">
      <c r="B2273" s="51" t="s">
        <v>1041</v>
      </c>
    </row>
    <row r="2274" spans="2:2" x14ac:dyDescent="0.25">
      <c r="B2274" s="53"/>
    </row>
    <row r="2275" spans="2:2" x14ac:dyDescent="0.25">
      <c r="B2275" s="51" t="s">
        <v>529</v>
      </c>
    </row>
    <row r="2276" spans="2:2" x14ac:dyDescent="0.25">
      <c r="B2276" s="53"/>
    </row>
    <row r="2277" spans="2:2" x14ac:dyDescent="0.25">
      <c r="B2277" s="51" t="s">
        <v>488</v>
      </c>
    </row>
    <row r="2278" spans="2:2" x14ac:dyDescent="0.25">
      <c r="B2278" s="53"/>
    </row>
    <row r="2279" spans="2:2" x14ac:dyDescent="0.25">
      <c r="B2279" s="51" t="s">
        <v>1042</v>
      </c>
    </row>
    <row r="2280" spans="2:2" x14ac:dyDescent="0.25">
      <c r="B2280" s="53"/>
    </row>
    <row r="2281" spans="2:2" x14ac:dyDescent="0.25">
      <c r="B2281" s="51" t="s">
        <v>1043</v>
      </c>
    </row>
    <row r="2282" spans="2:2" x14ac:dyDescent="0.25">
      <c r="B2282" s="53"/>
    </row>
    <row r="2283" spans="2:2" x14ac:dyDescent="0.25">
      <c r="B2283" s="51" t="s">
        <v>1044</v>
      </c>
    </row>
    <row r="2284" spans="2:2" x14ac:dyDescent="0.25">
      <c r="B2284" s="53"/>
    </row>
    <row r="2285" spans="2:2" x14ac:dyDescent="0.25">
      <c r="B2285" s="51" t="s">
        <v>392</v>
      </c>
    </row>
    <row r="2286" spans="2:2" x14ac:dyDescent="0.25">
      <c r="B2286" s="53"/>
    </row>
    <row r="2287" spans="2:2" x14ac:dyDescent="0.25">
      <c r="B2287" s="51" t="s">
        <v>1045</v>
      </c>
    </row>
    <row r="2288" spans="2:2" x14ac:dyDescent="0.25">
      <c r="B2288" s="53"/>
    </row>
    <row r="2289" spans="2:2" x14ac:dyDescent="0.25">
      <c r="B2289" s="51" t="s">
        <v>1046</v>
      </c>
    </row>
    <row r="2290" spans="2:2" x14ac:dyDescent="0.25">
      <c r="B2290" s="53"/>
    </row>
    <row r="2291" spans="2:2" x14ac:dyDescent="0.25">
      <c r="B2291" s="51" t="s">
        <v>1047</v>
      </c>
    </row>
    <row r="2292" spans="2:2" x14ac:dyDescent="0.25">
      <c r="B2292" s="53"/>
    </row>
    <row r="2293" spans="2:2" x14ac:dyDescent="0.25">
      <c r="B2293" s="51" t="s">
        <v>1048</v>
      </c>
    </row>
    <row r="2294" spans="2:2" x14ac:dyDescent="0.25">
      <c r="B2294" s="53"/>
    </row>
    <row r="2295" spans="2:2" x14ac:dyDescent="0.25">
      <c r="B2295" s="51" t="s">
        <v>1049</v>
      </c>
    </row>
    <row r="2296" spans="2:2" x14ac:dyDescent="0.25">
      <c r="B2296" s="53"/>
    </row>
    <row r="2297" spans="2:2" x14ac:dyDescent="0.25">
      <c r="B2297" s="51" t="s">
        <v>812</v>
      </c>
    </row>
    <row r="2298" spans="2:2" x14ac:dyDescent="0.25">
      <c r="B2298" s="53"/>
    </row>
    <row r="2299" spans="2:2" x14ac:dyDescent="0.25">
      <c r="B2299" s="51" t="s">
        <v>1050</v>
      </c>
    </row>
    <row r="2300" spans="2:2" x14ac:dyDescent="0.25">
      <c r="B2300" s="53"/>
    </row>
    <row r="2301" spans="2:2" x14ac:dyDescent="0.25">
      <c r="B2301" s="51" t="s">
        <v>1051</v>
      </c>
    </row>
    <row r="2302" spans="2:2" x14ac:dyDescent="0.25">
      <c r="B2302" s="53"/>
    </row>
    <row r="2303" spans="2:2" x14ac:dyDescent="0.25">
      <c r="B2303" s="51" t="s">
        <v>1052</v>
      </c>
    </row>
    <row r="2304" spans="2:2" x14ac:dyDescent="0.25">
      <c r="B2304" s="53"/>
    </row>
    <row r="2305" spans="2:2" x14ac:dyDescent="0.25">
      <c r="B2305" s="51" t="s">
        <v>1053</v>
      </c>
    </row>
    <row r="2306" spans="2:2" x14ac:dyDescent="0.25">
      <c r="B2306" s="53"/>
    </row>
    <row r="2307" spans="2:2" x14ac:dyDescent="0.25">
      <c r="B2307" s="51" t="s">
        <v>1054</v>
      </c>
    </row>
    <row r="2308" spans="2:2" x14ac:dyDescent="0.25">
      <c r="B2308" s="53"/>
    </row>
    <row r="2309" spans="2:2" x14ac:dyDescent="0.25">
      <c r="B2309" s="51" t="s">
        <v>1055</v>
      </c>
    </row>
    <row r="2310" spans="2:2" x14ac:dyDescent="0.25">
      <c r="B2310" s="53"/>
    </row>
    <row r="2311" spans="2:2" x14ac:dyDescent="0.25">
      <c r="B2311" s="51" t="s">
        <v>1056</v>
      </c>
    </row>
    <row r="2312" spans="2:2" x14ac:dyDescent="0.25">
      <c r="B2312" s="53"/>
    </row>
    <row r="2313" spans="2:2" x14ac:dyDescent="0.25">
      <c r="B2313" s="51" t="s">
        <v>1057</v>
      </c>
    </row>
    <row r="2314" spans="2:2" x14ac:dyDescent="0.25">
      <c r="B2314" s="53"/>
    </row>
    <row r="2315" spans="2:2" x14ac:dyDescent="0.25">
      <c r="B2315" s="51" t="s">
        <v>782</v>
      </c>
    </row>
    <row r="2316" spans="2:2" x14ac:dyDescent="0.25">
      <c r="B2316" s="53"/>
    </row>
    <row r="2317" spans="2:2" x14ac:dyDescent="0.25">
      <c r="B2317" s="51" t="s">
        <v>567</v>
      </c>
    </row>
    <row r="2318" spans="2:2" x14ac:dyDescent="0.25">
      <c r="B2318" s="53"/>
    </row>
    <row r="2319" spans="2:2" x14ac:dyDescent="0.25">
      <c r="B2319" s="51" t="s">
        <v>567</v>
      </c>
    </row>
    <row r="2320" spans="2:2" x14ac:dyDescent="0.25">
      <c r="B2320" s="53"/>
    </row>
    <row r="2321" spans="2:2" x14ac:dyDescent="0.25">
      <c r="B2321" s="51" t="s">
        <v>1058</v>
      </c>
    </row>
    <row r="2322" spans="2:2" x14ac:dyDescent="0.25">
      <c r="B2322" s="53"/>
    </row>
    <row r="2323" spans="2:2" x14ac:dyDescent="0.25">
      <c r="B2323" s="51" t="s">
        <v>1059</v>
      </c>
    </row>
    <row r="2324" spans="2:2" x14ac:dyDescent="0.25">
      <c r="B2324" s="53"/>
    </row>
    <row r="2325" spans="2:2" x14ac:dyDescent="0.25">
      <c r="B2325" s="51" t="s">
        <v>1060</v>
      </c>
    </row>
    <row r="2326" spans="2:2" x14ac:dyDescent="0.25">
      <c r="B2326" s="53"/>
    </row>
    <row r="2327" spans="2:2" x14ac:dyDescent="0.25">
      <c r="B2327" s="51" t="s">
        <v>1061</v>
      </c>
    </row>
    <row r="2328" spans="2:2" x14ac:dyDescent="0.25">
      <c r="B2328" s="53"/>
    </row>
    <row r="2329" spans="2:2" x14ac:dyDescent="0.25">
      <c r="B2329" s="51" t="s">
        <v>790</v>
      </c>
    </row>
    <row r="2330" spans="2:2" x14ac:dyDescent="0.25">
      <c r="B2330" s="53"/>
    </row>
    <row r="2331" spans="2:2" x14ac:dyDescent="0.25">
      <c r="B2331" s="51" t="s">
        <v>1062</v>
      </c>
    </row>
    <row r="2332" spans="2:2" x14ac:dyDescent="0.25">
      <c r="B2332" s="53"/>
    </row>
    <row r="2333" spans="2:2" x14ac:dyDescent="0.25">
      <c r="B2333" s="51" t="s">
        <v>1063</v>
      </c>
    </row>
    <row r="2334" spans="2:2" x14ac:dyDescent="0.25">
      <c r="B2334" s="53"/>
    </row>
    <row r="2335" spans="2:2" x14ac:dyDescent="0.25">
      <c r="B2335" s="51" t="s">
        <v>1064</v>
      </c>
    </row>
    <row r="2336" spans="2:2" x14ac:dyDescent="0.25">
      <c r="B2336" s="53"/>
    </row>
    <row r="2337" spans="2:2" x14ac:dyDescent="0.25">
      <c r="B2337" s="51" t="s">
        <v>1065</v>
      </c>
    </row>
    <row r="2338" spans="2:2" x14ac:dyDescent="0.25">
      <c r="B2338" s="53"/>
    </row>
    <row r="2339" spans="2:2" x14ac:dyDescent="0.25">
      <c r="B2339" s="51" t="s">
        <v>1066</v>
      </c>
    </row>
    <row r="2340" spans="2:2" x14ac:dyDescent="0.25">
      <c r="B2340" s="53"/>
    </row>
    <row r="2341" spans="2:2" x14ac:dyDescent="0.25">
      <c r="B2341" s="51" t="s">
        <v>1067</v>
      </c>
    </row>
    <row r="2342" spans="2:2" x14ac:dyDescent="0.25">
      <c r="B2342" s="53"/>
    </row>
    <row r="2343" spans="2:2" x14ac:dyDescent="0.25">
      <c r="B2343" s="51" t="s">
        <v>1068</v>
      </c>
    </row>
    <row r="2344" spans="2:2" x14ac:dyDescent="0.25">
      <c r="B2344" s="53"/>
    </row>
    <row r="2345" spans="2:2" x14ac:dyDescent="0.25">
      <c r="B2345" s="51" t="s">
        <v>771</v>
      </c>
    </row>
    <row r="2346" spans="2:2" x14ac:dyDescent="0.25">
      <c r="B2346" s="53"/>
    </row>
    <row r="2347" spans="2:2" x14ac:dyDescent="0.25">
      <c r="B2347" s="51" t="s">
        <v>1069</v>
      </c>
    </row>
    <row r="2348" spans="2:2" x14ac:dyDescent="0.25">
      <c r="B2348" s="53"/>
    </row>
    <row r="2349" spans="2:2" x14ac:dyDescent="0.25">
      <c r="B2349" s="51" t="s">
        <v>793</v>
      </c>
    </row>
    <row r="2350" spans="2:2" x14ac:dyDescent="0.25">
      <c r="B2350" s="53"/>
    </row>
    <row r="2351" spans="2:2" x14ac:dyDescent="0.25">
      <c r="B2351" s="51" t="s">
        <v>564</v>
      </c>
    </row>
    <row r="2352" spans="2:2" x14ac:dyDescent="0.25">
      <c r="B2352" s="53"/>
    </row>
    <row r="2353" spans="2:2" x14ac:dyDescent="0.25">
      <c r="B2353" s="51" t="s">
        <v>1070</v>
      </c>
    </row>
    <row r="2354" spans="2:2" x14ac:dyDescent="0.25">
      <c r="B2354" s="53"/>
    </row>
    <row r="2355" spans="2:2" x14ac:dyDescent="0.25">
      <c r="B2355" s="51" t="s">
        <v>789</v>
      </c>
    </row>
    <row r="2356" spans="2:2" x14ac:dyDescent="0.25">
      <c r="B2356" s="53"/>
    </row>
    <row r="2357" spans="2:2" x14ac:dyDescent="0.25">
      <c r="B2357" s="51" t="s">
        <v>566</v>
      </c>
    </row>
    <row r="2358" spans="2:2" x14ac:dyDescent="0.25">
      <c r="B2358" s="53"/>
    </row>
    <row r="2359" spans="2:2" x14ac:dyDescent="0.25">
      <c r="B2359" s="51" t="s">
        <v>1071</v>
      </c>
    </row>
    <row r="2360" spans="2:2" x14ac:dyDescent="0.25">
      <c r="B2360" s="53"/>
    </row>
    <row r="2361" spans="2:2" x14ac:dyDescent="0.25">
      <c r="B2361" s="51" t="s">
        <v>794</v>
      </c>
    </row>
    <row r="2362" spans="2:2" x14ac:dyDescent="0.25">
      <c r="B2362" s="53"/>
    </row>
    <row r="2363" spans="2:2" x14ac:dyDescent="0.25">
      <c r="B2363" s="51" t="s">
        <v>572</v>
      </c>
    </row>
    <row r="2364" spans="2:2" x14ac:dyDescent="0.25">
      <c r="B2364" s="53"/>
    </row>
    <row r="2365" spans="2:2" x14ac:dyDescent="0.25">
      <c r="B2365" s="51" t="s">
        <v>1072</v>
      </c>
    </row>
    <row r="2366" spans="2:2" x14ac:dyDescent="0.25">
      <c r="B2366" s="53"/>
    </row>
    <row r="2367" spans="2:2" x14ac:dyDescent="0.25">
      <c r="B2367" s="51" t="s">
        <v>1073</v>
      </c>
    </row>
    <row r="2368" spans="2:2" x14ac:dyDescent="0.25">
      <c r="B2368" s="53"/>
    </row>
    <row r="2369" spans="2:2" x14ac:dyDescent="0.25">
      <c r="B2369" s="51" t="s">
        <v>1074</v>
      </c>
    </row>
    <row r="2370" spans="2:2" x14ac:dyDescent="0.25">
      <c r="B2370" s="53"/>
    </row>
    <row r="2371" spans="2:2" x14ac:dyDescent="0.25">
      <c r="B2371" s="51" t="s">
        <v>583</v>
      </c>
    </row>
    <row r="2372" spans="2:2" x14ac:dyDescent="0.25">
      <c r="B2372" s="53"/>
    </row>
    <row r="2373" spans="2:2" x14ac:dyDescent="0.25">
      <c r="B2373" s="51" t="s">
        <v>1075</v>
      </c>
    </row>
    <row r="2374" spans="2:2" x14ac:dyDescent="0.25">
      <c r="B2374" s="53"/>
    </row>
    <row r="2375" spans="2:2" x14ac:dyDescent="0.25">
      <c r="B2375" s="51" t="s">
        <v>578</v>
      </c>
    </row>
    <row r="2376" spans="2:2" x14ac:dyDescent="0.25">
      <c r="B2376" s="53"/>
    </row>
    <row r="2377" spans="2:2" x14ac:dyDescent="0.25">
      <c r="B2377" s="51" t="s">
        <v>1076</v>
      </c>
    </row>
    <row r="2378" spans="2:2" x14ac:dyDescent="0.25">
      <c r="B2378" s="53"/>
    </row>
    <row r="2379" spans="2:2" x14ac:dyDescent="0.25">
      <c r="B2379" s="51" t="s">
        <v>588</v>
      </c>
    </row>
    <row r="2380" spans="2:2" x14ac:dyDescent="0.25">
      <c r="B2380" s="53"/>
    </row>
    <row r="2381" spans="2:2" x14ac:dyDescent="0.25">
      <c r="B2381" s="51" t="s">
        <v>1077</v>
      </c>
    </row>
    <row r="2382" spans="2:2" x14ac:dyDescent="0.25">
      <c r="B2382" s="53"/>
    </row>
    <row r="2383" spans="2:2" x14ac:dyDescent="0.25">
      <c r="B2383" s="51" t="s">
        <v>806</v>
      </c>
    </row>
    <row r="2384" spans="2:2" x14ac:dyDescent="0.25">
      <c r="B2384" s="53"/>
    </row>
    <row r="2385" spans="2:2" x14ac:dyDescent="0.25">
      <c r="B2385" s="51" t="s">
        <v>576</v>
      </c>
    </row>
    <row r="2386" spans="2:2" x14ac:dyDescent="0.25">
      <c r="B2386" s="53"/>
    </row>
    <row r="2387" spans="2:2" x14ac:dyDescent="0.25">
      <c r="B2387" s="51" t="s">
        <v>571</v>
      </c>
    </row>
    <row r="2388" spans="2:2" x14ac:dyDescent="0.25">
      <c r="B2388" s="53"/>
    </row>
    <row r="2389" spans="2:2" x14ac:dyDescent="0.25">
      <c r="B2389" s="51" t="s">
        <v>1078</v>
      </c>
    </row>
    <row r="2390" spans="2:2" x14ac:dyDescent="0.25">
      <c r="B2390" s="53"/>
    </row>
    <row r="2391" spans="2:2" x14ac:dyDescent="0.25">
      <c r="B2391" s="51" t="s">
        <v>1079</v>
      </c>
    </row>
    <row r="2392" spans="2:2" x14ac:dyDescent="0.25">
      <c r="B2392" s="53"/>
    </row>
    <row r="2393" spans="2:2" x14ac:dyDescent="0.25">
      <c r="B2393" s="51" t="s">
        <v>1080</v>
      </c>
    </row>
    <row r="2394" spans="2:2" x14ac:dyDescent="0.25">
      <c r="B2394" s="53"/>
    </row>
    <row r="2395" spans="2:2" x14ac:dyDescent="0.25">
      <c r="B2395" s="51" t="s">
        <v>1081</v>
      </c>
    </row>
    <row r="2396" spans="2:2" x14ac:dyDescent="0.25">
      <c r="B2396" s="53"/>
    </row>
    <row r="2397" spans="2:2" x14ac:dyDescent="0.25">
      <c r="B2397" s="51" t="s">
        <v>579</v>
      </c>
    </row>
    <row r="2398" spans="2:2" x14ac:dyDescent="0.25">
      <c r="B2398" s="53"/>
    </row>
    <row r="2399" spans="2:2" x14ac:dyDescent="0.25">
      <c r="B2399" s="51" t="s">
        <v>580</v>
      </c>
    </row>
    <row r="2400" spans="2:2" x14ac:dyDescent="0.25">
      <c r="B2400" s="53"/>
    </row>
    <row r="2401" spans="2:2" x14ac:dyDescent="0.25">
      <c r="B2401" s="51" t="s">
        <v>1082</v>
      </c>
    </row>
    <row r="2402" spans="2:2" x14ac:dyDescent="0.25">
      <c r="B2402" s="53"/>
    </row>
    <row r="2403" spans="2:2" x14ac:dyDescent="0.25">
      <c r="B2403" s="51" t="s">
        <v>1083</v>
      </c>
    </row>
    <row r="2404" spans="2:2" x14ac:dyDescent="0.25">
      <c r="B2404" s="53"/>
    </row>
    <row r="2405" spans="2:2" x14ac:dyDescent="0.25">
      <c r="B2405" s="51" t="s">
        <v>1084</v>
      </c>
    </row>
    <row r="2406" spans="2:2" x14ac:dyDescent="0.25">
      <c r="B2406" s="53"/>
    </row>
    <row r="2407" spans="2:2" x14ac:dyDescent="0.25">
      <c r="B2407" s="51" t="s">
        <v>1085</v>
      </c>
    </row>
    <row r="2408" spans="2:2" x14ac:dyDescent="0.25">
      <c r="B2408" s="53"/>
    </row>
    <row r="2409" spans="2:2" x14ac:dyDescent="0.25">
      <c r="B2409" s="51" t="s">
        <v>591</v>
      </c>
    </row>
    <row r="2410" spans="2:2" x14ac:dyDescent="0.25">
      <c r="B2410" s="53"/>
    </row>
    <row r="2411" spans="2:2" x14ac:dyDescent="0.25">
      <c r="B2411" s="51" t="s">
        <v>592</v>
      </c>
    </row>
    <row r="2412" spans="2:2" x14ac:dyDescent="0.25">
      <c r="B2412" s="53"/>
    </row>
    <row r="2413" spans="2:2" x14ac:dyDescent="0.25">
      <c r="B2413" s="51" t="s">
        <v>581</v>
      </c>
    </row>
    <row r="2414" spans="2:2" x14ac:dyDescent="0.25">
      <c r="B2414" s="53"/>
    </row>
    <row r="2415" spans="2:2" x14ac:dyDescent="0.25">
      <c r="B2415" s="51" t="s">
        <v>1086</v>
      </c>
    </row>
    <row r="2416" spans="2:2" x14ac:dyDescent="0.25">
      <c r="B2416" s="53"/>
    </row>
    <row r="2417" spans="2:2" x14ac:dyDescent="0.25">
      <c r="B2417" s="51" t="s">
        <v>752</v>
      </c>
    </row>
    <row r="2418" spans="2:2" x14ac:dyDescent="0.25">
      <c r="B2418" s="53"/>
    </row>
    <row r="2419" spans="2:2" x14ac:dyDescent="0.25">
      <c r="B2419" s="51" t="s">
        <v>1087</v>
      </c>
    </row>
    <row r="2420" spans="2:2" x14ac:dyDescent="0.25">
      <c r="B2420" s="53"/>
    </row>
    <row r="2421" spans="2:2" x14ac:dyDescent="0.25">
      <c r="B2421" s="51" t="s">
        <v>1088</v>
      </c>
    </row>
    <row r="2422" spans="2:2" x14ac:dyDescent="0.25">
      <c r="B2422" s="53"/>
    </row>
    <row r="2423" spans="2:2" x14ac:dyDescent="0.25">
      <c r="B2423" s="51" t="s">
        <v>1089</v>
      </c>
    </row>
    <row r="2424" spans="2:2" x14ac:dyDescent="0.25">
      <c r="B2424" s="53"/>
    </row>
    <row r="2425" spans="2:2" x14ac:dyDescent="0.25">
      <c r="B2425" s="51" t="s">
        <v>1090</v>
      </c>
    </row>
    <row r="2426" spans="2:2" x14ac:dyDescent="0.25">
      <c r="B2426" s="53"/>
    </row>
    <row r="2427" spans="2:2" x14ac:dyDescent="0.25">
      <c r="B2427" s="51" t="s">
        <v>708</v>
      </c>
    </row>
    <row r="2428" spans="2:2" x14ac:dyDescent="0.25">
      <c r="B2428" s="53"/>
    </row>
    <row r="2429" spans="2:2" x14ac:dyDescent="0.25">
      <c r="B2429" s="51" t="s">
        <v>1091</v>
      </c>
    </row>
    <row r="2430" spans="2:2" x14ac:dyDescent="0.25">
      <c r="B2430" s="53"/>
    </row>
    <row r="2431" spans="2:2" x14ac:dyDescent="0.25">
      <c r="B2431" s="51" t="s">
        <v>1092</v>
      </c>
    </row>
    <row r="2432" spans="2:2" x14ac:dyDescent="0.25">
      <c r="B2432" s="53"/>
    </row>
    <row r="2433" spans="2:2" x14ac:dyDescent="0.25">
      <c r="B2433" s="51" t="s">
        <v>1093</v>
      </c>
    </row>
    <row r="2434" spans="2:2" x14ac:dyDescent="0.25">
      <c r="B2434" s="53"/>
    </row>
    <row r="2435" spans="2:2" x14ac:dyDescent="0.25">
      <c r="B2435" s="51" t="s">
        <v>1094</v>
      </c>
    </row>
    <row r="2436" spans="2:2" x14ac:dyDescent="0.25">
      <c r="B2436" s="53"/>
    </row>
    <row r="2437" spans="2:2" x14ac:dyDescent="0.25">
      <c r="B2437" s="51" t="s">
        <v>1095</v>
      </c>
    </row>
    <row r="2438" spans="2:2" x14ac:dyDescent="0.25">
      <c r="B2438" s="53"/>
    </row>
    <row r="2439" spans="2:2" x14ac:dyDescent="0.25">
      <c r="B2439" s="51" t="s">
        <v>524</v>
      </c>
    </row>
    <row r="2440" spans="2:2" x14ac:dyDescent="0.25">
      <c r="B2440" s="53"/>
    </row>
    <row r="2441" spans="2:2" x14ac:dyDescent="0.25">
      <c r="B2441" s="51" t="s">
        <v>1096</v>
      </c>
    </row>
    <row r="2442" spans="2:2" x14ac:dyDescent="0.25">
      <c r="B2442" s="53"/>
    </row>
    <row r="2443" spans="2:2" x14ac:dyDescent="0.25">
      <c r="B2443" s="51" t="s">
        <v>1097</v>
      </c>
    </row>
    <row r="2444" spans="2:2" x14ac:dyDescent="0.25">
      <c r="B2444" s="53"/>
    </row>
    <row r="2445" spans="2:2" x14ac:dyDescent="0.25">
      <c r="B2445" s="51" t="s">
        <v>528</v>
      </c>
    </row>
    <row r="2446" spans="2:2" x14ac:dyDescent="0.25">
      <c r="B2446" s="53"/>
    </row>
    <row r="2447" spans="2:2" x14ac:dyDescent="0.25">
      <c r="B2447" s="51" t="s">
        <v>764</v>
      </c>
    </row>
    <row r="2448" spans="2:2" x14ac:dyDescent="0.25">
      <c r="B2448" s="53"/>
    </row>
    <row r="2449" spans="2:2" x14ac:dyDescent="0.25">
      <c r="B2449" s="51" t="s">
        <v>1098</v>
      </c>
    </row>
    <row r="2450" spans="2:2" x14ac:dyDescent="0.25">
      <c r="B2450" s="53"/>
    </row>
    <row r="2451" spans="2:2" x14ac:dyDescent="0.25">
      <c r="B2451" s="51" t="s">
        <v>741</v>
      </c>
    </row>
    <row r="2452" spans="2:2" x14ac:dyDescent="0.25">
      <c r="B2452" s="53"/>
    </row>
    <row r="2453" spans="2:2" x14ac:dyDescent="0.25">
      <c r="B2453" s="51" t="s">
        <v>557</v>
      </c>
    </row>
    <row r="2454" spans="2:2" x14ac:dyDescent="0.25">
      <c r="B2454" s="53"/>
    </row>
    <row r="2455" spans="2:2" x14ac:dyDescent="0.25">
      <c r="B2455" s="51" t="s">
        <v>1099</v>
      </c>
    </row>
    <row r="2456" spans="2:2" x14ac:dyDescent="0.25">
      <c r="B2456" s="53"/>
    </row>
    <row r="2457" spans="2:2" x14ac:dyDescent="0.25">
      <c r="B2457" s="51" t="s">
        <v>590</v>
      </c>
    </row>
    <row r="2458" spans="2:2" x14ac:dyDescent="0.25">
      <c r="B2458" s="53"/>
    </row>
    <row r="2459" spans="2:2" x14ac:dyDescent="0.25">
      <c r="B2459" s="51" t="s">
        <v>1100</v>
      </c>
    </row>
    <row r="2460" spans="2:2" x14ac:dyDescent="0.25">
      <c r="B2460" s="53"/>
    </row>
    <row r="2461" spans="2:2" x14ac:dyDescent="0.25">
      <c r="B2461" s="51" t="s">
        <v>1101</v>
      </c>
    </row>
    <row r="2462" spans="2:2" x14ac:dyDescent="0.25">
      <c r="B2462" s="53"/>
    </row>
    <row r="2463" spans="2:2" x14ac:dyDescent="0.25">
      <c r="B2463" s="51" t="s">
        <v>502</v>
      </c>
    </row>
    <row r="2464" spans="2:2" x14ac:dyDescent="0.25">
      <c r="B2464" s="53"/>
    </row>
    <row r="2465" spans="2:2" x14ac:dyDescent="0.25">
      <c r="B2465" s="51" t="s">
        <v>395</v>
      </c>
    </row>
    <row r="2466" spans="2:2" x14ac:dyDescent="0.25">
      <c r="B2466" s="53"/>
    </row>
    <row r="2467" spans="2:2" x14ac:dyDescent="0.25">
      <c r="B2467" s="51" t="s">
        <v>495</v>
      </c>
    </row>
    <row r="2468" spans="2:2" x14ac:dyDescent="0.25">
      <c r="B2468" s="53"/>
    </row>
    <row r="2469" spans="2:2" x14ac:dyDescent="0.25">
      <c r="B2469" s="51" t="s">
        <v>457</v>
      </c>
    </row>
    <row r="2470" spans="2:2" x14ac:dyDescent="0.25">
      <c r="B2470" s="53"/>
    </row>
    <row r="2471" spans="2:2" x14ac:dyDescent="0.25">
      <c r="B2471" s="51" t="s">
        <v>1102</v>
      </c>
    </row>
    <row r="2472" spans="2:2" x14ac:dyDescent="0.25">
      <c r="B2472" s="53"/>
    </row>
    <row r="2473" spans="2:2" x14ac:dyDescent="0.25">
      <c r="B2473" s="51" t="s">
        <v>518</v>
      </c>
    </row>
    <row r="2474" spans="2:2" x14ac:dyDescent="0.25">
      <c r="B2474" s="53"/>
    </row>
    <row r="2475" spans="2:2" x14ac:dyDescent="0.25">
      <c r="B2475" s="51" t="s">
        <v>1103</v>
      </c>
    </row>
    <row r="2476" spans="2:2" x14ac:dyDescent="0.25">
      <c r="B2476" s="53"/>
    </row>
    <row r="2477" spans="2:2" x14ac:dyDescent="0.25">
      <c r="B2477" s="51" t="s">
        <v>1104</v>
      </c>
    </row>
    <row r="2478" spans="2:2" x14ac:dyDescent="0.25">
      <c r="B2478" s="53"/>
    </row>
    <row r="2479" spans="2:2" x14ac:dyDescent="0.25">
      <c r="B2479" s="51" t="s">
        <v>1105</v>
      </c>
    </row>
    <row r="2480" spans="2:2" x14ac:dyDescent="0.25">
      <c r="B2480" s="53"/>
    </row>
    <row r="2481" spans="2:2" x14ac:dyDescent="0.25">
      <c r="B2481" s="51" t="s">
        <v>1106</v>
      </c>
    </row>
    <row r="2482" spans="2:2" x14ac:dyDescent="0.25">
      <c r="B2482" s="53"/>
    </row>
    <row r="2483" spans="2:2" x14ac:dyDescent="0.25">
      <c r="B2483" s="51" t="s">
        <v>767</v>
      </c>
    </row>
    <row r="2484" spans="2:2" x14ac:dyDescent="0.25">
      <c r="B2484" s="53"/>
    </row>
    <row r="2485" spans="2:2" x14ac:dyDescent="0.25">
      <c r="B2485" s="51" t="s">
        <v>1107</v>
      </c>
    </row>
    <row r="2486" spans="2:2" x14ac:dyDescent="0.25">
      <c r="B2486" s="53"/>
    </row>
    <row r="2487" spans="2:2" x14ac:dyDescent="0.25">
      <c r="B2487" s="51" t="s">
        <v>1108</v>
      </c>
    </row>
    <row r="2488" spans="2:2" x14ac:dyDescent="0.25">
      <c r="B2488" s="53"/>
    </row>
    <row r="2489" spans="2:2" x14ac:dyDescent="0.25">
      <c r="B2489" s="51" t="s">
        <v>755</v>
      </c>
    </row>
    <row r="2490" spans="2:2" x14ac:dyDescent="0.25">
      <c r="B2490" s="53"/>
    </row>
    <row r="2491" spans="2:2" x14ac:dyDescent="0.25">
      <c r="B2491" s="51" t="s">
        <v>1109</v>
      </c>
    </row>
    <row r="2492" spans="2:2" x14ac:dyDescent="0.25">
      <c r="B2492" s="53"/>
    </row>
    <row r="2493" spans="2:2" x14ac:dyDescent="0.25">
      <c r="B2493" s="51" t="s">
        <v>286</v>
      </c>
    </row>
    <row r="2494" spans="2:2" x14ac:dyDescent="0.25">
      <c r="B2494" s="53"/>
    </row>
    <row r="2495" spans="2:2" x14ac:dyDescent="0.25">
      <c r="B2495" s="51" t="s">
        <v>1110</v>
      </c>
    </row>
    <row r="2496" spans="2:2" x14ac:dyDescent="0.25">
      <c r="B2496" s="53"/>
    </row>
    <row r="2497" spans="2:2" x14ac:dyDescent="0.25">
      <c r="B2497" s="51" t="s">
        <v>1111</v>
      </c>
    </row>
    <row r="2498" spans="2:2" x14ac:dyDescent="0.25">
      <c r="B2498" s="53"/>
    </row>
    <row r="2499" spans="2:2" x14ac:dyDescent="0.25">
      <c r="B2499" s="51" t="s">
        <v>541</v>
      </c>
    </row>
    <row r="2500" spans="2:2" x14ac:dyDescent="0.25">
      <c r="B2500" s="53"/>
    </row>
    <row r="2501" spans="2:2" x14ac:dyDescent="0.25">
      <c r="B2501" s="51" t="s">
        <v>736</v>
      </c>
    </row>
    <row r="2502" spans="2:2" x14ac:dyDescent="0.25">
      <c r="B2502" s="53"/>
    </row>
    <row r="2503" spans="2:2" x14ac:dyDescent="0.25">
      <c r="B2503" s="51" t="s">
        <v>1112</v>
      </c>
    </row>
    <row r="2504" spans="2:2" x14ac:dyDescent="0.25">
      <c r="B2504" s="53"/>
    </row>
    <row r="2505" spans="2:2" x14ac:dyDescent="0.25">
      <c r="B2505" s="51" t="s">
        <v>1113</v>
      </c>
    </row>
    <row r="2506" spans="2:2" x14ac:dyDescent="0.25">
      <c r="B2506" s="53"/>
    </row>
    <row r="2507" spans="2:2" x14ac:dyDescent="0.25">
      <c r="B2507" s="51" t="s">
        <v>299</v>
      </c>
    </row>
    <row r="2508" spans="2:2" x14ac:dyDescent="0.25">
      <c r="B2508" s="53"/>
    </row>
    <row r="2509" spans="2:2" x14ac:dyDescent="0.25">
      <c r="B2509" s="51" t="s">
        <v>1114</v>
      </c>
    </row>
    <row r="2510" spans="2:2" x14ac:dyDescent="0.25">
      <c r="B2510" s="53"/>
    </row>
    <row r="2511" spans="2:2" x14ac:dyDescent="0.25">
      <c r="B2511" s="51" t="s">
        <v>773</v>
      </c>
    </row>
    <row r="2512" spans="2:2" x14ac:dyDescent="0.25">
      <c r="B2512" s="53"/>
    </row>
    <row r="2513" spans="2:2" x14ac:dyDescent="0.25">
      <c r="B2513" s="51" t="s">
        <v>543</v>
      </c>
    </row>
    <row r="2514" spans="2:2" x14ac:dyDescent="0.25">
      <c r="B2514" s="53"/>
    </row>
    <row r="2515" spans="2:2" x14ac:dyDescent="0.25">
      <c r="B2515" s="51" t="s">
        <v>1115</v>
      </c>
    </row>
    <row r="2516" spans="2:2" x14ac:dyDescent="0.25">
      <c r="B2516" s="53"/>
    </row>
    <row r="2517" spans="2:2" x14ac:dyDescent="0.25">
      <c r="B2517" s="51" t="s">
        <v>1116</v>
      </c>
    </row>
    <row r="2518" spans="2:2" x14ac:dyDescent="0.25">
      <c r="B2518" s="53"/>
    </row>
    <row r="2519" spans="2:2" x14ac:dyDescent="0.25">
      <c r="B2519" s="51" t="s">
        <v>788</v>
      </c>
    </row>
    <row r="2520" spans="2:2" x14ac:dyDescent="0.25">
      <c r="B2520" s="53"/>
    </row>
    <row r="2521" spans="2:2" x14ac:dyDescent="0.25">
      <c r="B2521" s="51" t="s">
        <v>1117</v>
      </c>
    </row>
    <row r="2522" spans="2:2" x14ac:dyDescent="0.25">
      <c r="B2522" s="53"/>
    </row>
    <row r="2523" spans="2:2" x14ac:dyDescent="0.25">
      <c r="B2523" s="51" t="s">
        <v>1118</v>
      </c>
    </row>
    <row r="2524" spans="2:2" x14ac:dyDescent="0.25">
      <c r="B2524" s="53"/>
    </row>
    <row r="2525" spans="2:2" x14ac:dyDescent="0.25">
      <c r="B2525" s="51" t="s">
        <v>1119</v>
      </c>
    </row>
    <row r="2526" spans="2:2" x14ac:dyDescent="0.25">
      <c r="B2526" s="53"/>
    </row>
    <row r="2527" spans="2:2" x14ac:dyDescent="0.25">
      <c r="B2527" s="51" t="s">
        <v>486</v>
      </c>
    </row>
    <row r="2528" spans="2:2" x14ac:dyDescent="0.25">
      <c r="B2528" s="53"/>
    </row>
    <row r="2529" spans="2:2" x14ac:dyDescent="0.25">
      <c r="B2529" s="51" t="s">
        <v>589</v>
      </c>
    </row>
    <row r="2530" spans="2:2" x14ac:dyDescent="0.25">
      <c r="B2530" s="53"/>
    </row>
    <row r="2531" spans="2:2" x14ac:dyDescent="0.25">
      <c r="B2531" s="51" t="s">
        <v>1120</v>
      </c>
    </row>
    <row r="2532" spans="2:2" x14ac:dyDescent="0.25">
      <c r="B2532" s="53"/>
    </row>
    <row r="2533" spans="2:2" x14ac:dyDescent="0.25">
      <c r="B2533" s="51" t="s">
        <v>296</v>
      </c>
    </row>
    <row r="2534" spans="2:2" x14ac:dyDescent="0.25">
      <c r="B2534" s="53"/>
    </row>
    <row r="2535" spans="2:2" x14ac:dyDescent="0.25">
      <c r="B2535" s="51" t="s">
        <v>1121</v>
      </c>
    </row>
    <row r="2536" spans="2:2" x14ac:dyDescent="0.25">
      <c r="B2536" s="53"/>
    </row>
    <row r="2537" spans="2:2" x14ac:dyDescent="0.25">
      <c r="B2537" s="51" t="s">
        <v>1122</v>
      </c>
    </row>
    <row r="2538" spans="2:2" x14ac:dyDescent="0.25">
      <c r="B2538" s="53"/>
    </row>
    <row r="2539" spans="2:2" x14ac:dyDescent="0.25">
      <c r="B2539" s="51" t="s">
        <v>340</v>
      </c>
    </row>
    <row r="2540" spans="2:2" x14ac:dyDescent="0.25">
      <c r="B2540" s="53"/>
    </row>
    <row r="2541" spans="2:2" x14ac:dyDescent="0.25">
      <c r="B2541" s="51" t="s">
        <v>753</v>
      </c>
    </row>
    <row r="2542" spans="2:2" x14ac:dyDescent="0.25">
      <c r="B2542" s="53"/>
    </row>
    <row r="2543" spans="2:2" x14ac:dyDescent="0.25">
      <c r="B2543" s="51" t="s">
        <v>1123</v>
      </c>
    </row>
    <row r="2544" spans="2:2" x14ac:dyDescent="0.25">
      <c r="B2544" s="53"/>
    </row>
    <row r="2545" spans="2:2" x14ac:dyDescent="0.25">
      <c r="B2545" s="51" t="s">
        <v>1124</v>
      </c>
    </row>
    <row r="2546" spans="2:2" x14ac:dyDescent="0.25">
      <c r="B2546" s="53"/>
    </row>
    <row r="2547" spans="2:2" x14ac:dyDescent="0.25">
      <c r="B2547" s="51" t="s">
        <v>1125</v>
      </c>
    </row>
    <row r="2548" spans="2:2" x14ac:dyDescent="0.25">
      <c r="B2548" s="53"/>
    </row>
    <row r="2549" spans="2:2" x14ac:dyDescent="0.25">
      <c r="B2549" s="51" t="s">
        <v>335</v>
      </c>
    </row>
    <row r="2550" spans="2:2" x14ac:dyDescent="0.25">
      <c r="B2550" s="53"/>
    </row>
    <row r="2551" spans="2:2" x14ac:dyDescent="0.25">
      <c r="B2551" s="51" t="s">
        <v>1126</v>
      </c>
    </row>
    <row r="2552" spans="2:2" x14ac:dyDescent="0.25">
      <c r="B2552" s="53"/>
    </row>
    <row r="2553" spans="2:2" x14ac:dyDescent="0.25">
      <c r="B2553" s="51" t="s">
        <v>555</v>
      </c>
    </row>
    <row r="2554" spans="2:2" x14ac:dyDescent="0.25">
      <c r="B2554" s="53"/>
    </row>
    <row r="2555" spans="2:2" x14ac:dyDescent="0.25">
      <c r="B2555" s="51" t="s">
        <v>556</v>
      </c>
    </row>
    <row r="2556" spans="2:2" x14ac:dyDescent="0.25">
      <c r="B2556" s="53"/>
    </row>
    <row r="2557" spans="2:2" x14ac:dyDescent="0.25">
      <c r="B2557" s="51" t="s">
        <v>1127</v>
      </c>
    </row>
    <row r="2558" spans="2:2" x14ac:dyDescent="0.25">
      <c r="B2558" s="53"/>
    </row>
    <row r="2559" spans="2:2" x14ac:dyDescent="0.25">
      <c r="B2559" s="51" t="s">
        <v>1128</v>
      </c>
    </row>
    <row r="2560" spans="2:2" x14ac:dyDescent="0.25">
      <c r="B2560" s="53"/>
    </row>
    <row r="2561" spans="2:2" x14ac:dyDescent="0.25">
      <c r="B2561" s="51" t="s">
        <v>1129</v>
      </c>
    </row>
    <row r="2562" spans="2:2" x14ac:dyDescent="0.25">
      <c r="B2562" s="53"/>
    </row>
    <row r="2563" spans="2:2" x14ac:dyDescent="0.25">
      <c r="B2563" s="51" t="s">
        <v>1130</v>
      </c>
    </row>
    <row r="2564" spans="2:2" x14ac:dyDescent="0.25">
      <c r="B2564" s="53"/>
    </row>
    <row r="2565" spans="2:2" x14ac:dyDescent="0.25">
      <c r="B2565" s="51" t="s">
        <v>1131</v>
      </c>
    </row>
    <row r="2566" spans="2:2" x14ac:dyDescent="0.25">
      <c r="B2566" s="53"/>
    </row>
    <row r="2567" spans="2:2" x14ac:dyDescent="0.25">
      <c r="B2567" s="51" t="s">
        <v>1132</v>
      </c>
    </row>
    <row r="2568" spans="2:2" x14ac:dyDescent="0.25">
      <c r="B2568" s="53"/>
    </row>
    <row r="2569" spans="2:2" x14ac:dyDescent="0.25">
      <c r="B2569" s="51" t="s">
        <v>1133</v>
      </c>
    </row>
    <row r="2570" spans="2:2" x14ac:dyDescent="0.25">
      <c r="B2570" s="53"/>
    </row>
    <row r="2571" spans="2:2" x14ac:dyDescent="0.25">
      <c r="B2571" s="51" t="s">
        <v>1134</v>
      </c>
    </row>
    <row r="2572" spans="2:2" x14ac:dyDescent="0.25">
      <c r="B2572" s="53"/>
    </row>
    <row r="2573" spans="2:2" x14ac:dyDescent="0.25">
      <c r="B2573" s="51" t="s">
        <v>1135</v>
      </c>
    </row>
    <row r="2574" spans="2:2" x14ac:dyDescent="0.25">
      <c r="B2574" s="53"/>
    </row>
    <row r="2575" spans="2:2" x14ac:dyDescent="0.25">
      <c r="B2575" s="51" t="s">
        <v>1136</v>
      </c>
    </row>
    <row r="2576" spans="2:2" x14ac:dyDescent="0.25">
      <c r="B2576" s="53"/>
    </row>
    <row r="2577" spans="2:2" x14ac:dyDescent="0.25">
      <c r="B2577" s="51" t="s">
        <v>1137</v>
      </c>
    </row>
    <row r="2578" spans="2:2" x14ac:dyDescent="0.25">
      <c r="B2578" s="53"/>
    </row>
    <row r="2579" spans="2:2" x14ac:dyDescent="0.25">
      <c r="B2579" s="51" t="s">
        <v>774</v>
      </c>
    </row>
    <row r="2580" spans="2:2" x14ac:dyDescent="0.25">
      <c r="B2580" s="53"/>
    </row>
    <row r="2581" spans="2:2" x14ac:dyDescent="0.25">
      <c r="B2581" s="51" t="s">
        <v>1138</v>
      </c>
    </row>
    <row r="2582" spans="2:2" x14ac:dyDescent="0.25">
      <c r="B2582" s="53"/>
    </row>
    <row r="2583" spans="2:2" x14ac:dyDescent="0.25">
      <c r="B2583" s="51" t="s">
        <v>807</v>
      </c>
    </row>
    <row r="2584" spans="2:2" x14ac:dyDescent="0.25">
      <c r="B2584" s="53"/>
    </row>
    <row r="2585" spans="2:2" x14ac:dyDescent="0.25">
      <c r="B2585" s="51" t="s">
        <v>1139</v>
      </c>
    </row>
    <row r="2586" spans="2:2" x14ac:dyDescent="0.25">
      <c r="B2586" s="53"/>
    </row>
    <row r="2587" spans="2:2" x14ac:dyDescent="0.25">
      <c r="B2587" s="51" t="s">
        <v>1140</v>
      </c>
    </row>
    <row r="2588" spans="2:2" x14ac:dyDescent="0.25">
      <c r="B2588" s="53"/>
    </row>
    <row r="2589" spans="2:2" x14ac:dyDescent="0.25">
      <c r="B2589" s="51" t="s">
        <v>1141</v>
      </c>
    </row>
    <row r="2590" spans="2:2" x14ac:dyDescent="0.25">
      <c r="B2590" s="53"/>
    </row>
    <row r="2591" spans="2:2" x14ac:dyDescent="0.25">
      <c r="B2591" s="51" t="s">
        <v>1142</v>
      </c>
    </row>
    <row r="2592" spans="2:2" x14ac:dyDescent="0.25">
      <c r="B2592" s="53"/>
    </row>
    <row r="2593" spans="2:2" x14ac:dyDescent="0.25">
      <c r="B2593" s="51" t="s">
        <v>1143</v>
      </c>
    </row>
    <row r="2594" spans="2:2" x14ac:dyDescent="0.25">
      <c r="B2594" s="53"/>
    </row>
    <row r="2595" spans="2:2" x14ac:dyDescent="0.25">
      <c r="B2595" s="51" t="s">
        <v>1144</v>
      </c>
    </row>
    <row r="2596" spans="2:2" x14ac:dyDescent="0.25">
      <c r="B2596" s="53"/>
    </row>
    <row r="2597" spans="2:2" x14ac:dyDescent="0.25">
      <c r="B2597" s="51" t="s">
        <v>1145</v>
      </c>
    </row>
    <row r="2598" spans="2:2" x14ac:dyDescent="0.25">
      <c r="B2598" s="53"/>
    </row>
    <row r="2599" spans="2:2" x14ac:dyDescent="0.25">
      <c r="B2599" s="51" t="s">
        <v>1146</v>
      </c>
    </row>
    <row r="2600" spans="2:2" x14ac:dyDescent="0.25">
      <c r="B2600" s="53"/>
    </row>
    <row r="2601" spans="2:2" x14ac:dyDescent="0.25">
      <c r="B2601" s="51" t="s">
        <v>1147</v>
      </c>
    </row>
    <row r="2602" spans="2:2" x14ac:dyDescent="0.25">
      <c r="B2602" s="53"/>
    </row>
    <row r="2603" spans="2:2" x14ac:dyDescent="0.25">
      <c r="B2603" s="51" t="s">
        <v>1148</v>
      </c>
    </row>
    <row r="2604" spans="2:2" x14ac:dyDescent="0.25">
      <c r="B2604" s="53"/>
    </row>
    <row r="2605" spans="2:2" x14ac:dyDescent="0.25">
      <c r="B2605" s="51" t="s">
        <v>1149</v>
      </c>
    </row>
    <row r="2606" spans="2:2" x14ac:dyDescent="0.25">
      <c r="B2606" s="53"/>
    </row>
    <row r="2607" spans="2:2" x14ac:dyDescent="0.25">
      <c r="B2607" s="51" t="s">
        <v>1150</v>
      </c>
    </row>
    <row r="2608" spans="2:2" x14ac:dyDescent="0.25">
      <c r="B2608" s="53"/>
    </row>
    <row r="2609" spans="2:2" x14ac:dyDescent="0.25">
      <c r="B2609" s="51" t="s">
        <v>1151</v>
      </c>
    </row>
    <row r="2610" spans="2:2" x14ac:dyDescent="0.25">
      <c r="B2610" s="53"/>
    </row>
    <row r="2611" spans="2:2" x14ac:dyDescent="0.25">
      <c r="B2611" s="51" t="s">
        <v>1152</v>
      </c>
    </row>
    <row r="2612" spans="2:2" x14ac:dyDescent="0.25">
      <c r="B2612" s="53"/>
    </row>
    <row r="2613" spans="2:2" x14ac:dyDescent="0.25">
      <c r="B2613" s="51" t="s">
        <v>1153</v>
      </c>
    </row>
    <row r="2614" spans="2:2" x14ac:dyDescent="0.25">
      <c r="B2614" s="53"/>
    </row>
    <row r="2615" spans="2:2" x14ac:dyDescent="0.25">
      <c r="B2615" s="51" t="s">
        <v>348</v>
      </c>
    </row>
    <row r="2616" spans="2:2" x14ac:dyDescent="0.25">
      <c r="B2616" s="53"/>
    </row>
    <row r="2617" spans="2:2" x14ac:dyDescent="0.25">
      <c r="B2617" s="51" t="s">
        <v>1154</v>
      </c>
    </row>
    <row r="2618" spans="2:2" x14ac:dyDescent="0.25">
      <c r="B2618" s="53"/>
    </row>
    <row r="2619" spans="2:2" x14ac:dyDescent="0.25">
      <c r="B2619" s="51" t="s">
        <v>1155</v>
      </c>
    </row>
    <row r="2620" spans="2:2" x14ac:dyDescent="0.25">
      <c r="B2620" s="53"/>
    </row>
    <row r="2621" spans="2:2" x14ac:dyDescent="0.25">
      <c r="B2621" s="51" t="s">
        <v>1156</v>
      </c>
    </row>
    <row r="2622" spans="2:2" x14ac:dyDescent="0.25">
      <c r="B2622" s="53"/>
    </row>
    <row r="2623" spans="2:2" x14ac:dyDescent="0.25">
      <c r="B2623" s="51" t="s">
        <v>1157</v>
      </c>
    </row>
    <row r="2624" spans="2:2" x14ac:dyDescent="0.25">
      <c r="B2624" s="53"/>
    </row>
    <row r="2625" spans="2:2" x14ac:dyDescent="0.25">
      <c r="B2625" s="51" t="s">
        <v>1158</v>
      </c>
    </row>
    <row r="2626" spans="2:2" x14ac:dyDescent="0.25">
      <c r="B2626" s="53"/>
    </row>
    <row r="2627" spans="2:2" x14ac:dyDescent="0.25">
      <c r="B2627" s="51" t="s">
        <v>1159</v>
      </c>
    </row>
    <row r="2628" spans="2:2" x14ac:dyDescent="0.25">
      <c r="B2628" s="53"/>
    </row>
    <row r="2629" spans="2:2" x14ac:dyDescent="0.25">
      <c r="B2629" s="51" t="s">
        <v>671</v>
      </c>
    </row>
    <row r="2630" spans="2:2" x14ac:dyDescent="0.25">
      <c r="B2630" s="53"/>
    </row>
    <row r="2631" spans="2:2" x14ac:dyDescent="0.25">
      <c r="B2631" s="51" t="s">
        <v>1160</v>
      </c>
    </row>
    <row r="2632" spans="2:2" x14ac:dyDescent="0.25">
      <c r="B2632" s="53"/>
    </row>
    <row r="2633" spans="2:2" x14ac:dyDescent="0.25">
      <c r="B2633" s="51" t="s">
        <v>1161</v>
      </c>
    </row>
    <row r="2634" spans="2:2" x14ac:dyDescent="0.25">
      <c r="B2634" s="53"/>
    </row>
    <row r="2635" spans="2:2" x14ac:dyDescent="0.25">
      <c r="B2635" s="51" t="s">
        <v>1162</v>
      </c>
    </row>
    <row r="2636" spans="2:2" x14ac:dyDescent="0.25">
      <c r="B2636" s="53"/>
    </row>
    <row r="2637" spans="2:2" x14ac:dyDescent="0.25">
      <c r="B2637" s="51" t="s">
        <v>1163</v>
      </c>
    </row>
    <row r="2638" spans="2:2" x14ac:dyDescent="0.25">
      <c r="B2638" s="53"/>
    </row>
    <row r="2639" spans="2:2" x14ac:dyDescent="0.25">
      <c r="B2639" s="51" t="s">
        <v>1164</v>
      </c>
    </row>
    <row r="2640" spans="2:2" x14ac:dyDescent="0.25">
      <c r="B2640" s="53"/>
    </row>
    <row r="2641" spans="2:2" x14ac:dyDescent="0.25">
      <c r="B2641" s="51" t="s">
        <v>1165</v>
      </c>
    </row>
    <row r="2642" spans="2:2" x14ac:dyDescent="0.25">
      <c r="B2642" s="53"/>
    </row>
    <row r="2643" spans="2:2" x14ac:dyDescent="0.25">
      <c r="B2643" s="51" t="s">
        <v>1166</v>
      </c>
    </row>
    <row r="2644" spans="2:2" x14ac:dyDescent="0.25">
      <c r="B2644" s="53"/>
    </row>
    <row r="2645" spans="2:2" x14ac:dyDescent="0.25">
      <c r="B2645" s="51" t="s">
        <v>1167</v>
      </c>
    </row>
    <row r="2646" spans="2:2" x14ac:dyDescent="0.25">
      <c r="B2646" s="53"/>
    </row>
    <row r="2647" spans="2:2" x14ac:dyDescent="0.25">
      <c r="B2647" s="51" t="s">
        <v>1168</v>
      </c>
    </row>
    <row r="2648" spans="2:2" x14ac:dyDescent="0.25">
      <c r="B2648" s="53"/>
    </row>
    <row r="2649" spans="2:2" x14ac:dyDescent="0.25">
      <c r="B2649" s="51" t="s">
        <v>1169</v>
      </c>
    </row>
    <row r="2650" spans="2:2" x14ac:dyDescent="0.25">
      <c r="B2650" s="53"/>
    </row>
    <row r="2651" spans="2:2" x14ac:dyDescent="0.25">
      <c r="B2651" s="51" t="s">
        <v>1170</v>
      </c>
    </row>
    <row r="2652" spans="2:2" x14ac:dyDescent="0.25">
      <c r="B2652" s="53"/>
    </row>
    <row r="2653" spans="2:2" x14ac:dyDescent="0.25">
      <c r="B2653" s="51" t="s">
        <v>1171</v>
      </c>
    </row>
    <row r="2654" spans="2:2" x14ac:dyDescent="0.25">
      <c r="B2654" s="53"/>
    </row>
    <row r="2655" spans="2:2" x14ac:dyDescent="0.25">
      <c r="B2655" s="51" t="s">
        <v>1172</v>
      </c>
    </row>
    <row r="2656" spans="2:2" x14ac:dyDescent="0.25">
      <c r="B2656" s="53"/>
    </row>
    <row r="2657" spans="2:2" x14ac:dyDescent="0.25">
      <c r="B2657" s="51" t="s">
        <v>1173</v>
      </c>
    </row>
    <row r="2658" spans="2:2" x14ac:dyDescent="0.25">
      <c r="B2658" s="53"/>
    </row>
    <row r="2659" spans="2:2" x14ac:dyDescent="0.25">
      <c r="B2659" s="51" t="s">
        <v>1174</v>
      </c>
    </row>
    <row r="2660" spans="2:2" x14ac:dyDescent="0.25">
      <c r="B2660" s="53"/>
    </row>
    <row r="2661" spans="2:2" x14ac:dyDescent="0.25">
      <c r="B2661" s="51" t="s">
        <v>1175</v>
      </c>
    </row>
    <row r="2662" spans="2:2" x14ac:dyDescent="0.25">
      <c r="B2662" s="53"/>
    </row>
    <row r="2663" spans="2:2" x14ac:dyDescent="0.25">
      <c r="B2663" s="51" t="s">
        <v>1176</v>
      </c>
    </row>
    <row r="2664" spans="2:2" x14ac:dyDescent="0.25">
      <c r="B2664" s="53"/>
    </row>
    <row r="2665" spans="2:2" x14ac:dyDescent="0.25">
      <c r="B2665" s="51" t="s">
        <v>1177</v>
      </c>
    </row>
    <row r="2666" spans="2:2" x14ac:dyDescent="0.25">
      <c r="B2666" s="53"/>
    </row>
    <row r="2667" spans="2:2" x14ac:dyDescent="0.25">
      <c r="B2667" s="51" t="s">
        <v>1178</v>
      </c>
    </row>
    <row r="2668" spans="2:2" x14ac:dyDescent="0.25">
      <c r="B2668" s="53"/>
    </row>
    <row r="2669" spans="2:2" x14ac:dyDescent="0.25">
      <c r="B2669" s="51" t="s">
        <v>439</v>
      </c>
    </row>
    <row r="2670" spans="2:2" x14ac:dyDescent="0.25">
      <c r="B2670" s="53"/>
    </row>
    <row r="2671" spans="2:2" x14ac:dyDescent="0.25">
      <c r="B2671" s="51" t="s">
        <v>1179</v>
      </c>
    </row>
    <row r="2672" spans="2:2" x14ac:dyDescent="0.25">
      <c r="B2672" s="53"/>
    </row>
    <row r="2673" spans="2:2" x14ac:dyDescent="0.25">
      <c r="B2673" s="51" t="s">
        <v>1180</v>
      </c>
    </row>
    <row r="2674" spans="2:2" x14ac:dyDescent="0.25">
      <c r="B2674" s="53"/>
    </row>
    <row r="2675" spans="2:2" x14ac:dyDescent="0.25">
      <c r="B2675" s="51" t="s">
        <v>666</v>
      </c>
    </row>
    <row r="2676" spans="2:2" x14ac:dyDescent="0.25">
      <c r="B2676" s="53"/>
    </row>
    <row r="2677" spans="2:2" x14ac:dyDescent="0.25">
      <c r="B2677" s="51" t="s">
        <v>1181</v>
      </c>
    </row>
    <row r="2678" spans="2:2" x14ac:dyDescent="0.25">
      <c r="B2678" s="53"/>
    </row>
    <row r="2679" spans="2:2" x14ac:dyDescent="0.25">
      <c r="B2679" s="51" t="s">
        <v>1182</v>
      </c>
    </row>
    <row r="2680" spans="2:2" x14ac:dyDescent="0.25">
      <c r="B2680" s="53"/>
    </row>
    <row r="2681" spans="2:2" x14ac:dyDescent="0.25">
      <c r="B2681" s="51" t="s">
        <v>1183</v>
      </c>
    </row>
    <row r="2682" spans="2:2" x14ac:dyDescent="0.25">
      <c r="B2682" s="53"/>
    </row>
    <row r="2683" spans="2:2" x14ac:dyDescent="0.25">
      <c r="B2683" s="51" t="s">
        <v>1184</v>
      </c>
    </row>
    <row r="2684" spans="2:2" x14ac:dyDescent="0.25">
      <c r="B2684" s="53"/>
    </row>
    <row r="2685" spans="2:2" x14ac:dyDescent="0.25">
      <c r="B2685" s="51" t="s">
        <v>1185</v>
      </c>
    </row>
    <row r="2686" spans="2:2" x14ac:dyDescent="0.25">
      <c r="B2686" s="53"/>
    </row>
    <row r="2687" spans="2:2" x14ac:dyDescent="0.25">
      <c r="B2687" s="51" t="s">
        <v>1186</v>
      </c>
    </row>
    <row r="2688" spans="2:2" x14ac:dyDescent="0.25">
      <c r="B2688" s="53"/>
    </row>
    <row r="2689" spans="2:2" x14ac:dyDescent="0.25">
      <c r="B2689" s="51" t="s">
        <v>1187</v>
      </c>
    </row>
    <row r="2690" spans="2:2" x14ac:dyDescent="0.25">
      <c r="B2690" s="53"/>
    </row>
    <row r="2691" spans="2:2" x14ac:dyDescent="0.25">
      <c r="B2691" s="51" t="s">
        <v>1188</v>
      </c>
    </row>
    <row r="2692" spans="2:2" x14ac:dyDescent="0.25">
      <c r="B2692" s="53"/>
    </row>
    <row r="2693" spans="2:2" x14ac:dyDescent="0.25">
      <c r="B2693" s="51" t="s">
        <v>433</v>
      </c>
    </row>
    <row r="2694" spans="2:2" x14ac:dyDescent="0.25">
      <c r="B2694" s="53"/>
    </row>
    <row r="2695" spans="2:2" x14ac:dyDescent="0.25">
      <c r="B2695" s="51" t="s">
        <v>1189</v>
      </c>
    </row>
    <row r="2696" spans="2:2" x14ac:dyDescent="0.25">
      <c r="B2696" s="53"/>
    </row>
    <row r="2697" spans="2:2" x14ac:dyDescent="0.25">
      <c r="B2697" s="51" t="s">
        <v>1190</v>
      </c>
    </row>
    <row r="2698" spans="2:2" x14ac:dyDescent="0.25">
      <c r="B2698" s="53"/>
    </row>
    <row r="2699" spans="2:2" x14ac:dyDescent="0.25">
      <c r="B2699" s="51" t="s">
        <v>1191</v>
      </c>
    </row>
    <row r="2700" spans="2:2" x14ac:dyDescent="0.25">
      <c r="B2700" s="53"/>
    </row>
    <row r="2701" spans="2:2" x14ac:dyDescent="0.25">
      <c r="B2701" s="51" t="s">
        <v>1192</v>
      </c>
    </row>
    <row r="2702" spans="2:2" x14ac:dyDescent="0.25">
      <c r="B2702" s="53"/>
    </row>
    <row r="2703" spans="2:2" x14ac:dyDescent="0.25">
      <c r="B2703" s="51" t="s">
        <v>1193</v>
      </c>
    </row>
    <row r="2704" spans="2:2" x14ac:dyDescent="0.25">
      <c r="B2704" s="53"/>
    </row>
    <row r="2705" spans="2:2" x14ac:dyDescent="0.25">
      <c r="B2705" s="51" t="s">
        <v>1194</v>
      </c>
    </row>
    <row r="2706" spans="2:2" x14ac:dyDescent="0.25">
      <c r="B2706" s="53"/>
    </row>
    <row r="2707" spans="2:2" x14ac:dyDescent="0.25">
      <c r="B2707" s="51" t="s">
        <v>1195</v>
      </c>
    </row>
    <row r="2708" spans="2:2" x14ac:dyDescent="0.25">
      <c r="B2708" s="53"/>
    </row>
    <row r="2709" spans="2:2" x14ac:dyDescent="0.25">
      <c r="B2709" s="51" t="s">
        <v>1196</v>
      </c>
    </row>
    <row r="2710" spans="2:2" x14ac:dyDescent="0.25">
      <c r="B2710" s="53"/>
    </row>
    <row r="2711" spans="2:2" x14ac:dyDescent="0.25">
      <c r="B2711" s="51" t="s">
        <v>1197</v>
      </c>
    </row>
    <row r="2712" spans="2:2" x14ac:dyDescent="0.25">
      <c r="B2712" s="53"/>
    </row>
    <row r="2713" spans="2:2" x14ac:dyDescent="0.25">
      <c r="B2713" s="51" t="s">
        <v>1198</v>
      </c>
    </row>
    <row r="2714" spans="2:2" x14ac:dyDescent="0.25">
      <c r="B2714" s="53"/>
    </row>
    <row r="2715" spans="2:2" x14ac:dyDescent="0.25">
      <c r="B2715" s="51" t="s">
        <v>1199</v>
      </c>
    </row>
    <row r="2716" spans="2:2" x14ac:dyDescent="0.25">
      <c r="B2716" s="53"/>
    </row>
    <row r="2717" spans="2:2" x14ac:dyDescent="0.25">
      <c r="B2717" s="51" t="s">
        <v>1200</v>
      </c>
    </row>
    <row r="2718" spans="2:2" x14ac:dyDescent="0.25">
      <c r="B2718" s="53"/>
    </row>
    <row r="2719" spans="2:2" x14ac:dyDescent="0.25">
      <c r="B2719" s="51" t="s">
        <v>1201</v>
      </c>
    </row>
    <row r="2720" spans="2:2" x14ac:dyDescent="0.25">
      <c r="B2720" s="53"/>
    </row>
    <row r="2721" spans="2:2" x14ac:dyDescent="0.25">
      <c r="B2721" s="51" t="s">
        <v>1202</v>
      </c>
    </row>
    <row r="2722" spans="2:2" x14ac:dyDescent="0.25">
      <c r="B2722" s="53"/>
    </row>
    <row r="2723" spans="2:2" x14ac:dyDescent="0.25">
      <c r="B2723" s="51" t="s">
        <v>1203</v>
      </c>
    </row>
    <row r="2724" spans="2:2" x14ac:dyDescent="0.25">
      <c r="B2724" s="53"/>
    </row>
    <row r="2725" spans="2:2" x14ac:dyDescent="0.25">
      <c r="B2725" s="51" t="s">
        <v>1204</v>
      </c>
    </row>
    <row r="2726" spans="2:2" x14ac:dyDescent="0.25">
      <c r="B2726" s="53"/>
    </row>
    <row r="2727" spans="2:2" x14ac:dyDescent="0.25">
      <c r="B2727" s="51" t="s">
        <v>1205</v>
      </c>
    </row>
    <row r="2728" spans="2:2" x14ac:dyDescent="0.25">
      <c r="B2728" s="53"/>
    </row>
    <row r="2729" spans="2:2" x14ac:dyDescent="0.25">
      <c r="B2729" s="51" t="s">
        <v>1206</v>
      </c>
    </row>
    <row r="2730" spans="2:2" x14ac:dyDescent="0.25">
      <c r="B2730" s="53"/>
    </row>
    <row r="2731" spans="2:2" x14ac:dyDescent="0.25">
      <c r="B2731" s="51" t="s">
        <v>1207</v>
      </c>
    </row>
    <row r="2732" spans="2:2" x14ac:dyDescent="0.25">
      <c r="B2732" s="53"/>
    </row>
    <row r="2733" spans="2:2" x14ac:dyDescent="0.25">
      <c r="B2733" s="51" t="s">
        <v>701</v>
      </c>
    </row>
    <row r="2734" spans="2:2" x14ac:dyDescent="0.25">
      <c r="B2734" s="53"/>
    </row>
    <row r="2735" spans="2:2" x14ac:dyDescent="0.25">
      <c r="B2735" s="51" t="s">
        <v>1208</v>
      </c>
    </row>
    <row r="2736" spans="2:2" x14ac:dyDescent="0.25">
      <c r="B2736" s="53"/>
    </row>
    <row r="2737" spans="2:2" x14ac:dyDescent="0.25">
      <c r="B2737" s="51" t="s">
        <v>1209</v>
      </c>
    </row>
    <row r="2738" spans="2:2" x14ac:dyDescent="0.25">
      <c r="B2738" s="53"/>
    </row>
    <row r="2739" spans="2:2" x14ac:dyDescent="0.25">
      <c r="B2739" s="51" t="s">
        <v>1210</v>
      </c>
    </row>
    <row r="2740" spans="2:2" x14ac:dyDescent="0.25">
      <c r="B2740" s="53"/>
    </row>
    <row r="2741" spans="2:2" x14ac:dyDescent="0.25">
      <c r="B2741" s="51" t="s">
        <v>1211</v>
      </c>
    </row>
    <row r="2742" spans="2:2" x14ac:dyDescent="0.25">
      <c r="B2742" s="53"/>
    </row>
    <row r="2743" spans="2:2" x14ac:dyDescent="0.25">
      <c r="B2743" s="51" t="s">
        <v>1212</v>
      </c>
    </row>
    <row r="2744" spans="2:2" x14ac:dyDescent="0.25">
      <c r="B2744" s="53"/>
    </row>
    <row r="2745" spans="2:2" x14ac:dyDescent="0.25">
      <c r="B2745" s="51" t="s">
        <v>1213</v>
      </c>
    </row>
    <row r="2746" spans="2:2" x14ac:dyDescent="0.25">
      <c r="B2746" s="53"/>
    </row>
    <row r="2747" spans="2:2" x14ac:dyDescent="0.25">
      <c r="B2747" s="51" t="s">
        <v>1214</v>
      </c>
    </row>
    <row r="2748" spans="2:2" x14ac:dyDescent="0.25">
      <c r="B2748" s="53"/>
    </row>
    <row r="2749" spans="2:2" x14ac:dyDescent="0.25">
      <c r="B2749" s="51" t="s">
        <v>1215</v>
      </c>
    </row>
    <row r="2750" spans="2:2" x14ac:dyDescent="0.25">
      <c r="B2750" s="53"/>
    </row>
    <row r="2751" spans="2:2" x14ac:dyDescent="0.25">
      <c r="B2751" s="51" t="s">
        <v>1216</v>
      </c>
    </row>
    <row r="2752" spans="2:2" x14ac:dyDescent="0.25">
      <c r="B2752" s="53"/>
    </row>
    <row r="2753" spans="2:2" x14ac:dyDescent="0.25">
      <c r="B2753" s="51" t="s">
        <v>1217</v>
      </c>
    </row>
    <row r="2754" spans="2:2" x14ac:dyDescent="0.25">
      <c r="B2754" s="53"/>
    </row>
    <row r="2755" spans="2:2" x14ac:dyDescent="0.25">
      <c r="B2755" s="51" t="s">
        <v>1218</v>
      </c>
    </row>
    <row r="2756" spans="2:2" x14ac:dyDescent="0.25">
      <c r="B2756" s="53"/>
    </row>
    <row r="2757" spans="2:2" x14ac:dyDescent="0.25">
      <c r="B2757" s="51" t="s">
        <v>489</v>
      </c>
    </row>
    <row r="2758" spans="2:2" x14ac:dyDescent="0.25">
      <c r="B2758" s="53"/>
    </row>
    <row r="2759" spans="2:2" x14ac:dyDescent="0.25">
      <c r="B2759" s="51" t="s">
        <v>1219</v>
      </c>
    </row>
    <row r="2760" spans="2:2" x14ac:dyDescent="0.25">
      <c r="B2760" s="53"/>
    </row>
    <row r="2761" spans="2:2" x14ac:dyDescent="0.25">
      <c r="B2761" s="51" t="s">
        <v>1220</v>
      </c>
    </row>
    <row r="2762" spans="2:2" x14ac:dyDescent="0.25">
      <c r="B2762" s="53"/>
    </row>
    <row r="2763" spans="2:2" x14ac:dyDescent="0.25">
      <c r="B2763" s="51" t="s">
        <v>1221</v>
      </c>
    </row>
    <row r="2764" spans="2:2" x14ac:dyDescent="0.25">
      <c r="B2764" s="53"/>
    </row>
    <row r="2765" spans="2:2" x14ac:dyDescent="0.25">
      <c r="B2765" s="51" t="s">
        <v>1222</v>
      </c>
    </row>
    <row r="2766" spans="2:2" x14ac:dyDescent="0.25">
      <c r="B2766" s="53"/>
    </row>
    <row r="2767" spans="2:2" x14ac:dyDescent="0.25">
      <c r="B2767" s="51" t="s">
        <v>1223</v>
      </c>
    </row>
    <row r="2768" spans="2:2" x14ac:dyDescent="0.25">
      <c r="B2768" s="53"/>
    </row>
    <row r="2769" spans="2:2" x14ac:dyDescent="0.25">
      <c r="B2769" s="51" t="s">
        <v>1224</v>
      </c>
    </row>
    <row r="2770" spans="2:2" x14ac:dyDescent="0.25">
      <c r="B2770" s="53"/>
    </row>
    <row r="2771" spans="2:2" x14ac:dyDescent="0.25">
      <c r="B2771" s="51" t="s">
        <v>351</v>
      </c>
    </row>
    <row r="2772" spans="2:2" x14ac:dyDescent="0.25">
      <c r="B2772" s="53"/>
    </row>
    <row r="2773" spans="2:2" x14ac:dyDescent="0.25">
      <c r="B2773" s="51" t="s">
        <v>1225</v>
      </c>
    </row>
    <row r="2774" spans="2:2" x14ac:dyDescent="0.25">
      <c r="B2774" s="53"/>
    </row>
    <row r="2775" spans="2:2" x14ac:dyDescent="0.25">
      <c r="B2775" s="51" t="s">
        <v>1226</v>
      </c>
    </row>
    <row r="2776" spans="2:2" x14ac:dyDescent="0.25">
      <c r="B2776" s="53"/>
    </row>
    <row r="2777" spans="2:2" x14ac:dyDescent="0.25">
      <c r="B2777" s="51" t="s">
        <v>1227</v>
      </c>
    </row>
    <row r="2778" spans="2:2" x14ac:dyDescent="0.25">
      <c r="B2778" s="53"/>
    </row>
    <row r="2779" spans="2:2" x14ac:dyDescent="0.25">
      <c r="B2779" s="51" t="s">
        <v>1228</v>
      </c>
    </row>
    <row r="2780" spans="2:2" x14ac:dyDescent="0.25">
      <c r="B2780" s="53"/>
    </row>
    <row r="2781" spans="2:2" x14ac:dyDescent="0.25">
      <c r="B2781" s="51" t="s">
        <v>1229</v>
      </c>
    </row>
    <row r="2782" spans="2:2" x14ac:dyDescent="0.25">
      <c r="B2782" s="53"/>
    </row>
    <row r="2783" spans="2:2" x14ac:dyDescent="0.25">
      <c r="B2783" s="51" t="s">
        <v>1230</v>
      </c>
    </row>
    <row r="2784" spans="2:2" x14ac:dyDescent="0.25">
      <c r="B2784" s="53"/>
    </row>
    <row r="2785" spans="2:2" x14ac:dyDescent="0.25">
      <c r="B2785" s="51" t="s">
        <v>1231</v>
      </c>
    </row>
    <row r="2786" spans="2:2" x14ac:dyDescent="0.25">
      <c r="B2786" s="53"/>
    </row>
    <row r="2787" spans="2:2" x14ac:dyDescent="0.25">
      <c r="B2787" s="51" t="s">
        <v>1232</v>
      </c>
    </row>
    <row r="2788" spans="2:2" x14ac:dyDescent="0.25">
      <c r="B2788" s="53"/>
    </row>
    <row r="2789" spans="2:2" x14ac:dyDescent="0.25">
      <c r="B2789" s="51" t="s">
        <v>1233</v>
      </c>
    </row>
    <row r="2790" spans="2:2" x14ac:dyDescent="0.25">
      <c r="B2790" s="53"/>
    </row>
    <row r="2791" spans="2:2" x14ac:dyDescent="0.25">
      <c r="B2791" s="51" t="s">
        <v>1234</v>
      </c>
    </row>
    <row r="2792" spans="2:2" x14ac:dyDescent="0.25">
      <c r="B2792" s="53"/>
    </row>
    <row r="2793" spans="2:2" x14ac:dyDescent="0.25">
      <c r="B2793" s="51" t="s">
        <v>1235</v>
      </c>
    </row>
    <row r="2794" spans="2:2" x14ac:dyDescent="0.25">
      <c r="B2794" s="53"/>
    </row>
    <row r="2795" spans="2:2" x14ac:dyDescent="0.25">
      <c r="B2795" s="51" t="s">
        <v>1236</v>
      </c>
    </row>
    <row r="2796" spans="2:2" x14ac:dyDescent="0.25">
      <c r="B2796" s="53"/>
    </row>
    <row r="2797" spans="2:2" x14ac:dyDescent="0.25">
      <c r="B2797" s="51" t="s">
        <v>1237</v>
      </c>
    </row>
    <row r="2798" spans="2:2" x14ac:dyDescent="0.25">
      <c r="B2798" s="53"/>
    </row>
    <row r="2799" spans="2:2" x14ac:dyDescent="0.25">
      <c r="B2799" s="51" t="s">
        <v>1238</v>
      </c>
    </row>
    <row r="2800" spans="2:2" x14ac:dyDescent="0.25">
      <c r="B2800" s="53"/>
    </row>
    <row r="2801" spans="2:2" x14ac:dyDescent="0.25">
      <c r="B2801" s="51" t="s">
        <v>1239</v>
      </c>
    </row>
    <row r="2802" spans="2:2" x14ac:dyDescent="0.25">
      <c r="B2802" s="53"/>
    </row>
    <row r="2803" spans="2:2" x14ac:dyDescent="0.25">
      <c r="B2803" s="51" t="s">
        <v>1240</v>
      </c>
    </row>
    <row r="2804" spans="2:2" x14ac:dyDescent="0.25">
      <c r="B2804" s="53"/>
    </row>
    <row r="2805" spans="2:2" x14ac:dyDescent="0.25">
      <c r="B2805" s="51" t="s">
        <v>1241</v>
      </c>
    </row>
    <row r="2806" spans="2:2" x14ac:dyDescent="0.25">
      <c r="B2806" s="53"/>
    </row>
    <row r="2807" spans="2:2" x14ac:dyDescent="0.25">
      <c r="B2807" s="51" t="s">
        <v>743</v>
      </c>
    </row>
    <row r="2808" spans="2:2" x14ac:dyDescent="0.25">
      <c r="B2808" s="53"/>
    </row>
    <row r="2809" spans="2:2" x14ac:dyDescent="0.25">
      <c r="B2809" s="51" t="s">
        <v>1242</v>
      </c>
    </row>
    <row r="2810" spans="2:2" x14ac:dyDescent="0.25">
      <c r="B2810" s="53"/>
    </row>
    <row r="2811" spans="2:2" x14ac:dyDescent="0.25">
      <c r="B2811" s="51" t="s">
        <v>1243</v>
      </c>
    </row>
    <row r="2812" spans="2:2" x14ac:dyDescent="0.25">
      <c r="B2812" s="53"/>
    </row>
    <row r="2813" spans="2:2" x14ac:dyDescent="0.25">
      <c r="B2813" s="51" t="s">
        <v>1244</v>
      </c>
    </row>
    <row r="2814" spans="2:2" x14ac:dyDescent="0.25">
      <c r="B2814" s="53"/>
    </row>
    <row r="2815" spans="2:2" x14ac:dyDescent="0.25">
      <c r="B2815" s="51" t="s">
        <v>1245</v>
      </c>
    </row>
    <row r="2816" spans="2:2" x14ac:dyDescent="0.25">
      <c r="B2816" s="53"/>
    </row>
    <row r="2817" spans="2:2" x14ac:dyDescent="0.25">
      <c r="B2817" s="51" t="s">
        <v>1246</v>
      </c>
    </row>
    <row r="2818" spans="2:2" x14ac:dyDescent="0.25">
      <c r="B2818" s="53"/>
    </row>
    <row r="2819" spans="2:2" x14ac:dyDescent="0.25">
      <c r="B2819" s="51" t="s">
        <v>1247</v>
      </c>
    </row>
    <row r="2820" spans="2:2" x14ac:dyDescent="0.25">
      <c r="B2820" s="53"/>
    </row>
    <row r="2821" spans="2:2" x14ac:dyDescent="0.25">
      <c r="B2821" s="51" t="s">
        <v>1248</v>
      </c>
    </row>
    <row r="2822" spans="2:2" x14ac:dyDescent="0.25">
      <c r="B2822" s="53"/>
    </row>
    <row r="2823" spans="2:2" x14ac:dyDescent="0.25">
      <c r="B2823" s="51" t="s">
        <v>1249</v>
      </c>
    </row>
    <row r="2824" spans="2:2" x14ac:dyDescent="0.25">
      <c r="B2824" s="53"/>
    </row>
    <row r="2825" spans="2:2" x14ac:dyDescent="0.25">
      <c r="B2825" s="51" t="s">
        <v>1250</v>
      </c>
    </row>
    <row r="2826" spans="2:2" x14ac:dyDescent="0.25">
      <c r="B2826" s="53"/>
    </row>
    <row r="2827" spans="2:2" x14ac:dyDescent="0.25">
      <c r="B2827" s="51" t="s">
        <v>1251</v>
      </c>
    </row>
    <row r="2828" spans="2:2" x14ac:dyDescent="0.25">
      <c r="B2828" s="53"/>
    </row>
    <row r="2829" spans="2:2" x14ac:dyDescent="0.25">
      <c r="B2829" s="51" t="s">
        <v>682</v>
      </c>
    </row>
    <row r="2830" spans="2:2" x14ac:dyDescent="0.25">
      <c r="B2830" s="53"/>
    </row>
    <row r="2831" spans="2:2" x14ac:dyDescent="0.25">
      <c r="B2831" s="51" t="s">
        <v>1252</v>
      </c>
    </row>
    <row r="2832" spans="2:2" x14ac:dyDescent="0.25">
      <c r="B2832" s="53"/>
    </row>
    <row r="2833" spans="2:2" x14ac:dyDescent="0.25">
      <c r="B2833" s="51" t="s">
        <v>1253</v>
      </c>
    </row>
    <row r="2834" spans="2:2" x14ac:dyDescent="0.25">
      <c r="B2834" s="53"/>
    </row>
    <row r="2835" spans="2:2" x14ac:dyDescent="0.25">
      <c r="B2835" s="51" t="s">
        <v>684</v>
      </c>
    </row>
    <row r="2836" spans="2:2" x14ac:dyDescent="0.25">
      <c r="B2836" s="53"/>
    </row>
    <row r="2837" spans="2:2" x14ac:dyDescent="0.25">
      <c r="B2837" s="51" t="s">
        <v>1254</v>
      </c>
    </row>
    <row r="2838" spans="2:2" x14ac:dyDescent="0.25">
      <c r="B2838" s="53"/>
    </row>
    <row r="2839" spans="2:2" x14ac:dyDescent="0.25">
      <c r="B2839" s="51" t="s">
        <v>1255</v>
      </c>
    </row>
    <row r="2840" spans="2:2" x14ac:dyDescent="0.25">
      <c r="B2840" s="53"/>
    </row>
    <row r="2841" spans="2:2" x14ac:dyDescent="0.25">
      <c r="B2841" s="51" t="s">
        <v>1256</v>
      </c>
    </row>
    <row r="2842" spans="2:2" x14ac:dyDescent="0.25">
      <c r="B2842" s="53"/>
    </row>
    <row r="2843" spans="2:2" x14ac:dyDescent="0.25">
      <c r="B2843" s="51" t="s">
        <v>1257</v>
      </c>
    </row>
    <row r="2844" spans="2:2" x14ac:dyDescent="0.25">
      <c r="B2844" s="53"/>
    </row>
    <row r="2845" spans="2:2" x14ac:dyDescent="0.25">
      <c r="B2845" s="51" t="s">
        <v>1258</v>
      </c>
    </row>
    <row r="2846" spans="2:2" x14ac:dyDescent="0.25">
      <c r="B2846" s="53"/>
    </row>
    <row r="2847" spans="2:2" x14ac:dyDescent="0.25">
      <c r="B2847" s="51" t="s">
        <v>1259</v>
      </c>
    </row>
    <row r="2848" spans="2:2" x14ac:dyDescent="0.25">
      <c r="B2848" s="53"/>
    </row>
    <row r="2849" spans="2:2" x14ac:dyDescent="0.25">
      <c r="B2849" s="51" t="s">
        <v>1260</v>
      </c>
    </row>
    <row r="2850" spans="2:2" x14ac:dyDescent="0.25">
      <c r="B2850" s="53"/>
    </row>
    <row r="2851" spans="2:2" x14ac:dyDescent="0.25">
      <c r="B2851" s="51" t="s">
        <v>1261</v>
      </c>
    </row>
    <row r="2852" spans="2:2" x14ac:dyDescent="0.25">
      <c r="B2852" s="53"/>
    </row>
    <row r="2853" spans="2:2" x14ac:dyDescent="0.25">
      <c r="B2853" s="51" t="s">
        <v>1262</v>
      </c>
    </row>
    <row r="2854" spans="2:2" x14ac:dyDescent="0.25">
      <c r="B2854" s="53"/>
    </row>
    <row r="2855" spans="2:2" x14ac:dyDescent="0.25">
      <c r="B2855" s="51" t="s">
        <v>1263</v>
      </c>
    </row>
    <row r="2856" spans="2:2" x14ac:dyDescent="0.25">
      <c r="B2856" s="53"/>
    </row>
    <row r="2857" spans="2:2" x14ac:dyDescent="0.25">
      <c r="B2857" s="51" t="s">
        <v>1264</v>
      </c>
    </row>
    <row r="2858" spans="2:2" x14ac:dyDescent="0.25">
      <c r="B2858" s="53"/>
    </row>
    <row r="2859" spans="2:2" x14ac:dyDescent="0.25">
      <c r="B2859" s="51" t="s">
        <v>1265</v>
      </c>
    </row>
    <row r="2860" spans="2:2" x14ac:dyDescent="0.25">
      <c r="B2860" s="53"/>
    </row>
    <row r="2861" spans="2:2" x14ac:dyDescent="0.25">
      <c r="B2861" s="51" t="s">
        <v>1266</v>
      </c>
    </row>
    <row r="2862" spans="2:2" x14ac:dyDescent="0.25">
      <c r="B2862" s="53"/>
    </row>
    <row r="2863" spans="2:2" x14ac:dyDescent="0.25">
      <c r="B2863" s="51" t="s">
        <v>1267</v>
      </c>
    </row>
    <row r="2864" spans="2:2" x14ac:dyDescent="0.25">
      <c r="B2864" s="53"/>
    </row>
    <row r="2865" spans="2:2" x14ac:dyDescent="0.25">
      <c r="B2865" s="51" t="s">
        <v>1268</v>
      </c>
    </row>
    <row r="2866" spans="2:2" x14ac:dyDescent="0.25">
      <c r="B2866" s="53"/>
    </row>
    <row r="2867" spans="2:2" x14ac:dyDescent="0.25">
      <c r="B2867" s="51" t="s">
        <v>1269</v>
      </c>
    </row>
    <row r="2868" spans="2:2" x14ac:dyDescent="0.25">
      <c r="B2868" s="53"/>
    </row>
    <row r="2869" spans="2:2" x14ac:dyDescent="0.25">
      <c r="B2869" s="51" t="s">
        <v>1270</v>
      </c>
    </row>
    <row r="2870" spans="2:2" x14ac:dyDescent="0.25">
      <c r="B2870" s="53"/>
    </row>
    <row r="2871" spans="2:2" x14ac:dyDescent="0.25">
      <c r="B2871" s="51" t="s">
        <v>1271</v>
      </c>
    </row>
    <row r="2872" spans="2:2" x14ac:dyDescent="0.25">
      <c r="B2872" s="53"/>
    </row>
    <row r="2873" spans="2:2" x14ac:dyDescent="0.25">
      <c r="B2873" s="51" t="s">
        <v>1272</v>
      </c>
    </row>
    <row r="2874" spans="2:2" x14ac:dyDescent="0.25">
      <c r="B2874" s="53"/>
    </row>
    <row r="2875" spans="2:2" x14ac:dyDescent="0.25">
      <c r="B2875" s="51" t="s">
        <v>1273</v>
      </c>
    </row>
    <row r="2876" spans="2:2" x14ac:dyDescent="0.25">
      <c r="B2876" s="53"/>
    </row>
    <row r="2877" spans="2:2" x14ac:dyDescent="0.25">
      <c r="B2877" s="51" t="s">
        <v>1274</v>
      </c>
    </row>
    <row r="2878" spans="2:2" x14ac:dyDescent="0.25">
      <c r="B2878" s="53"/>
    </row>
    <row r="2879" spans="2:2" x14ac:dyDescent="0.25">
      <c r="B2879" s="51" t="s">
        <v>1275</v>
      </c>
    </row>
    <row r="2880" spans="2:2" x14ac:dyDescent="0.25">
      <c r="B2880" s="53"/>
    </row>
    <row r="2881" spans="2:2" x14ac:dyDescent="0.25">
      <c r="B2881" s="51" t="s">
        <v>1276</v>
      </c>
    </row>
    <row r="2882" spans="2:2" x14ac:dyDescent="0.25">
      <c r="B2882" s="53"/>
    </row>
    <row r="2883" spans="2:2" x14ac:dyDescent="0.25">
      <c r="B2883" s="51" t="s">
        <v>1277</v>
      </c>
    </row>
    <row r="2884" spans="2:2" x14ac:dyDescent="0.25">
      <c r="B2884" s="53"/>
    </row>
    <row r="2885" spans="2:2" x14ac:dyDescent="0.25">
      <c r="B2885" s="51" t="s">
        <v>1278</v>
      </c>
    </row>
    <row r="2886" spans="2:2" x14ac:dyDescent="0.25">
      <c r="B2886" s="53"/>
    </row>
    <row r="2887" spans="2:2" x14ac:dyDescent="0.25">
      <c r="B2887" s="51" t="s">
        <v>1279</v>
      </c>
    </row>
    <row r="2888" spans="2:2" x14ac:dyDescent="0.25">
      <c r="B2888" s="53"/>
    </row>
    <row r="2889" spans="2:2" x14ac:dyDescent="0.25">
      <c r="B2889" s="51" t="s">
        <v>1280</v>
      </c>
    </row>
    <row r="2890" spans="2:2" x14ac:dyDescent="0.25">
      <c r="B2890" s="53"/>
    </row>
    <row r="2891" spans="2:2" x14ac:dyDescent="0.25">
      <c r="B2891" s="51" t="s">
        <v>1281</v>
      </c>
    </row>
    <row r="2892" spans="2:2" x14ac:dyDescent="0.25">
      <c r="B2892" s="53"/>
    </row>
    <row r="2893" spans="2:2" x14ac:dyDescent="0.25">
      <c r="B2893" s="51" t="s">
        <v>1282</v>
      </c>
    </row>
    <row r="2894" spans="2:2" x14ac:dyDescent="0.25">
      <c r="B2894" s="53"/>
    </row>
    <row r="2895" spans="2:2" x14ac:dyDescent="0.25">
      <c r="B2895" s="51" t="s">
        <v>1283</v>
      </c>
    </row>
    <row r="2896" spans="2:2" x14ac:dyDescent="0.25">
      <c r="B2896" s="53"/>
    </row>
    <row r="2897" spans="2:2" x14ac:dyDescent="0.25">
      <c r="B2897" s="51" t="s">
        <v>1284</v>
      </c>
    </row>
    <row r="2898" spans="2:2" x14ac:dyDescent="0.25">
      <c r="B2898" s="53"/>
    </row>
    <row r="2899" spans="2:2" x14ac:dyDescent="0.25">
      <c r="B2899" s="51" t="s">
        <v>1285</v>
      </c>
    </row>
    <row r="2900" spans="2:2" x14ac:dyDescent="0.25">
      <c r="B2900" s="53"/>
    </row>
    <row r="2901" spans="2:2" x14ac:dyDescent="0.25">
      <c r="B2901" s="51" t="s">
        <v>1286</v>
      </c>
    </row>
    <row r="2902" spans="2:2" x14ac:dyDescent="0.25">
      <c r="B2902" s="53"/>
    </row>
    <row r="2903" spans="2:2" x14ac:dyDescent="0.25">
      <c r="B2903" s="51" t="s">
        <v>1287</v>
      </c>
    </row>
    <row r="2904" spans="2:2" x14ac:dyDescent="0.25">
      <c r="B2904" s="53"/>
    </row>
    <row r="2905" spans="2:2" x14ac:dyDescent="0.25">
      <c r="B2905" s="51" t="s">
        <v>1288</v>
      </c>
    </row>
    <row r="2906" spans="2:2" x14ac:dyDescent="0.25">
      <c r="B2906" s="53"/>
    </row>
    <row r="2907" spans="2:2" x14ac:dyDescent="0.25">
      <c r="B2907" s="51" t="s">
        <v>1289</v>
      </c>
    </row>
    <row r="2908" spans="2:2" x14ac:dyDescent="0.25">
      <c r="B2908" s="53"/>
    </row>
    <row r="2909" spans="2:2" x14ac:dyDescent="0.25">
      <c r="B2909" s="51" t="s">
        <v>1290</v>
      </c>
    </row>
    <row r="2910" spans="2:2" x14ac:dyDescent="0.25">
      <c r="B2910" s="53"/>
    </row>
    <row r="2911" spans="2:2" x14ac:dyDescent="0.25">
      <c r="B2911" s="51" t="s">
        <v>1291</v>
      </c>
    </row>
    <row r="2912" spans="2:2" x14ac:dyDescent="0.25">
      <c r="B2912" s="53"/>
    </row>
    <row r="2913" spans="2:2" x14ac:dyDescent="0.25">
      <c r="B2913" s="51" t="s">
        <v>1292</v>
      </c>
    </row>
    <row r="2914" spans="2:2" x14ac:dyDescent="0.25">
      <c r="B2914" s="53"/>
    </row>
    <row r="2915" spans="2:2" x14ac:dyDescent="0.25">
      <c r="B2915" s="51" t="s">
        <v>1293</v>
      </c>
    </row>
    <row r="2916" spans="2:2" x14ac:dyDescent="0.25">
      <c r="B2916" s="53"/>
    </row>
    <row r="2917" spans="2:2" x14ac:dyDescent="0.25">
      <c r="B2917" s="51" t="s">
        <v>1294</v>
      </c>
    </row>
    <row r="2918" spans="2:2" x14ac:dyDescent="0.25">
      <c r="B2918" s="53"/>
    </row>
    <row r="2919" spans="2:2" x14ac:dyDescent="0.25">
      <c r="B2919" s="51" t="s">
        <v>1295</v>
      </c>
    </row>
    <row r="2920" spans="2:2" x14ac:dyDescent="0.25">
      <c r="B2920" s="53"/>
    </row>
    <row r="2921" spans="2:2" x14ac:dyDescent="0.25">
      <c r="B2921" s="51" t="s">
        <v>369</v>
      </c>
    </row>
    <row r="2922" spans="2:2" x14ac:dyDescent="0.25">
      <c r="B2922" s="53"/>
    </row>
    <row r="2923" spans="2:2" x14ac:dyDescent="0.25">
      <c r="B2923" s="51" t="s">
        <v>443</v>
      </c>
    </row>
    <row r="2924" spans="2:2" x14ac:dyDescent="0.25">
      <c r="B2924" s="53"/>
    </row>
    <row r="2925" spans="2:2" x14ac:dyDescent="0.25">
      <c r="B2925" s="51" t="s">
        <v>1296</v>
      </c>
    </row>
    <row r="2926" spans="2:2" x14ac:dyDescent="0.25">
      <c r="B2926" s="53"/>
    </row>
    <row r="2927" spans="2:2" x14ac:dyDescent="0.25">
      <c r="B2927" s="51" t="s">
        <v>1297</v>
      </c>
    </row>
    <row r="2928" spans="2:2" x14ac:dyDescent="0.25">
      <c r="B2928" s="53"/>
    </row>
    <row r="2929" spans="2:2" x14ac:dyDescent="0.25">
      <c r="B2929" s="51" t="s">
        <v>1298</v>
      </c>
    </row>
    <row r="2930" spans="2:2" x14ac:dyDescent="0.25">
      <c r="B2930" s="53"/>
    </row>
    <row r="2931" spans="2:2" x14ac:dyDescent="0.25">
      <c r="B2931" s="51" t="s">
        <v>1299</v>
      </c>
    </row>
    <row r="2932" spans="2:2" x14ac:dyDescent="0.25">
      <c r="B2932" s="53"/>
    </row>
    <row r="2933" spans="2:2" x14ac:dyDescent="0.25">
      <c r="B2933" s="51" t="s">
        <v>1300</v>
      </c>
    </row>
    <row r="2934" spans="2:2" x14ac:dyDescent="0.25">
      <c r="B2934" s="53"/>
    </row>
    <row r="2935" spans="2:2" x14ac:dyDescent="0.25">
      <c r="B2935" s="51" t="s">
        <v>1301</v>
      </c>
    </row>
    <row r="2936" spans="2:2" x14ac:dyDescent="0.25">
      <c r="B2936" s="53"/>
    </row>
    <row r="2937" spans="2:2" x14ac:dyDescent="0.25">
      <c r="B2937" s="51" t="s">
        <v>1302</v>
      </c>
    </row>
    <row r="2938" spans="2:2" x14ac:dyDescent="0.25">
      <c r="B2938" s="53"/>
    </row>
    <row r="2939" spans="2:2" x14ac:dyDescent="0.25">
      <c r="B2939" s="51" t="s">
        <v>1303</v>
      </c>
    </row>
    <row r="2940" spans="2:2" x14ac:dyDescent="0.25">
      <c r="B2940" s="53"/>
    </row>
    <row r="2941" spans="2:2" x14ac:dyDescent="0.25">
      <c r="B2941" s="51" t="s">
        <v>1304</v>
      </c>
    </row>
    <row r="2942" spans="2:2" x14ac:dyDescent="0.25">
      <c r="B2942" s="53"/>
    </row>
    <row r="2943" spans="2:2" x14ac:dyDescent="0.25">
      <c r="B2943" s="51" t="s">
        <v>1305</v>
      </c>
    </row>
    <row r="2944" spans="2:2" x14ac:dyDescent="0.25">
      <c r="B2944" s="53"/>
    </row>
    <row r="2945" spans="2:2" x14ac:dyDescent="0.25">
      <c r="B2945" s="51" t="s">
        <v>1306</v>
      </c>
    </row>
    <row r="2946" spans="2:2" x14ac:dyDescent="0.25">
      <c r="B2946" s="53"/>
    </row>
    <row r="2947" spans="2:2" x14ac:dyDescent="0.25">
      <c r="B2947" s="51" t="s">
        <v>1307</v>
      </c>
    </row>
    <row r="2948" spans="2:2" x14ac:dyDescent="0.25">
      <c r="B2948" s="53"/>
    </row>
    <row r="2949" spans="2:2" x14ac:dyDescent="0.25">
      <c r="B2949" s="51" t="s">
        <v>1308</v>
      </c>
    </row>
    <row r="2950" spans="2:2" x14ac:dyDescent="0.25">
      <c r="B2950" s="53"/>
    </row>
    <row r="2951" spans="2:2" x14ac:dyDescent="0.25">
      <c r="B2951" s="51" t="s">
        <v>1309</v>
      </c>
    </row>
    <row r="2952" spans="2:2" x14ac:dyDescent="0.25">
      <c r="B2952" s="53"/>
    </row>
    <row r="2953" spans="2:2" x14ac:dyDescent="0.25">
      <c r="B2953" s="51" t="s">
        <v>813</v>
      </c>
    </row>
    <row r="2954" spans="2:2" x14ac:dyDescent="0.25">
      <c r="B2954" s="53"/>
    </row>
    <row r="2955" spans="2:2" x14ac:dyDescent="0.25">
      <c r="B2955" s="51" t="s">
        <v>1310</v>
      </c>
    </row>
    <row r="2956" spans="2:2" x14ac:dyDescent="0.25">
      <c r="B2956" s="53"/>
    </row>
    <row r="2957" spans="2:2" x14ac:dyDescent="0.25">
      <c r="B2957" s="51" t="s">
        <v>1311</v>
      </c>
    </row>
    <row r="2958" spans="2:2" x14ac:dyDescent="0.25">
      <c r="B2958" s="53"/>
    </row>
    <row r="2959" spans="2:2" x14ac:dyDescent="0.25">
      <c r="B2959" s="51" t="s">
        <v>1312</v>
      </c>
    </row>
    <row r="2960" spans="2:2" x14ac:dyDescent="0.25">
      <c r="B2960" s="53"/>
    </row>
    <row r="2961" spans="2:2" x14ac:dyDescent="0.25">
      <c r="B2961" s="51" t="s">
        <v>1098</v>
      </c>
    </row>
    <row r="2962" spans="2:2" x14ac:dyDescent="0.25">
      <c r="B2962" s="53"/>
    </row>
    <row r="2963" spans="2:2" x14ac:dyDescent="0.25">
      <c r="B2963" s="51" t="s">
        <v>1313</v>
      </c>
    </row>
    <row r="2964" spans="2:2" x14ac:dyDescent="0.25">
      <c r="B2964" s="53"/>
    </row>
    <row r="2965" spans="2:2" x14ac:dyDescent="0.25">
      <c r="B2965" s="51" t="s">
        <v>1314</v>
      </c>
    </row>
    <row r="2966" spans="2:2" x14ac:dyDescent="0.25">
      <c r="B2966" s="53"/>
    </row>
    <row r="2967" spans="2:2" x14ac:dyDescent="0.25">
      <c r="B2967" s="51" t="s">
        <v>1315</v>
      </c>
    </row>
    <row r="2968" spans="2:2" x14ac:dyDescent="0.25">
      <c r="B2968" s="53"/>
    </row>
    <row r="2969" spans="2:2" x14ac:dyDescent="0.25">
      <c r="B2969" s="51" t="s">
        <v>1316</v>
      </c>
    </row>
    <row r="2970" spans="2:2" x14ac:dyDescent="0.25">
      <c r="B2970" s="53"/>
    </row>
    <row r="2971" spans="2:2" x14ac:dyDescent="0.25">
      <c r="B2971" s="51" t="s">
        <v>1317</v>
      </c>
    </row>
    <row r="2972" spans="2:2" x14ac:dyDescent="0.25">
      <c r="B2972" s="53"/>
    </row>
    <row r="2973" spans="2:2" x14ac:dyDescent="0.25">
      <c r="B2973" s="51" t="s">
        <v>1318</v>
      </c>
    </row>
    <row r="2974" spans="2:2" x14ac:dyDescent="0.25">
      <c r="B2974" s="53"/>
    </row>
    <row r="2975" spans="2:2" x14ac:dyDescent="0.25">
      <c r="B2975" s="51" t="s">
        <v>1319</v>
      </c>
    </row>
    <row r="2976" spans="2:2" x14ac:dyDescent="0.25">
      <c r="B2976" s="53"/>
    </row>
    <row r="2977" spans="2:2" x14ac:dyDescent="0.25">
      <c r="B2977" s="51" t="s">
        <v>1320</v>
      </c>
    </row>
    <row r="2978" spans="2:2" x14ac:dyDescent="0.25">
      <c r="B2978" s="53"/>
    </row>
    <row r="2979" spans="2:2" x14ac:dyDescent="0.25">
      <c r="B2979" s="51" t="s">
        <v>1321</v>
      </c>
    </row>
    <row r="2980" spans="2:2" x14ac:dyDescent="0.25">
      <c r="B2980" s="53"/>
    </row>
    <row r="2981" spans="2:2" x14ac:dyDescent="0.25">
      <c r="B2981" s="51" t="s">
        <v>1322</v>
      </c>
    </row>
    <row r="2982" spans="2:2" x14ac:dyDescent="0.25">
      <c r="B2982" s="53"/>
    </row>
    <row r="2983" spans="2:2" x14ac:dyDescent="0.25">
      <c r="B2983" s="51" t="s">
        <v>1323</v>
      </c>
    </row>
    <row r="2984" spans="2:2" x14ac:dyDescent="0.25">
      <c r="B2984" s="53"/>
    </row>
    <row r="2985" spans="2:2" x14ac:dyDescent="0.25">
      <c r="B2985" s="51" t="s">
        <v>1324</v>
      </c>
    </row>
    <row r="2986" spans="2:2" x14ac:dyDescent="0.25">
      <c r="B2986" s="53"/>
    </row>
    <row r="2987" spans="2:2" x14ac:dyDescent="0.25">
      <c r="B2987" s="51" t="s">
        <v>1325</v>
      </c>
    </row>
    <row r="2988" spans="2:2" x14ac:dyDescent="0.25">
      <c r="B2988" s="53"/>
    </row>
    <row r="2989" spans="2:2" x14ac:dyDescent="0.25">
      <c r="B2989" s="51" t="s">
        <v>1326</v>
      </c>
    </row>
    <row r="2990" spans="2:2" x14ac:dyDescent="0.25">
      <c r="B2990" s="53"/>
    </row>
    <row r="2991" spans="2:2" x14ac:dyDescent="0.25">
      <c r="B2991" s="51" t="s">
        <v>1327</v>
      </c>
    </row>
    <row r="2992" spans="2:2" x14ac:dyDescent="0.25">
      <c r="B2992" s="53"/>
    </row>
    <row r="2993" spans="2:2" x14ac:dyDescent="0.25">
      <c r="B2993" s="51" t="s">
        <v>1328</v>
      </c>
    </row>
    <row r="2994" spans="2:2" x14ac:dyDescent="0.25">
      <c r="B2994" s="53"/>
    </row>
    <row r="2995" spans="2:2" x14ac:dyDescent="0.25">
      <c r="B2995" s="51" t="s">
        <v>1329</v>
      </c>
    </row>
    <row r="2996" spans="2:2" x14ac:dyDescent="0.25">
      <c r="B2996" s="53"/>
    </row>
    <row r="2997" spans="2:2" x14ac:dyDescent="0.25">
      <c r="B2997" s="51" t="s">
        <v>1330</v>
      </c>
    </row>
    <row r="2998" spans="2:2" x14ac:dyDescent="0.25">
      <c r="B2998" s="53"/>
    </row>
    <row r="2999" spans="2:2" x14ac:dyDescent="0.25">
      <c r="B2999" s="51" t="s">
        <v>1331</v>
      </c>
    </row>
    <row r="3000" spans="2:2" x14ac:dyDescent="0.25">
      <c r="B3000" s="53"/>
    </row>
    <row r="3001" spans="2:2" x14ac:dyDescent="0.25">
      <c r="B3001" s="51" t="s">
        <v>1331</v>
      </c>
    </row>
    <row r="3002" spans="2:2" x14ac:dyDescent="0.25">
      <c r="B3002" s="53"/>
    </row>
    <row r="3003" spans="2:2" x14ac:dyDescent="0.25">
      <c r="B3003" s="51" t="s">
        <v>1332</v>
      </c>
    </row>
    <row r="3004" spans="2:2" x14ac:dyDescent="0.25">
      <c r="B3004" s="53"/>
    </row>
    <row r="3005" spans="2:2" x14ac:dyDescent="0.25">
      <c r="B3005" s="51" t="s">
        <v>1333</v>
      </c>
    </row>
    <row r="3006" spans="2:2" x14ac:dyDescent="0.25">
      <c r="B3006" s="53"/>
    </row>
    <row r="3007" spans="2:2" x14ac:dyDescent="0.25">
      <c r="B3007" s="51" t="s">
        <v>1334</v>
      </c>
    </row>
    <row r="3008" spans="2:2" x14ac:dyDescent="0.25">
      <c r="B3008" s="53"/>
    </row>
    <row r="3009" spans="2:2" x14ac:dyDescent="0.25">
      <c r="B3009" s="51" t="s">
        <v>1335</v>
      </c>
    </row>
    <row r="3010" spans="2:2" x14ac:dyDescent="0.25">
      <c r="B3010" s="53"/>
    </row>
    <row r="3011" spans="2:2" x14ac:dyDescent="0.25">
      <c r="B3011" s="51" t="s">
        <v>1336</v>
      </c>
    </row>
    <row r="3012" spans="2:2" x14ac:dyDescent="0.25">
      <c r="B3012" s="53"/>
    </row>
    <row r="3013" spans="2:2" x14ac:dyDescent="0.25">
      <c r="B3013" s="51" t="s">
        <v>1337</v>
      </c>
    </row>
    <row r="3014" spans="2:2" x14ac:dyDescent="0.25">
      <c r="B3014" s="53"/>
    </row>
    <row r="3015" spans="2:2" x14ac:dyDescent="0.25">
      <c r="B3015" s="51" t="s">
        <v>1338</v>
      </c>
    </row>
    <row r="3016" spans="2:2" x14ac:dyDescent="0.25">
      <c r="B3016" s="53"/>
    </row>
    <row r="3017" spans="2:2" x14ac:dyDescent="0.25">
      <c r="B3017" s="51" t="s">
        <v>1339</v>
      </c>
    </row>
    <row r="3018" spans="2:2" x14ac:dyDescent="0.25">
      <c r="B3018" s="53"/>
    </row>
    <row r="3019" spans="2:2" x14ac:dyDescent="0.25">
      <c r="B3019" s="51" t="s">
        <v>1340</v>
      </c>
    </row>
    <row r="3020" spans="2:2" x14ac:dyDescent="0.25">
      <c r="B3020" s="53"/>
    </row>
    <row r="3021" spans="2:2" x14ac:dyDescent="0.25">
      <c r="B3021" s="51" t="s">
        <v>1341</v>
      </c>
    </row>
    <row r="3022" spans="2:2" x14ac:dyDescent="0.25">
      <c r="B3022" s="53"/>
    </row>
    <row r="3023" spans="2:2" x14ac:dyDescent="0.25">
      <c r="B3023" s="51" t="s">
        <v>1342</v>
      </c>
    </row>
    <row r="3024" spans="2:2" x14ac:dyDescent="0.25">
      <c r="B3024" s="53"/>
    </row>
    <row r="3025" spans="2:2" x14ac:dyDescent="0.25">
      <c r="B3025" s="51" t="s">
        <v>1343</v>
      </c>
    </row>
    <row r="3026" spans="2:2" x14ac:dyDescent="0.25">
      <c r="B3026" s="53"/>
    </row>
    <row r="3027" spans="2:2" x14ac:dyDescent="0.25">
      <c r="B3027" s="51" t="s">
        <v>1344</v>
      </c>
    </row>
    <row r="3028" spans="2:2" x14ac:dyDescent="0.25">
      <c r="B3028" s="53"/>
    </row>
    <row r="3029" spans="2:2" x14ac:dyDescent="0.25">
      <c r="B3029" s="51" t="s">
        <v>1345</v>
      </c>
    </row>
    <row r="3030" spans="2:2" x14ac:dyDescent="0.25">
      <c r="B3030" s="53"/>
    </row>
    <row r="3031" spans="2:2" x14ac:dyDescent="0.25">
      <c r="B3031" s="51" t="s">
        <v>1346</v>
      </c>
    </row>
    <row r="3032" spans="2:2" x14ac:dyDescent="0.25">
      <c r="B3032" s="53"/>
    </row>
    <row r="3033" spans="2:2" x14ac:dyDescent="0.25">
      <c r="B3033" s="51" t="s">
        <v>1347</v>
      </c>
    </row>
    <row r="3034" spans="2:2" x14ac:dyDescent="0.25">
      <c r="B3034" s="53"/>
    </row>
    <row r="3035" spans="2:2" x14ac:dyDescent="0.25">
      <c r="B3035" s="51" t="s">
        <v>1348</v>
      </c>
    </row>
    <row r="3036" spans="2:2" x14ac:dyDescent="0.25">
      <c r="B3036" s="53"/>
    </row>
    <row r="3037" spans="2:2" x14ac:dyDescent="0.25">
      <c r="B3037" s="51" t="s">
        <v>1349</v>
      </c>
    </row>
    <row r="3038" spans="2:2" x14ac:dyDescent="0.25">
      <c r="B3038" s="53"/>
    </row>
    <row r="3039" spans="2:2" x14ac:dyDescent="0.25">
      <c r="B3039" s="51" t="s">
        <v>384</v>
      </c>
    </row>
    <row r="3040" spans="2:2" x14ac:dyDescent="0.25">
      <c r="B3040" s="53"/>
    </row>
    <row r="3041" spans="2:2" x14ac:dyDescent="0.25">
      <c r="B3041" s="51" t="s">
        <v>1350</v>
      </c>
    </row>
    <row r="3042" spans="2:2" x14ac:dyDescent="0.25">
      <c r="B3042" s="53"/>
    </row>
    <row r="3043" spans="2:2" x14ac:dyDescent="0.25">
      <c r="B3043" s="51" t="s">
        <v>1351</v>
      </c>
    </row>
    <row r="3044" spans="2:2" x14ac:dyDescent="0.25">
      <c r="B3044" s="53"/>
    </row>
    <row r="3045" spans="2:2" x14ac:dyDescent="0.25">
      <c r="B3045" s="51" t="s">
        <v>1352</v>
      </c>
    </row>
    <row r="3046" spans="2:2" x14ac:dyDescent="0.25">
      <c r="B3046" s="53"/>
    </row>
    <row r="3047" spans="2:2" x14ac:dyDescent="0.25">
      <c r="B3047" s="51" t="s">
        <v>1353</v>
      </c>
    </row>
    <row r="3048" spans="2:2" x14ac:dyDescent="0.25">
      <c r="B3048" s="53"/>
    </row>
    <row r="3049" spans="2:2" x14ac:dyDescent="0.25">
      <c r="B3049" s="51" t="s">
        <v>1354</v>
      </c>
    </row>
    <row r="3050" spans="2:2" x14ac:dyDescent="0.25">
      <c r="B3050" s="53"/>
    </row>
    <row r="3051" spans="2:2" x14ac:dyDescent="0.25">
      <c r="B3051" s="51" t="s">
        <v>1355</v>
      </c>
    </row>
    <row r="3052" spans="2:2" x14ac:dyDescent="0.25">
      <c r="B3052" s="53"/>
    </row>
    <row r="3053" spans="2:2" x14ac:dyDescent="0.25">
      <c r="B3053" s="51" t="s">
        <v>1356</v>
      </c>
    </row>
    <row r="3054" spans="2:2" x14ac:dyDescent="0.25">
      <c r="B3054" s="53"/>
    </row>
    <row r="3055" spans="2:2" x14ac:dyDescent="0.25">
      <c r="B3055" s="51" t="s">
        <v>1357</v>
      </c>
    </row>
    <row r="3056" spans="2:2" x14ac:dyDescent="0.25">
      <c r="B3056" s="53"/>
    </row>
    <row r="3057" spans="2:2" x14ac:dyDescent="0.25">
      <c r="B3057" s="51" t="s">
        <v>1358</v>
      </c>
    </row>
    <row r="3058" spans="2:2" x14ac:dyDescent="0.25">
      <c r="B3058" s="53"/>
    </row>
    <row r="3059" spans="2:2" x14ac:dyDescent="0.25">
      <c r="B3059" s="51" t="s">
        <v>1359</v>
      </c>
    </row>
    <row r="3060" spans="2:2" x14ac:dyDescent="0.25">
      <c r="B3060" s="53"/>
    </row>
    <row r="3061" spans="2:2" x14ac:dyDescent="0.25">
      <c r="B3061" s="51" t="s">
        <v>1360</v>
      </c>
    </row>
    <row r="3062" spans="2:2" x14ac:dyDescent="0.25">
      <c r="B3062" s="53"/>
    </row>
    <row r="3063" spans="2:2" x14ac:dyDescent="0.25">
      <c r="B3063" s="51" t="s">
        <v>1361</v>
      </c>
    </row>
    <row r="3064" spans="2:2" x14ac:dyDescent="0.25">
      <c r="B3064" s="53"/>
    </row>
    <row r="3065" spans="2:2" x14ac:dyDescent="0.25">
      <c r="B3065" s="51" t="s">
        <v>1362</v>
      </c>
    </row>
    <row r="3066" spans="2:2" x14ac:dyDescent="0.25">
      <c r="B3066" s="53"/>
    </row>
    <row r="3067" spans="2:2" x14ac:dyDescent="0.25">
      <c r="B3067" s="51" t="s">
        <v>1363</v>
      </c>
    </row>
    <row r="3068" spans="2:2" x14ac:dyDescent="0.25">
      <c r="B3068" s="53"/>
    </row>
    <row r="3069" spans="2:2" x14ac:dyDescent="0.25">
      <c r="B3069" s="51" t="s">
        <v>1364</v>
      </c>
    </row>
    <row r="3070" spans="2:2" x14ac:dyDescent="0.25">
      <c r="B3070" s="53"/>
    </row>
    <row r="3071" spans="2:2" x14ac:dyDescent="0.25">
      <c r="B3071" s="51" t="s">
        <v>1365</v>
      </c>
    </row>
    <row r="3072" spans="2:2" x14ac:dyDescent="0.25">
      <c r="B3072" s="53"/>
    </row>
    <row r="3073" spans="2:2" x14ac:dyDescent="0.25">
      <c r="B3073" s="51" t="s">
        <v>1366</v>
      </c>
    </row>
    <row r="3074" spans="2:2" x14ac:dyDescent="0.25">
      <c r="B3074" s="53"/>
    </row>
    <row r="3075" spans="2:2" x14ac:dyDescent="0.25">
      <c r="B3075" s="51" t="s">
        <v>1367</v>
      </c>
    </row>
    <row r="3076" spans="2:2" x14ac:dyDescent="0.25">
      <c r="B3076" s="53"/>
    </row>
    <row r="3077" spans="2:2" x14ac:dyDescent="0.25">
      <c r="B3077" s="51" t="s">
        <v>1368</v>
      </c>
    </row>
    <row r="3078" spans="2:2" x14ac:dyDescent="0.25">
      <c r="B3078" s="53"/>
    </row>
    <row r="3079" spans="2:2" x14ac:dyDescent="0.25">
      <c r="B3079" s="51" t="s">
        <v>1369</v>
      </c>
    </row>
    <row r="3080" spans="2:2" x14ac:dyDescent="0.25">
      <c r="B3080" s="53"/>
    </row>
    <row r="3081" spans="2:2" x14ac:dyDescent="0.25">
      <c r="B3081" s="51" t="s">
        <v>1370</v>
      </c>
    </row>
    <row r="3082" spans="2:2" x14ac:dyDescent="0.25">
      <c r="B3082" s="53"/>
    </row>
    <row r="3083" spans="2:2" x14ac:dyDescent="0.25">
      <c r="B3083" s="51" t="s">
        <v>1371</v>
      </c>
    </row>
    <row r="3084" spans="2:2" x14ac:dyDescent="0.25">
      <c r="B3084" s="53"/>
    </row>
    <row r="3085" spans="2:2" x14ac:dyDescent="0.25">
      <c r="B3085" s="51" t="s">
        <v>1372</v>
      </c>
    </row>
    <row r="3086" spans="2:2" x14ac:dyDescent="0.25">
      <c r="B3086" s="53"/>
    </row>
    <row r="3087" spans="2:2" x14ac:dyDescent="0.25">
      <c r="B3087" s="51" t="s">
        <v>1373</v>
      </c>
    </row>
    <row r="3088" spans="2:2" x14ac:dyDescent="0.25">
      <c r="B3088" s="53"/>
    </row>
    <row r="3089" spans="2:2" x14ac:dyDescent="0.25">
      <c r="B3089" s="51" t="s">
        <v>1374</v>
      </c>
    </row>
    <row r="3090" spans="2:2" x14ac:dyDescent="0.25">
      <c r="B3090" s="53"/>
    </row>
    <row r="3091" spans="2:2" x14ac:dyDescent="0.25">
      <c r="B3091" s="51" t="s">
        <v>1375</v>
      </c>
    </row>
    <row r="3092" spans="2:2" x14ac:dyDescent="0.25">
      <c r="B3092" s="53"/>
    </row>
    <row r="3093" spans="2:2" x14ac:dyDescent="0.25">
      <c r="B3093" s="51" t="s">
        <v>1376</v>
      </c>
    </row>
    <row r="3094" spans="2:2" x14ac:dyDescent="0.25">
      <c r="B3094" s="53"/>
    </row>
    <row r="3095" spans="2:2" x14ac:dyDescent="0.25">
      <c r="B3095" s="51" t="s">
        <v>1377</v>
      </c>
    </row>
    <row r="3096" spans="2:2" x14ac:dyDescent="0.25">
      <c r="B3096" s="53"/>
    </row>
    <row r="3097" spans="2:2" x14ac:dyDescent="0.25">
      <c r="B3097" s="51" t="s">
        <v>1378</v>
      </c>
    </row>
    <row r="3098" spans="2:2" x14ac:dyDescent="0.25">
      <c r="B3098" s="53"/>
    </row>
    <row r="3099" spans="2:2" x14ac:dyDescent="0.25">
      <c r="B3099" s="51" t="s">
        <v>1379</v>
      </c>
    </row>
    <row r="3100" spans="2:2" x14ac:dyDescent="0.25">
      <c r="B3100" s="53"/>
    </row>
    <row r="3101" spans="2:2" x14ac:dyDescent="0.25">
      <c r="B3101" s="51" t="s">
        <v>1380</v>
      </c>
    </row>
    <row r="3102" spans="2:2" x14ac:dyDescent="0.25">
      <c r="B3102" s="53"/>
    </row>
    <row r="3103" spans="2:2" x14ac:dyDescent="0.25">
      <c r="B3103" s="51" t="s">
        <v>1381</v>
      </c>
    </row>
    <row r="3104" spans="2:2" x14ac:dyDescent="0.25">
      <c r="B3104" s="53"/>
    </row>
    <row r="3105" spans="2:2" x14ac:dyDescent="0.25">
      <c r="B3105" s="51" t="s">
        <v>1382</v>
      </c>
    </row>
    <row r="3106" spans="2:2" x14ac:dyDescent="0.25">
      <c r="B3106" s="53"/>
    </row>
    <row r="3107" spans="2:2" x14ac:dyDescent="0.25">
      <c r="B3107" s="51" t="s">
        <v>1383</v>
      </c>
    </row>
    <row r="3108" spans="2:2" x14ac:dyDescent="0.25">
      <c r="B3108" s="53"/>
    </row>
    <row r="3109" spans="2:2" x14ac:dyDescent="0.25">
      <c r="B3109" s="51" t="s">
        <v>1384</v>
      </c>
    </row>
    <row r="3110" spans="2:2" x14ac:dyDescent="0.25">
      <c r="B3110" s="53"/>
    </row>
    <row r="3111" spans="2:2" x14ac:dyDescent="0.25">
      <c r="B3111" s="51" t="s">
        <v>1385</v>
      </c>
    </row>
    <row r="3112" spans="2:2" x14ac:dyDescent="0.25">
      <c r="B3112" s="53"/>
    </row>
    <row r="3113" spans="2:2" x14ac:dyDescent="0.25">
      <c r="B3113" s="51" t="s">
        <v>1386</v>
      </c>
    </row>
    <row r="3114" spans="2:2" x14ac:dyDescent="0.25">
      <c r="B3114" s="53"/>
    </row>
    <row r="3115" spans="2:2" x14ac:dyDescent="0.25">
      <c r="B3115" s="51" t="s">
        <v>1387</v>
      </c>
    </row>
    <row r="3116" spans="2:2" x14ac:dyDescent="0.25">
      <c r="B3116" s="53"/>
    </row>
    <row r="3117" spans="2:2" x14ac:dyDescent="0.25">
      <c r="B3117" s="51" t="s">
        <v>1388</v>
      </c>
    </row>
    <row r="3118" spans="2:2" x14ac:dyDescent="0.25">
      <c r="B3118" s="53"/>
    </row>
    <row r="3119" spans="2:2" x14ac:dyDescent="0.25">
      <c r="B3119" s="51" t="s">
        <v>1389</v>
      </c>
    </row>
    <row r="3120" spans="2:2" x14ac:dyDescent="0.25">
      <c r="B3120" s="53"/>
    </row>
    <row r="3121" spans="2:2" x14ac:dyDescent="0.25">
      <c r="B3121" s="51" t="s">
        <v>1390</v>
      </c>
    </row>
    <row r="3122" spans="2:2" x14ac:dyDescent="0.25">
      <c r="B3122" s="53"/>
    </row>
    <row r="3123" spans="2:2" x14ac:dyDescent="0.25">
      <c r="B3123" s="51" t="s">
        <v>1391</v>
      </c>
    </row>
    <row r="3124" spans="2:2" x14ac:dyDescent="0.25">
      <c r="B3124" s="53"/>
    </row>
    <row r="3125" spans="2:2" x14ac:dyDescent="0.25">
      <c r="B3125" s="51" t="s">
        <v>1392</v>
      </c>
    </row>
    <row r="3126" spans="2:2" x14ac:dyDescent="0.25">
      <c r="B3126" s="53"/>
    </row>
    <row r="3127" spans="2:2" x14ac:dyDescent="0.25">
      <c r="B3127" s="51" t="s">
        <v>1393</v>
      </c>
    </row>
    <row r="3128" spans="2:2" x14ac:dyDescent="0.25">
      <c r="B3128" s="53"/>
    </row>
    <row r="3129" spans="2:2" x14ac:dyDescent="0.25">
      <c r="B3129" s="51" t="s">
        <v>1394</v>
      </c>
    </row>
    <row r="3130" spans="2:2" x14ac:dyDescent="0.25">
      <c r="B3130" s="53"/>
    </row>
    <row r="3131" spans="2:2" x14ac:dyDescent="0.25">
      <c r="B3131" s="51" t="s">
        <v>1395</v>
      </c>
    </row>
    <row r="3132" spans="2:2" x14ac:dyDescent="0.25">
      <c r="B3132" s="53"/>
    </row>
    <row r="3133" spans="2:2" x14ac:dyDescent="0.25">
      <c r="B3133" s="51" t="s">
        <v>1396</v>
      </c>
    </row>
    <row r="3134" spans="2:2" x14ac:dyDescent="0.25">
      <c r="B3134" s="53"/>
    </row>
    <row r="3135" spans="2:2" x14ac:dyDescent="0.25">
      <c r="B3135" s="51" t="s">
        <v>1397</v>
      </c>
    </row>
    <row r="3136" spans="2:2" x14ac:dyDescent="0.25">
      <c r="B3136" s="53"/>
    </row>
    <row r="3137" spans="2:2" x14ac:dyDescent="0.25">
      <c r="B3137" s="51" t="s">
        <v>1398</v>
      </c>
    </row>
    <row r="3138" spans="2:2" x14ac:dyDescent="0.25">
      <c r="B3138" s="53"/>
    </row>
    <row r="3139" spans="2:2" x14ac:dyDescent="0.25">
      <c r="B3139" s="51" t="s">
        <v>1399</v>
      </c>
    </row>
    <row r="3140" spans="2:2" x14ac:dyDescent="0.25">
      <c r="B3140" s="53"/>
    </row>
    <row r="3141" spans="2:2" x14ac:dyDescent="0.25">
      <c r="B3141" s="51" t="s">
        <v>1400</v>
      </c>
    </row>
    <row r="3142" spans="2:2" x14ac:dyDescent="0.25">
      <c r="B3142" s="53"/>
    </row>
    <row r="3143" spans="2:2" x14ac:dyDescent="0.25">
      <c r="B3143" s="51" t="s">
        <v>1401</v>
      </c>
    </row>
    <row r="3144" spans="2:2" x14ac:dyDescent="0.25">
      <c r="B3144" s="53"/>
    </row>
    <row r="3145" spans="2:2" x14ac:dyDescent="0.25">
      <c r="B3145" s="51" t="s">
        <v>1402</v>
      </c>
    </row>
    <row r="3146" spans="2:2" x14ac:dyDescent="0.25">
      <c r="B3146" s="53"/>
    </row>
    <row r="3147" spans="2:2" x14ac:dyDescent="0.25">
      <c r="B3147" s="51" t="s">
        <v>1403</v>
      </c>
    </row>
    <row r="3148" spans="2:2" x14ac:dyDescent="0.25">
      <c r="B3148" s="53"/>
    </row>
    <row r="3149" spans="2:2" x14ac:dyDescent="0.25">
      <c r="B3149" s="51" t="s">
        <v>1404</v>
      </c>
    </row>
    <row r="3150" spans="2:2" x14ac:dyDescent="0.25">
      <c r="B3150" s="53"/>
    </row>
    <row r="3151" spans="2:2" x14ac:dyDescent="0.25">
      <c r="B3151" s="51" t="s">
        <v>1405</v>
      </c>
    </row>
    <row r="3152" spans="2:2" x14ac:dyDescent="0.25">
      <c r="B3152" s="53"/>
    </row>
    <row r="3153" spans="2:2" x14ac:dyDescent="0.25">
      <c r="B3153" s="51" t="s">
        <v>1406</v>
      </c>
    </row>
    <row r="3154" spans="2:2" x14ac:dyDescent="0.25">
      <c r="B3154" s="53"/>
    </row>
    <row r="3155" spans="2:2" x14ac:dyDescent="0.25">
      <c r="B3155" s="51" t="s">
        <v>1407</v>
      </c>
    </row>
    <row r="3156" spans="2:2" x14ac:dyDescent="0.25">
      <c r="B3156" s="53"/>
    </row>
    <row r="3157" spans="2:2" x14ac:dyDescent="0.25">
      <c r="B3157" s="51" t="s">
        <v>1408</v>
      </c>
    </row>
    <row r="3158" spans="2:2" x14ac:dyDescent="0.25">
      <c r="B3158" s="53"/>
    </row>
    <row r="3159" spans="2:2" x14ac:dyDescent="0.25">
      <c r="B3159" s="51" t="s">
        <v>1409</v>
      </c>
    </row>
    <row r="3160" spans="2:2" x14ac:dyDescent="0.25">
      <c r="B3160" s="53"/>
    </row>
    <row r="3161" spans="2:2" x14ac:dyDescent="0.25">
      <c r="B3161" s="51" t="s">
        <v>1410</v>
      </c>
    </row>
    <row r="3162" spans="2:2" x14ac:dyDescent="0.25">
      <c r="B3162" s="53"/>
    </row>
    <row r="3163" spans="2:2" x14ac:dyDescent="0.25">
      <c r="B3163" s="51" t="s">
        <v>1411</v>
      </c>
    </row>
    <row r="3164" spans="2:2" x14ac:dyDescent="0.25">
      <c r="B3164" s="53"/>
    </row>
    <row r="3165" spans="2:2" x14ac:dyDescent="0.25">
      <c r="B3165" s="51" t="s">
        <v>1412</v>
      </c>
    </row>
    <row r="3166" spans="2:2" x14ac:dyDescent="0.25">
      <c r="B3166" s="53"/>
    </row>
    <row r="3167" spans="2:2" x14ac:dyDescent="0.25">
      <c r="B3167" s="51" t="s">
        <v>1413</v>
      </c>
    </row>
    <row r="3168" spans="2:2" x14ac:dyDescent="0.25">
      <c r="B3168" s="53"/>
    </row>
    <row r="3169" spans="2:2" x14ac:dyDescent="0.25">
      <c r="B3169" s="51" t="s">
        <v>1414</v>
      </c>
    </row>
    <row r="3170" spans="2:2" x14ac:dyDescent="0.25">
      <c r="B3170" s="53"/>
    </row>
    <row r="3171" spans="2:2" x14ac:dyDescent="0.25">
      <c r="B3171" s="51" t="s">
        <v>1415</v>
      </c>
    </row>
    <row r="3172" spans="2:2" x14ac:dyDescent="0.25">
      <c r="B3172" s="53"/>
    </row>
    <row r="3173" spans="2:2" x14ac:dyDescent="0.25">
      <c r="B3173" s="51" t="s">
        <v>1416</v>
      </c>
    </row>
    <row r="3174" spans="2:2" x14ac:dyDescent="0.25">
      <c r="B3174" s="53"/>
    </row>
    <row r="3175" spans="2:2" x14ac:dyDescent="0.25">
      <c r="B3175" s="51" t="s">
        <v>1417</v>
      </c>
    </row>
    <row r="3176" spans="2:2" x14ac:dyDescent="0.25">
      <c r="B3176" s="53"/>
    </row>
    <row r="3177" spans="2:2" x14ac:dyDescent="0.25">
      <c r="B3177" s="51" t="s">
        <v>1418</v>
      </c>
    </row>
    <row r="3178" spans="2:2" x14ac:dyDescent="0.25">
      <c r="B3178" s="53"/>
    </row>
    <row r="3179" spans="2:2" x14ac:dyDescent="0.25">
      <c r="B3179" s="51" t="s">
        <v>1419</v>
      </c>
    </row>
    <row r="3180" spans="2:2" x14ac:dyDescent="0.25">
      <c r="B3180" s="53"/>
    </row>
    <row r="3181" spans="2:2" x14ac:dyDescent="0.25">
      <c r="B3181" s="51" t="s">
        <v>1420</v>
      </c>
    </row>
    <row r="3182" spans="2:2" x14ac:dyDescent="0.25">
      <c r="B3182" s="53"/>
    </row>
    <row r="3183" spans="2:2" x14ac:dyDescent="0.25">
      <c r="B3183" s="51" t="s">
        <v>1421</v>
      </c>
    </row>
    <row r="3184" spans="2:2" x14ac:dyDescent="0.25">
      <c r="B3184" s="53"/>
    </row>
    <row r="3185" spans="2:2" x14ac:dyDescent="0.25">
      <c r="B3185" s="51" t="s">
        <v>1422</v>
      </c>
    </row>
    <row r="3186" spans="2:2" x14ac:dyDescent="0.25">
      <c r="B3186" s="53"/>
    </row>
    <row r="3187" spans="2:2" x14ac:dyDescent="0.25">
      <c r="B3187" s="51" t="s">
        <v>1423</v>
      </c>
    </row>
    <row r="3188" spans="2:2" x14ac:dyDescent="0.25">
      <c r="B3188" s="53"/>
    </row>
    <row r="3189" spans="2:2" x14ac:dyDescent="0.25">
      <c r="B3189" s="51" t="s">
        <v>1424</v>
      </c>
    </row>
    <row r="3190" spans="2:2" x14ac:dyDescent="0.25">
      <c r="B3190" s="53"/>
    </row>
    <row r="3191" spans="2:2" x14ac:dyDescent="0.25">
      <c r="B3191" s="51" t="s">
        <v>1425</v>
      </c>
    </row>
    <row r="3192" spans="2:2" x14ac:dyDescent="0.25">
      <c r="B3192" s="53"/>
    </row>
    <row r="3193" spans="2:2" x14ac:dyDescent="0.25">
      <c r="B3193" s="51" t="s">
        <v>1426</v>
      </c>
    </row>
    <row r="3194" spans="2:2" x14ac:dyDescent="0.25">
      <c r="B3194" s="53"/>
    </row>
    <row r="3195" spans="2:2" x14ac:dyDescent="0.25">
      <c r="B3195" s="51" t="s">
        <v>1427</v>
      </c>
    </row>
    <row r="3196" spans="2:2" x14ac:dyDescent="0.25">
      <c r="B3196" s="53"/>
    </row>
    <row r="3197" spans="2:2" x14ac:dyDescent="0.25">
      <c r="B3197" s="51" t="s">
        <v>1428</v>
      </c>
    </row>
    <row r="3198" spans="2:2" x14ac:dyDescent="0.25">
      <c r="B3198" s="53"/>
    </row>
    <row r="3199" spans="2:2" x14ac:dyDescent="0.25">
      <c r="B3199" s="51" t="s">
        <v>1429</v>
      </c>
    </row>
    <row r="3200" spans="2:2" x14ac:dyDescent="0.25">
      <c r="B3200" s="53"/>
    </row>
    <row r="3201" spans="2:2" x14ac:dyDescent="0.25">
      <c r="B3201" s="51" t="s">
        <v>1430</v>
      </c>
    </row>
    <row r="3202" spans="2:2" x14ac:dyDescent="0.25">
      <c r="B3202" s="53"/>
    </row>
    <row r="3203" spans="2:2" x14ac:dyDescent="0.25">
      <c r="B3203" s="51" t="s">
        <v>1431</v>
      </c>
    </row>
    <row r="3204" spans="2:2" x14ac:dyDescent="0.25">
      <c r="B3204" s="53"/>
    </row>
    <row r="3205" spans="2:2" x14ac:dyDescent="0.25">
      <c r="B3205" s="51" t="s">
        <v>1432</v>
      </c>
    </row>
    <row r="3206" spans="2:2" x14ac:dyDescent="0.25">
      <c r="B3206" s="53"/>
    </row>
    <row r="3207" spans="2:2" x14ac:dyDescent="0.25">
      <c r="B3207" s="51" t="s">
        <v>1433</v>
      </c>
    </row>
    <row r="3208" spans="2:2" x14ac:dyDescent="0.25">
      <c r="B3208" s="53"/>
    </row>
    <row r="3209" spans="2:2" x14ac:dyDescent="0.25">
      <c r="B3209" s="51" t="s">
        <v>1434</v>
      </c>
    </row>
    <row r="3210" spans="2:2" x14ac:dyDescent="0.25">
      <c r="B3210" s="53"/>
    </row>
    <row r="3211" spans="2:2" x14ac:dyDescent="0.25">
      <c r="B3211" s="51" t="s">
        <v>1435</v>
      </c>
    </row>
    <row r="3212" spans="2:2" x14ac:dyDescent="0.25">
      <c r="B3212" s="53"/>
    </row>
    <row r="3213" spans="2:2" x14ac:dyDescent="0.25">
      <c r="B3213" s="51" t="s">
        <v>1436</v>
      </c>
    </row>
    <row r="3214" spans="2:2" x14ac:dyDescent="0.25">
      <c r="B3214" s="53"/>
    </row>
    <row r="3215" spans="2:2" x14ac:dyDescent="0.25">
      <c r="B3215" s="51" t="s">
        <v>1437</v>
      </c>
    </row>
    <row r="3216" spans="2:2" x14ac:dyDescent="0.25">
      <c r="B3216" s="53"/>
    </row>
    <row r="3217" spans="2:2" x14ac:dyDescent="0.25">
      <c r="B3217" s="51" t="s">
        <v>1438</v>
      </c>
    </row>
    <row r="3218" spans="2:2" x14ac:dyDescent="0.25">
      <c r="B3218" s="53"/>
    </row>
    <row r="3219" spans="2:2" x14ac:dyDescent="0.25">
      <c r="B3219" s="51" t="s">
        <v>1439</v>
      </c>
    </row>
    <row r="3220" spans="2:2" x14ac:dyDescent="0.25">
      <c r="B3220" s="53"/>
    </row>
    <row r="3221" spans="2:2" x14ac:dyDescent="0.25">
      <c r="B3221" s="51" t="s">
        <v>1440</v>
      </c>
    </row>
    <row r="3222" spans="2:2" x14ac:dyDescent="0.25">
      <c r="B3222" s="53"/>
    </row>
    <row r="3223" spans="2:2" x14ac:dyDescent="0.25">
      <c r="B3223" s="51" t="s">
        <v>1441</v>
      </c>
    </row>
    <row r="3224" spans="2:2" x14ac:dyDescent="0.25">
      <c r="B3224" s="53"/>
    </row>
    <row r="3225" spans="2:2" x14ac:dyDescent="0.25">
      <c r="B3225" s="51" t="s">
        <v>1442</v>
      </c>
    </row>
    <row r="3226" spans="2:2" x14ac:dyDescent="0.25">
      <c r="B3226" s="53"/>
    </row>
    <row r="3227" spans="2:2" x14ac:dyDescent="0.25">
      <c r="B3227" s="51" t="s">
        <v>1443</v>
      </c>
    </row>
    <row r="3228" spans="2:2" x14ac:dyDescent="0.25">
      <c r="B3228" s="53"/>
    </row>
    <row r="3229" spans="2:2" x14ac:dyDescent="0.25">
      <c r="B3229" s="51" t="s">
        <v>1444</v>
      </c>
    </row>
    <row r="3230" spans="2:2" x14ac:dyDescent="0.25">
      <c r="B3230" s="53"/>
    </row>
    <row r="3231" spans="2:2" x14ac:dyDescent="0.25">
      <c r="B3231" s="51" t="s">
        <v>1445</v>
      </c>
    </row>
    <row r="3232" spans="2:2" x14ac:dyDescent="0.25">
      <c r="B3232" s="53"/>
    </row>
    <row r="3233" spans="2:2" x14ac:dyDescent="0.25">
      <c r="B3233" s="51" t="s">
        <v>1446</v>
      </c>
    </row>
    <row r="3234" spans="2:2" x14ac:dyDescent="0.25">
      <c r="B3234" s="53"/>
    </row>
    <row r="3235" spans="2:2" x14ac:dyDescent="0.25">
      <c r="B3235" s="51" t="s">
        <v>1447</v>
      </c>
    </row>
    <row r="3236" spans="2:2" x14ac:dyDescent="0.25">
      <c r="B3236" s="53"/>
    </row>
    <row r="3237" spans="2:2" x14ac:dyDescent="0.25">
      <c r="B3237" s="51" t="s">
        <v>1448</v>
      </c>
    </row>
    <row r="3238" spans="2:2" x14ac:dyDescent="0.25">
      <c r="B3238" s="53"/>
    </row>
    <row r="3239" spans="2:2" x14ac:dyDescent="0.25">
      <c r="B3239" s="51" t="s">
        <v>1449</v>
      </c>
    </row>
    <row r="3240" spans="2:2" x14ac:dyDescent="0.25">
      <c r="B3240" s="53"/>
    </row>
    <row r="3241" spans="2:2" x14ac:dyDescent="0.25">
      <c r="B3241" s="51" t="s">
        <v>1450</v>
      </c>
    </row>
    <row r="3242" spans="2:2" x14ac:dyDescent="0.25">
      <c r="B3242" s="53"/>
    </row>
    <row r="3243" spans="2:2" x14ac:dyDescent="0.25">
      <c r="B3243" s="51" t="s">
        <v>1451</v>
      </c>
    </row>
    <row r="3244" spans="2:2" x14ac:dyDescent="0.25">
      <c r="B3244" s="53"/>
    </row>
    <row r="3245" spans="2:2" x14ac:dyDescent="0.25">
      <c r="B3245" s="51" t="s">
        <v>1452</v>
      </c>
    </row>
    <row r="3246" spans="2:2" x14ac:dyDescent="0.25">
      <c r="B3246" s="53"/>
    </row>
    <row r="3247" spans="2:2" x14ac:dyDescent="0.25">
      <c r="B3247" s="51" t="s">
        <v>1453</v>
      </c>
    </row>
    <row r="3248" spans="2:2" x14ac:dyDescent="0.25">
      <c r="B3248" s="53"/>
    </row>
    <row r="3249" spans="2:2" x14ac:dyDescent="0.25">
      <c r="B3249" s="51" t="s">
        <v>1454</v>
      </c>
    </row>
    <row r="3250" spans="2:2" x14ac:dyDescent="0.25">
      <c r="B3250" s="53"/>
    </row>
    <row r="3251" spans="2:2" x14ac:dyDescent="0.25">
      <c r="B3251" s="51" t="s">
        <v>1455</v>
      </c>
    </row>
    <row r="3252" spans="2:2" x14ac:dyDescent="0.25">
      <c r="B3252" s="53"/>
    </row>
    <row r="3253" spans="2:2" x14ac:dyDescent="0.25">
      <c r="B3253" s="51" t="s">
        <v>1456</v>
      </c>
    </row>
    <row r="3254" spans="2:2" x14ac:dyDescent="0.25">
      <c r="B3254" s="53"/>
    </row>
    <row r="3255" spans="2:2" x14ac:dyDescent="0.25">
      <c r="B3255" s="51" t="s">
        <v>1457</v>
      </c>
    </row>
    <row r="3256" spans="2:2" x14ac:dyDescent="0.25">
      <c r="B3256" s="53"/>
    </row>
    <row r="3257" spans="2:2" x14ac:dyDescent="0.25">
      <c r="B3257" s="51" t="s">
        <v>1458</v>
      </c>
    </row>
    <row r="3258" spans="2:2" x14ac:dyDescent="0.25">
      <c r="B3258" s="53"/>
    </row>
    <row r="3259" spans="2:2" x14ac:dyDescent="0.25">
      <c r="B3259" s="51" t="s">
        <v>1459</v>
      </c>
    </row>
    <row r="3260" spans="2:2" x14ac:dyDescent="0.25">
      <c r="B3260" s="53"/>
    </row>
    <row r="3261" spans="2:2" x14ac:dyDescent="0.25">
      <c r="B3261" s="51" t="s">
        <v>1460</v>
      </c>
    </row>
    <row r="3262" spans="2:2" x14ac:dyDescent="0.25">
      <c r="B3262" s="53"/>
    </row>
    <row r="3263" spans="2:2" x14ac:dyDescent="0.25">
      <c r="B3263" s="51" t="s">
        <v>1461</v>
      </c>
    </row>
    <row r="3264" spans="2:2" x14ac:dyDescent="0.25">
      <c r="B3264" s="53"/>
    </row>
    <row r="3265" spans="2:2" x14ac:dyDescent="0.25">
      <c r="B3265" s="51" t="s">
        <v>1462</v>
      </c>
    </row>
    <row r="3266" spans="2:2" x14ac:dyDescent="0.25">
      <c r="B3266" s="53"/>
    </row>
    <row r="3267" spans="2:2" x14ac:dyDescent="0.25">
      <c r="B3267" s="51" t="s">
        <v>1463</v>
      </c>
    </row>
    <row r="3268" spans="2:2" x14ac:dyDescent="0.25">
      <c r="B3268" s="53"/>
    </row>
    <row r="3269" spans="2:2" x14ac:dyDescent="0.25">
      <c r="B3269" s="51" t="s">
        <v>1464</v>
      </c>
    </row>
    <row r="3270" spans="2:2" x14ac:dyDescent="0.25">
      <c r="B3270" s="53"/>
    </row>
    <row r="3271" spans="2:2" x14ac:dyDescent="0.25">
      <c r="B3271" s="51" t="s">
        <v>1465</v>
      </c>
    </row>
    <row r="3272" spans="2:2" x14ac:dyDescent="0.25">
      <c r="B3272" s="53"/>
    </row>
    <row r="3273" spans="2:2" x14ac:dyDescent="0.25">
      <c r="B3273" s="51" t="s">
        <v>1466</v>
      </c>
    </row>
    <row r="3274" spans="2:2" x14ac:dyDescent="0.25">
      <c r="B3274" s="53"/>
    </row>
    <row r="3275" spans="2:2" x14ac:dyDescent="0.25">
      <c r="B3275" s="51" t="s">
        <v>1467</v>
      </c>
    </row>
    <row r="3276" spans="2:2" x14ac:dyDescent="0.25">
      <c r="B3276" s="53"/>
    </row>
    <row r="3277" spans="2:2" x14ac:dyDescent="0.25">
      <c r="B3277" s="51" t="s">
        <v>1468</v>
      </c>
    </row>
    <row r="3278" spans="2:2" x14ac:dyDescent="0.25">
      <c r="B3278" s="53"/>
    </row>
    <row r="3279" spans="2:2" x14ac:dyDescent="0.25">
      <c r="B3279" s="51" t="s">
        <v>1469</v>
      </c>
    </row>
    <row r="3280" spans="2:2" x14ac:dyDescent="0.25">
      <c r="B3280" s="53"/>
    </row>
    <row r="3281" spans="2:2" x14ac:dyDescent="0.25">
      <c r="B3281" s="51" t="s">
        <v>1470</v>
      </c>
    </row>
    <row r="3282" spans="2:2" x14ac:dyDescent="0.25">
      <c r="B3282" s="53"/>
    </row>
    <row r="3283" spans="2:2" x14ac:dyDescent="0.25">
      <c r="B3283" s="51" t="s">
        <v>1471</v>
      </c>
    </row>
    <row r="3284" spans="2:2" x14ac:dyDescent="0.25">
      <c r="B3284" s="53"/>
    </row>
    <row r="3285" spans="2:2" x14ac:dyDescent="0.25">
      <c r="B3285" s="51" t="s">
        <v>1472</v>
      </c>
    </row>
    <row r="3286" spans="2:2" x14ac:dyDescent="0.25">
      <c r="B3286" s="53"/>
    </row>
    <row r="3287" spans="2:2" x14ac:dyDescent="0.25">
      <c r="B3287" s="51" t="s">
        <v>1473</v>
      </c>
    </row>
    <row r="3288" spans="2:2" x14ac:dyDescent="0.25">
      <c r="B3288" s="53"/>
    </row>
    <row r="3289" spans="2:2" x14ac:dyDescent="0.25">
      <c r="B3289" s="51" t="s">
        <v>1474</v>
      </c>
    </row>
    <row r="3290" spans="2:2" x14ac:dyDescent="0.25">
      <c r="B3290" s="53"/>
    </row>
    <row r="3291" spans="2:2" x14ac:dyDescent="0.25">
      <c r="B3291" s="51" t="s">
        <v>1475</v>
      </c>
    </row>
    <row r="3292" spans="2:2" x14ac:dyDescent="0.25">
      <c r="B3292" s="53"/>
    </row>
    <row r="3293" spans="2:2" x14ac:dyDescent="0.25">
      <c r="B3293" s="51" t="s">
        <v>1476</v>
      </c>
    </row>
    <row r="3294" spans="2:2" x14ac:dyDescent="0.25">
      <c r="B3294" s="53"/>
    </row>
    <row r="3295" spans="2:2" x14ac:dyDescent="0.25">
      <c r="B3295" s="51" t="s">
        <v>1477</v>
      </c>
    </row>
    <row r="3296" spans="2:2" x14ac:dyDescent="0.25">
      <c r="B3296" s="53"/>
    </row>
    <row r="3297" spans="2:2" x14ac:dyDescent="0.25">
      <c r="B3297" s="51" t="s">
        <v>1478</v>
      </c>
    </row>
    <row r="3298" spans="2:2" x14ac:dyDescent="0.25">
      <c r="B3298" s="53"/>
    </row>
    <row r="3299" spans="2:2" x14ac:dyDescent="0.25">
      <c r="B3299" s="51" t="s">
        <v>1479</v>
      </c>
    </row>
    <row r="3300" spans="2:2" x14ac:dyDescent="0.25">
      <c r="B3300" s="53"/>
    </row>
    <row r="3301" spans="2:2" x14ac:dyDescent="0.25">
      <c r="B3301" s="51" t="s">
        <v>1480</v>
      </c>
    </row>
    <row r="3302" spans="2:2" x14ac:dyDescent="0.25">
      <c r="B3302" s="53"/>
    </row>
    <row r="3303" spans="2:2" x14ac:dyDescent="0.25">
      <c r="B3303" s="51" t="s">
        <v>1481</v>
      </c>
    </row>
    <row r="3304" spans="2:2" x14ac:dyDescent="0.25">
      <c r="B3304" s="53"/>
    </row>
    <row r="3305" spans="2:2" x14ac:dyDescent="0.25">
      <c r="B3305" s="51" t="s">
        <v>1482</v>
      </c>
    </row>
    <row r="3306" spans="2:2" x14ac:dyDescent="0.25">
      <c r="B3306" s="53"/>
    </row>
    <row r="3307" spans="2:2" x14ac:dyDescent="0.25">
      <c r="B3307" s="51" t="s">
        <v>1483</v>
      </c>
    </row>
    <row r="3308" spans="2:2" x14ac:dyDescent="0.25">
      <c r="B3308" s="53"/>
    </row>
    <row r="3309" spans="2:2" x14ac:dyDescent="0.25">
      <c r="B3309" s="51" t="s">
        <v>1484</v>
      </c>
    </row>
    <row r="3310" spans="2:2" x14ac:dyDescent="0.25">
      <c r="B3310" s="53"/>
    </row>
    <row r="3311" spans="2:2" x14ac:dyDescent="0.25">
      <c r="B3311" s="51" t="s">
        <v>1485</v>
      </c>
    </row>
    <row r="3312" spans="2:2" x14ac:dyDescent="0.25">
      <c r="B3312" s="53"/>
    </row>
    <row r="3313" spans="2:2" x14ac:dyDescent="0.25">
      <c r="B3313" s="51" t="s">
        <v>1486</v>
      </c>
    </row>
    <row r="3314" spans="2:2" x14ac:dyDescent="0.25">
      <c r="B3314" s="53"/>
    </row>
    <row r="3315" spans="2:2" x14ac:dyDescent="0.25">
      <c r="B3315" s="51" t="s">
        <v>1487</v>
      </c>
    </row>
    <row r="3316" spans="2:2" x14ac:dyDescent="0.25">
      <c r="B3316" s="53"/>
    </row>
    <row r="3317" spans="2:2" x14ac:dyDescent="0.25">
      <c r="B3317" s="51" t="s">
        <v>1488</v>
      </c>
    </row>
    <row r="3318" spans="2:2" x14ac:dyDescent="0.25">
      <c r="B3318" s="53"/>
    </row>
    <row r="3319" spans="2:2" x14ac:dyDescent="0.25">
      <c r="B3319" s="51" t="s">
        <v>1489</v>
      </c>
    </row>
    <row r="3320" spans="2:2" x14ac:dyDescent="0.25">
      <c r="B3320" s="53"/>
    </row>
    <row r="3321" spans="2:2" x14ac:dyDescent="0.25">
      <c r="B3321" s="51" t="s">
        <v>1490</v>
      </c>
    </row>
    <row r="3322" spans="2:2" x14ac:dyDescent="0.25">
      <c r="B3322" s="53"/>
    </row>
    <row r="3323" spans="2:2" x14ac:dyDescent="0.25">
      <c r="B3323" s="51" t="s">
        <v>1491</v>
      </c>
    </row>
    <row r="3324" spans="2:2" x14ac:dyDescent="0.25">
      <c r="B3324" s="53"/>
    </row>
    <row r="3325" spans="2:2" x14ac:dyDescent="0.25">
      <c r="B3325" s="51" t="s">
        <v>1492</v>
      </c>
    </row>
    <row r="3326" spans="2:2" x14ac:dyDescent="0.25">
      <c r="B3326" s="53"/>
    </row>
    <row r="3327" spans="2:2" x14ac:dyDescent="0.25">
      <c r="B3327" s="51" t="s">
        <v>1493</v>
      </c>
    </row>
    <row r="3328" spans="2:2" x14ac:dyDescent="0.25">
      <c r="B3328" s="53"/>
    </row>
    <row r="3329" spans="2:2" x14ac:dyDescent="0.25">
      <c r="B3329" s="51" t="s">
        <v>1494</v>
      </c>
    </row>
    <row r="3330" spans="2:2" x14ac:dyDescent="0.25">
      <c r="B3330" s="53"/>
    </row>
    <row r="3331" spans="2:2" x14ac:dyDescent="0.25">
      <c r="B3331" s="51" t="s">
        <v>1495</v>
      </c>
    </row>
    <row r="3332" spans="2:2" x14ac:dyDescent="0.25">
      <c r="B3332" s="53"/>
    </row>
    <row r="3333" spans="2:2" x14ac:dyDescent="0.25">
      <c r="B3333" s="51" t="s">
        <v>1496</v>
      </c>
    </row>
    <row r="3334" spans="2:2" x14ac:dyDescent="0.25">
      <c r="B3334" s="53"/>
    </row>
    <row r="3335" spans="2:2" x14ac:dyDescent="0.25">
      <c r="B3335" s="51" t="s">
        <v>1497</v>
      </c>
    </row>
    <row r="3336" spans="2:2" x14ac:dyDescent="0.25">
      <c r="B3336" s="53"/>
    </row>
    <row r="3337" spans="2:2" x14ac:dyDescent="0.25">
      <c r="B3337" s="51" t="s">
        <v>1498</v>
      </c>
    </row>
    <row r="3338" spans="2:2" x14ac:dyDescent="0.25">
      <c r="B3338" s="53"/>
    </row>
    <row r="3339" spans="2:2" x14ac:dyDescent="0.25">
      <c r="B3339" s="51" t="s">
        <v>1499</v>
      </c>
    </row>
    <row r="3340" spans="2:2" x14ac:dyDescent="0.25">
      <c r="B3340" s="53"/>
    </row>
    <row r="3341" spans="2:2" x14ac:dyDescent="0.25">
      <c r="B3341" s="51" t="s">
        <v>1500</v>
      </c>
    </row>
    <row r="3342" spans="2:2" x14ac:dyDescent="0.25">
      <c r="B3342" s="53"/>
    </row>
    <row r="3343" spans="2:2" x14ac:dyDescent="0.25">
      <c r="B3343" s="51" t="s">
        <v>1501</v>
      </c>
    </row>
    <row r="3344" spans="2:2" x14ac:dyDescent="0.25">
      <c r="B3344" s="53"/>
    </row>
    <row r="3345" spans="2:2" x14ac:dyDescent="0.25">
      <c r="B3345" s="51" t="s">
        <v>1502</v>
      </c>
    </row>
    <row r="3346" spans="2:2" x14ac:dyDescent="0.25">
      <c r="B3346" s="53"/>
    </row>
    <row r="3347" spans="2:2" x14ac:dyDescent="0.25">
      <c r="B3347" s="51" t="s">
        <v>1503</v>
      </c>
    </row>
    <row r="3348" spans="2:2" x14ac:dyDescent="0.25">
      <c r="B3348" s="53"/>
    </row>
    <row r="3349" spans="2:2" x14ac:dyDescent="0.25">
      <c r="B3349" s="51" t="s">
        <v>1504</v>
      </c>
    </row>
    <row r="3350" spans="2:2" x14ac:dyDescent="0.25">
      <c r="B3350" s="53"/>
    </row>
    <row r="3351" spans="2:2" x14ac:dyDescent="0.25">
      <c r="B3351" s="51" t="s">
        <v>1505</v>
      </c>
    </row>
    <row r="3352" spans="2:2" x14ac:dyDescent="0.25">
      <c r="B3352" s="53"/>
    </row>
    <row r="3353" spans="2:2" x14ac:dyDescent="0.25">
      <c r="B3353" s="51" t="s">
        <v>1506</v>
      </c>
    </row>
    <row r="3354" spans="2:2" x14ac:dyDescent="0.25">
      <c r="B3354" s="53"/>
    </row>
    <row r="3355" spans="2:2" x14ac:dyDescent="0.25">
      <c r="B3355" s="51" t="s">
        <v>1507</v>
      </c>
    </row>
    <row r="3356" spans="2:2" x14ac:dyDescent="0.25">
      <c r="B3356" s="53"/>
    </row>
    <row r="3357" spans="2:2" x14ac:dyDescent="0.25">
      <c r="B3357" s="51" t="s">
        <v>1508</v>
      </c>
    </row>
    <row r="3358" spans="2:2" x14ac:dyDescent="0.25">
      <c r="B3358" s="53"/>
    </row>
    <row r="3359" spans="2:2" x14ac:dyDescent="0.25">
      <c r="B3359" s="51" t="s">
        <v>1509</v>
      </c>
    </row>
    <row r="3360" spans="2:2" x14ac:dyDescent="0.25">
      <c r="B3360" s="53"/>
    </row>
    <row r="3361" spans="2:2" x14ac:dyDescent="0.25">
      <c r="B3361" s="51" t="s">
        <v>1510</v>
      </c>
    </row>
    <row r="3362" spans="2:2" x14ac:dyDescent="0.25">
      <c r="B3362" s="53"/>
    </row>
    <row r="3363" spans="2:2" x14ac:dyDescent="0.25">
      <c r="B3363" s="51" t="s">
        <v>1511</v>
      </c>
    </row>
    <row r="3364" spans="2:2" x14ac:dyDescent="0.25">
      <c r="B3364" s="53"/>
    </row>
    <row r="3365" spans="2:2" x14ac:dyDescent="0.25">
      <c r="B3365" s="51" t="s">
        <v>1512</v>
      </c>
    </row>
    <row r="3366" spans="2:2" x14ac:dyDescent="0.25">
      <c r="B3366" s="53"/>
    </row>
    <row r="3367" spans="2:2" x14ac:dyDescent="0.25">
      <c r="B3367" s="51" t="s">
        <v>1513</v>
      </c>
    </row>
    <row r="3368" spans="2:2" x14ac:dyDescent="0.25">
      <c r="B3368" s="53"/>
    </row>
    <row r="3369" spans="2:2" x14ac:dyDescent="0.25">
      <c r="B3369" s="51" t="s">
        <v>1514</v>
      </c>
    </row>
    <row r="3370" spans="2:2" x14ac:dyDescent="0.25">
      <c r="B3370" s="53"/>
    </row>
    <row r="3371" spans="2:2" x14ac:dyDescent="0.25">
      <c r="B3371" s="51" t="s">
        <v>1515</v>
      </c>
    </row>
    <row r="3372" spans="2:2" x14ac:dyDescent="0.25">
      <c r="B3372" s="53"/>
    </row>
    <row r="3373" spans="2:2" x14ac:dyDescent="0.25">
      <c r="B3373" s="51" t="s">
        <v>1516</v>
      </c>
    </row>
    <row r="3374" spans="2:2" x14ac:dyDescent="0.25">
      <c r="B3374" s="53"/>
    </row>
    <row r="3375" spans="2:2" x14ac:dyDescent="0.25">
      <c r="B3375" s="51" t="s">
        <v>1517</v>
      </c>
    </row>
    <row r="3376" spans="2:2" x14ac:dyDescent="0.25">
      <c r="B3376" s="53"/>
    </row>
    <row r="3377" spans="2:2" x14ac:dyDescent="0.25">
      <c r="B3377" s="51" t="s">
        <v>1518</v>
      </c>
    </row>
    <row r="3378" spans="2:2" x14ac:dyDescent="0.25">
      <c r="B3378" s="53"/>
    </row>
    <row r="3379" spans="2:2" x14ac:dyDescent="0.25">
      <c r="B3379" s="51" t="s">
        <v>1519</v>
      </c>
    </row>
    <row r="3380" spans="2:2" x14ac:dyDescent="0.25">
      <c r="B3380" s="53"/>
    </row>
    <row r="3381" spans="2:2" x14ac:dyDescent="0.25">
      <c r="B3381" s="51" t="s">
        <v>1520</v>
      </c>
    </row>
    <row r="3382" spans="2:2" x14ac:dyDescent="0.25">
      <c r="B3382" s="53"/>
    </row>
    <row r="3383" spans="2:2" x14ac:dyDescent="0.25">
      <c r="B3383" s="51" t="s">
        <v>1521</v>
      </c>
    </row>
    <row r="3384" spans="2:2" x14ac:dyDescent="0.25">
      <c r="B3384" s="53"/>
    </row>
    <row r="3385" spans="2:2" x14ac:dyDescent="0.25">
      <c r="B3385" s="51" t="s">
        <v>1522</v>
      </c>
    </row>
    <row r="3386" spans="2:2" x14ac:dyDescent="0.25">
      <c r="B3386" s="53"/>
    </row>
    <row r="3387" spans="2:2" x14ac:dyDescent="0.25">
      <c r="B3387" s="51" t="s">
        <v>1523</v>
      </c>
    </row>
    <row r="3388" spans="2:2" x14ac:dyDescent="0.25">
      <c r="B3388" s="53"/>
    </row>
    <row r="3389" spans="2:2" x14ac:dyDescent="0.25">
      <c r="B3389" s="51" t="s">
        <v>1524</v>
      </c>
    </row>
    <row r="3390" spans="2:2" x14ac:dyDescent="0.25">
      <c r="B3390" s="53"/>
    </row>
    <row r="3391" spans="2:2" x14ac:dyDescent="0.25">
      <c r="B3391" s="51" t="s">
        <v>1525</v>
      </c>
    </row>
    <row r="3392" spans="2:2" x14ac:dyDescent="0.25">
      <c r="B3392" s="53"/>
    </row>
    <row r="3393" spans="2:2" x14ac:dyDescent="0.25">
      <c r="B3393" s="51" t="s">
        <v>1526</v>
      </c>
    </row>
    <row r="3394" spans="2:2" x14ac:dyDescent="0.25">
      <c r="B3394" s="53"/>
    </row>
    <row r="3395" spans="2:2" x14ac:dyDescent="0.25">
      <c r="B3395" s="51" t="s">
        <v>1527</v>
      </c>
    </row>
    <row r="3396" spans="2:2" x14ac:dyDescent="0.25">
      <c r="B3396" s="53"/>
    </row>
    <row r="3397" spans="2:2" x14ac:dyDescent="0.25">
      <c r="B3397" s="51" t="s">
        <v>1528</v>
      </c>
    </row>
    <row r="3398" spans="2:2" x14ac:dyDescent="0.25">
      <c r="B3398" s="53"/>
    </row>
    <row r="3399" spans="2:2" x14ac:dyDescent="0.25">
      <c r="B3399" s="51" t="s">
        <v>1529</v>
      </c>
    </row>
    <row r="3400" spans="2:2" x14ac:dyDescent="0.25">
      <c r="B3400" s="53"/>
    </row>
    <row r="3401" spans="2:2" x14ac:dyDescent="0.25">
      <c r="B3401" s="51" t="s">
        <v>1530</v>
      </c>
    </row>
    <row r="3402" spans="2:2" x14ac:dyDescent="0.25">
      <c r="B3402" s="53"/>
    </row>
    <row r="3403" spans="2:2" x14ac:dyDescent="0.25">
      <c r="B3403" s="51" t="s">
        <v>1531</v>
      </c>
    </row>
    <row r="3404" spans="2:2" x14ac:dyDescent="0.25">
      <c r="B3404" s="53"/>
    </row>
    <row r="3405" spans="2:2" x14ac:dyDescent="0.25">
      <c r="B3405" s="51" t="s">
        <v>1532</v>
      </c>
    </row>
    <row r="3406" spans="2:2" x14ac:dyDescent="0.25">
      <c r="B3406" s="53"/>
    </row>
    <row r="3407" spans="2:2" x14ac:dyDescent="0.25">
      <c r="B3407" s="51" t="s">
        <v>1533</v>
      </c>
    </row>
    <row r="3408" spans="2:2" x14ac:dyDescent="0.25">
      <c r="B3408" s="53"/>
    </row>
    <row r="3409" spans="2:2" x14ac:dyDescent="0.25">
      <c r="B3409" s="51" t="s">
        <v>1534</v>
      </c>
    </row>
    <row r="3410" spans="2:2" x14ac:dyDescent="0.25">
      <c r="B3410" s="53"/>
    </row>
    <row r="3411" spans="2:2" x14ac:dyDescent="0.25">
      <c r="B3411" s="51" t="s">
        <v>1535</v>
      </c>
    </row>
    <row r="3412" spans="2:2" x14ac:dyDescent="0.25">
      <c r="B3412" s="53"/>
    </row>
    <row r="3413" spans="2:2" x14ac:dyDescent="0.25">
      <c r="B3413" s="51" t="s">
        <v>1536</v>
      </c>
    </row>
    <row r="3414" spans="2:2" x14ac:dyDescent="0.25">
      <c r="B3414" s="53"/>
    </row>
    <row r="3415" spans="2:2" x14ac:dyDescent="0.25">
      <c r="B3415" s="51" t="s">
        <v>1537</v>
      </c>
    </row>
    <row r="3416" spans="2:2" x14ac:dyDescent="0.25">
      <c r="B3416" s="53"/>
    </row>
    <row r="3417" spans="2:2" x14ac:dyDescent="0.25">
      <c r="B3417" s="51" t="s">
        <v>1538</v>
      </c>
    </row>
    <row r="3418" spans="2:2" x14ac:dyDescent="0.25">
      <c r="B3418" s="53"/>
    </row>
    <row r="3419" spans="2:2" x14ac:dyDescent="0.25">
      <c r="B3419" s="51" t="s">
        <v>1539</v>
      </c>
    </row>
    <row r="3420" spans="2:2" x14ac:dyDescent="0.25">
      <c r="B3420" s="53"/>
    </row>
    <row r="3421" spans="2:2" x14ac:dyDescent="0.25">
      <c r="B3421" s="51" t="s">
        <v>1540</v>
      </c>
    </row>
    <row r="3422" spans="2:2" x14ac:dyDescent="0.25">
      <c r="B3422" s="53"/>
    </row>
    <row r="3423" spans="2:2" x14ac:dyDescent="0.25">
      <c r="B3423" s="51" t="s">
        <v>1541</v>
      </c>
    </row>
    <row r="3424" spans="2:2" x14ac:dyDescent="0.25">
      <c r="B3424" s="53"/>
    </row>
    <row r="3425" spans="2:2" x14ac:dyDescent="0.25">
      <c r="B3425" s="51" t="s">
        <v>1542</v>
      </c>
    </row>
    <row r="3426" spans="2:2" x14ac:dyDescent="0.25">
      <c r="B3426" s="53"/>
    </row>
    <row r="3427" spans="2:2" x14ac:dyDescent="0.25">
      <c r="B3427" s="51" t="s">
        <v>1543</v>
      </c>
    </row>
    <row r="3428" spans="2:2" x14ac:dyDescent="0.25">
      <c r="B3428" s="53"/>
    </row>
    <row r="3429" spans="2:2" x14ac:dyDescent="0.25">
      <c r="B3429" s="51" t="s">
        <v>1544</v>
      </c>
    </row>
    <row r="3430" spans="2:2" x14ac:dyDescent="0.25">
      <c r="B3430" s="53"/>
    </row>
    <row r="3431" spans="2:2" x14ac:dyDescent="0.25">
      <c r="B3431" s="51" t="s">
        <v>1545</v>
      </c>
    </row>
    <row r="3432" spans="2:2" x14ac:dyDescent="0.25">
      <c r="B3432" s="53"/>
    </row>
    <row r="3433" spans="2:2" x14ac:dyDescent="0.25">
      <c r="B3433" s="51" t="s">
        <v>1546</v>
      </c>
    </row>
    <row r="3434" spans="2:2" x14ac:dyDescent="0.25">
      <c r="B3434" s="53"/>
    </row>
    <row r="3435" spans="2:2" x14ac:dyDescent="0.25">
      <c r="B3435" s="51" t="s">
        <v>1547</v>
      </c>
    </row>
    <row r="3436" spans="2:2" x14ac:dyDescent="0.25">
      <c r="B3436" s="53"/>
    </row>
    <row r="3437" spans="2:2" x14ac:dyDescent="0.25">
      <c r="B3437" s="51" t="s">
        <v>1548</v>
      </c>
    </row>
    <row r="3438" spans="2:2" x14ac:dyDescent="0.25">
      <c r="B3438" s="53"/>
    </row>
    <row r="3439" spans="2:2" x14ac:dyDescent="0.25">
      <c r="B3439" s="51" t="s">
        <v>1549</v>
      </c>
    </row>
    <row r="3440" spans="2:2" x14ac:dyDescent="0.25">
      <c r="B3440" s="53"/>
    </row>
    <row r="3441" spans="2:2" x14ac:dyDescent="0.25">
      <c r="B3441" s="51" t="s">
        <v>1550</v>
      </c>
    </row>
    <row r="3442" spans="2:2" x14ac:dyDescent="0.25">
      <c r="B3442" s="53"/>
    </row>
    <row r="3443" spans="2:2" x14ac:dyDescent="0.25">
      <c r="B3443" s="51" t="s">
        <v>1551</v>
      </c>
    </row>
    <row r="3444" spans="2:2" x14ac:dyDescent="0.25">
      <c r="B3444" s="53"/>
    </row>
    <row r="3445" spans="2:2" x14ac:dyDescent="0.25">
      <c r="B3445" s="51" t="s">
        <v>1552</v>
      </c>
    </row>
    <row r="3446" spans="2:2" x14ac:dyDescent="0.25">
      <c r="B3446" s="53"/>
    </row>
    <row r="3447" spans="2:2" x14ac:dyDescent="0.25">
      <c r="B3447" s="51" t="s">
        <v>1553</v>
      </c>
    </row>
    <row r="3448" spans="2:2" x14ac:dyDescent="0.25">
      <c r="B3448" s="53"/>
    </row>
    <row r="3449" spans="2:2" x14ac:dyDescent="0.25">
      <c r="B3449" s="51" t="s">
        <v>1554</v>
      </c>
    </row>
    <row r="3450" spans="2:2" x14ac:dyDescent="0.25">
      <c r="B3450" s="53"/>
    </row>
    <row r="3451" spans="2:2" x14ac:dyDescent="0.25">
      <c r="B3451" s="51" t="s">
        <v>1555</v>
      </c>
    </row>
    <row r="3452" spans="2:2" x14ac:dyDescent="0.25">
      <c r="B3452" s="53"/>
    </row>
    <row r="3453" spans="2:2" x14ac:dyDescent="0.25">
      <c r="B3453" s="51" t="s">
        <v>1556</v>
      </c>
    </row>
    <row r="3454" spans="2:2" x14ac:dyDescent="0.25">
      <c r="B3454" s="53"/>
    </row>
    <row r="3455" spans="2:2" x14ac:dyDescent="0.25">
      <c r="B3455" s="51" t="s">
        <v>1557</v>
      </c>
    </row>
    <row r="3456" spans="2:2" x14ac:dyDescent="0.25">
      <c r="B3456" s="53"/>
    </row>
    <row r="3457" spans="2:2" x14ac:dyDescent="0.25">
      <c r="B3457" s="51" t="s">
        <v>1558</v>
      </c>
    </row>
    <row r="3458" spans="2:2" x14ac:dyDescent="0.25">
      <c r="B3458" s="53"/>
    </row>
    <row r="3459" spans="2:2" x14ac:dyDescent="0.25">
      <c r="B3459" s="51" t="s">
        <v>1559</v>
      </c>
    </row>
    <row r="3460" spans="2:2" x14ac:dyDescent="0.25">
      <c r="B3460" s="53"/>
    </row>
    <row r="3461" spans="2:2" x14ac:dyDescent="0.25">
      <c r="B3461" s="51" t="s">
        <v>1560</v>
      </c>
    </row>
    <row r="3462" spans="2:2" x14ac:dyDescent="0.25">
      <c r="B3462" s="53"/>
    </row>
    <row r="3463" spans="2:2" x14ac:dyDescent="0.25">
      <c r="B3463" s="51" t="s">
        <v>1561</v>
      </c>
    </row>
    <row r="3464" spans="2:2" x14ac:dyDescent="0.25">
      <c r="B3464" s="53"/>
    </row>
    <row r="3465" spans="2:2" x14ac:dyDescent="0.25">
      <c r="B3465" s="51" t="s">
        <v>1562</v>
      </c>
    </row>
    <row r="3466" spans="2:2" x14ac:dyDescent="0.25">
      <c r="B3466" s="53"/>
    </row>
    <row r="3467" spans="2:2" x14ac:dyDescent="0.25">
      <c r="B3467" s="51" t="s">
        <v>1563</v>
      </c>
    </row>
    <row r="3468" spans="2:2" x14ac:dyDescent="0.25">
      <c r="B3468" s="53"/>
    </row>
    <row r="3469" spans="2:2" x14ac:dyDescent="0.25">
      <c r="B3469" s="51" t="s">
        <v>1564</v>
      </c>
    </row>
    <row r="3470" spans="2:2" x14ac:dyDescent="0.25">
      <c r="B3470" s="53"/>
    </row>
    <row r="3471" spans="2:2" x14ac:dyDescent="0.25">
      <c r="B3471" s="51" t="s">
        <v>1565</v>
      </c>
    </row>
    <row r="3472" spans="2:2" x14ac:dyDescent="0.25">
      <c r="B3472" s="53"/>
    </row>
    <row r="3473" spans="2:2" x14ac:dyDescent="0.25">
      <c r="B3473" s="51" t="s">
        <v>1566</v>
      </c>
    </row>
    <row r="3474" spans="2:2" x14ac:dyDescent="0.25">
      <c r="B3474" s="53"/>
    </row>
    <row r="3475" spans="2:2" x14ac:dyDescent="0.25">
      <c r="B3475" s="51" t="s">
        <v>1567</v>
      </c>
    </row>
    <row r="3476" spans="2:2" x14ac:dyDescent="0.25">
      <c r="B3476" s="53"/>
    </row>
    <row r="3477" spans="2:2" x14ac:dyDescent="0.25">
      <c r="B3477" s="51" t="s">
        <v>1568</v>
      </c>
    </row>
    <row r="3478" spans="2:2" x14ac:dyDescent="0.25">
      <c r="B3478" s="53"/>
    </row>
    <row r="3479" spans="2:2" x14ac:dyDescent="0.25">
      <c r="B3479" s="51" t="s">
        <v>1569</v>
      </c>
    </row>
    <row r="3480" spans="2:2" x14ac:dyDescent="0.25">
      <c r="B3480" s="53"/>
    </row>
    <row r="3481" spans="2:2" x14ac:dyDescent="0.25">
      <c r="B3481" s="51" t="s">
        <v>1570</v>
      </c>
    </row>
    <row r="3482" spans="2:2" x14ac:dyDescent="0.25">
      <c r="B3482" s="53"/>
    </row>
    <row r="3483" spans="2:2" x14ac:dyDescent="0.25">
      <c r="B3483" s="51" t="s">
        <v>1571</v>
      </c>
    </row>
    <row r="3484" spans="2:2" x14ac:dyDescent="0.25">
      <c r="B3484" s="53"/>
    </row>
    <row r="3485" spans="2:2" x14ac:dyDescent="0.25">
      <c r="B3485" s="51" t="s">
        <v>1572</v>
      </c>
    </row>
    <row r="3486" spans="2:2" x14ac:dyDescent="0.25">
      <c r="B3486" s="53"/>
    </row>
    <row r="3487" spans="2:2" x14ac:dyDescent="0.25">
      <c r="B3487" s="51" t="s">
        <v>1573</v>
      </c>
    </row>
    <row r="3488" spans="2:2" x14ac:dyDescent="0.25">
      <c r="B3488" s="53"/>
    </row>
    <row r="3489" spans="2:2" x14ac:dyDescent="0.25">
      <c r="B3489" s="51" t="s">
        <v>1574</v>
      </c>
    </row>
    <row r="3490" spans="2:2" x14ac:dyDescent="0.25">
      <c r="B3490" s="53"/>
    </row>
    <row r="3491" spans="2:2" x14ac:dyDescent="0.25">
      <c r="B3491" s="51" t="s">
        <v>1575</v>
      </c>
    </row>
    <row r="3492" spans="2:2" x14ac:dyDescent="0.25">
      <c r="B3492" s="53"/>
    </row>
    <row r="3493" spans="2:2" x14ac:dyDescent="0.25">
      <c r="B3493" s="51" t="s">
        <v>1576</v>
      </c>
    </row>
    <row r="3494" spans="2:2" x14ac:dyDescent="0.25">
      <c r="B3494" s="53"/>
    </row>
    <row r="3495" spans="2:2" x14ac:dyDescent="0.25">
      <c r="B3495" s="51" t="s">
        <v>1577</v>
      </c>
    </row>
    <row r="3496" spans="2:2" x14ac:dyDescent="0.25">
      <c r="B3496" s="53"/>
    </row>
    <row r="3497" spans="2:2" x14ac:dyDescent="0.25">
      <c r="B3497" s="51" t="s">
        <v>1578</v>
      </c>
    </row>
    <row r="3498" spans="2:2" x14ac:dyDescent="0.25">
      <c r="B3498" s="53"/>
    </row>
    <row r="3499" spans="2:2" x14ac:dyDescent="0.25">
      <c r="B3499" s="51" t="s">
        <v>1579</v>
      </c>
    </row>
    <row r="3500" spans="2:2" x14ac:dyDescent="0.25">
      <c r="B3500" s="53"/>
    </row>
    <row r="3501" spans="2:2" x14ac:dyDescent="0.25">
      <c r="B3501" s="51" t="s">
        <v>1580</v>
      </c>
    </row>
    <row r="3502" spans="2:2" x14ac:dyDescent="0.25">
      <c r="B3502" s="53"/>
    </row>
    <row r="3503" spans="2:2" x14ac:dyDescent="0.25">
      <c r="B3503" s="51" t="s">
        <v>1581</v>
      </c>
    </row>
    <row r="3504" spans="2:2" x14ac:dyDescent="0.25">
      <c r="B3504" s="53"/>
    </row>
    <row r="3505" spans="2:2" x14ac:dyDescent="0.25">
      <c r="B3505" s="51" t="s">
        <v>1582</v>
      </c>
    </row>
    <row r="3506" spans="2:2" x14ac:dyDescent="0.25">
      <c r="B3506" s="53"/>
    </row>
    <row r="3507" spans="2:2" x14ac:dyDescent="0.25">
      <c r="B3507" s="51" t="s">
        <v>1583</v>
      </c>
    </row>
    <row r="3508" spans="2:2" x14ac:dyDescent="0.25">
      <c r="B3508" s="53"/>
    </row>
    <row r="3509" spans="2:2" x14ac:dyDescent="0.25">
      <c r="B3509" s="51" t="s">
        <v>1584</v>
      </c>
    </row>
    <row r="3510" spans="2:2" x14ac:dyDescent="0.25">
      <c r="B3510" s="53"/>
    </row>
    <row r="3511" spans="2:2" x14ac:dyDescent="0.25">
      <c r="B3511" s="51" t="s">
        <v>1585</v>
      </c>
    </row>
    <row r="3512" spans="2:2" x14ac:dyDescent="0.25">
      <c r="B3512" s="53"/>
    </row>
    <row r="3513" spans="2:2" x14ac:dyDescent="0.25">
      <c r="B3513" s="51" t="s">
        <v>1586</v>
      </c>
    </row>
    <row r="3514" spans="2:2" x14ac:dyDescent="0.25">
      <c r="B3514" s="53"/>
    </row>
    <row r="3515" spans="2:2" x14ac:dyDescent="0.25">
      <c r="B3515" s="51" t="s">
        <v>1587</v>
      </c>
    </row>
    <row r="3516" spans="2:2" x14ac:dyDescent="0.25">
      <c r="B3516" s="53"/>
    </row>
    <row r="3517" spans="2:2" x14ac:dyDescent="0.25">
      <c r="B3517" s="51" t="s">
        <v>1588</v>
      </c>
    </row>
    <row r="3518" spans="2:2" x14ac:dyDescent="0.25">
      <c r="B3518" s="53"/>
    </row>
    <row r="3519" spans="2:2" x14ac:dyDescent="0.25">
      <c r="B3519" s="51" t="s">
        <v>1589</v>
      </c>
    </row>
    <row r="3520" spans="2:2" x14ac:dyDescent="0.25">
      <c r="B3520" s="53"/>
    </row>
    <row r="3521" spans="2:2" x14ac:dyDescent="0.25">
      <c r="B3521" s="51" t="s">
        <v>1590</v>
      </c>
    </row>
    <row r="3522" spans="2:2" x14ac:dyDescent="0.25">
      <c r="B3522" s="53"/>
    </row>
    <row r="3523" spans="2:2" x14ac:dyDescent="0.25">
      <c r="B3523" s="51" t="s">
        <v>1591</v>
      </c>
    </row>
    <row r="3524" spans="2:2" x14ac:dyDescent="0.25">
      <c r="B3524" s="53"/>
    </row>
    <row r="3525" spans="2:2" x14ac:dyDescent="0.25">
      <c r="B3525" s="51" t="s">
        <v>1592</v>
      </c>
    </row>
    <row r="3526" spans="2:2" x14ac:dyDescent="0.25">
      <c r="B3526" s="53"/>
    </row>
    <row r="3527" spans="2:2" x14ac:dyDescent="0.25">
      <c r="B3527" s="51" t="s">
        <v>1593</v>
      </c>
    </row>
    <row r="3528" spans="2:2" x14ac:dyDescent="0.25">
      <c r="B3528" s="53"/>
    </row>
    <row r="3529" spans="2:2" x14ac:dyDescent="0.25">
      <c r="B3529" s="51" t="s">
        <v>1594</v>
      </c>
    </row>
    <row r="3530" spans="2:2" x14ac:dyDescent="0.25">
      <c r="B3530" s="53"/>
    </row>
    <row r="3531" spans="2:2" x14ac:dyDescent="0.25">
      <c r="B3531" s="51" t="s">
        <v>1595</v>
      </c>
    </row>
    <row r="3532" spans="2:2" x14ac:dyDescent="0.25">
      <c r="B3532" s="53"/>
    </row>
    <row r="3533" spans="2:2" x14ac:dyDescent="0.25">
      <c r="B3533" s="51" t="s">
        <v>1596</v>
      </c>
    </row>
    <row r="3534" spans="2:2" x14ac:dyDescent="0.25">
      <c r="B3534" s="53"/>
    </row>
    <row r="3535" spans="2:2" x14ac:dyDescent="0.25">
      <c r="B3535" s="51" t="s">
        <v>1597</v>
      </c>
    </row>
    <row r="3536" spans="2:2" x14ac:dyDescent="0.25">
      <c r="B3536" s="53"/>
    </row>
    <row r="3537" spans="2:2" x14ac:dyDescent="0.25">
      <c r="B3537" s="51" t="s">
        <v>1598</v>
      </c>
    </row>
    <row r="3538" spans="2:2" x14ac:dyDescent="0.25">
      <c r="B3538" s="53"/>
    </row>
    <row r="3539" spans="2:2" x14ac:dyDescent="0.25">
      <c r="B3539" s="51" t="s">
        <v>1599</v>
      </c>
    </row>
    <row r="3540" spans="2:2" x14ac:dyDescent="0.25">
      <c r="B3540" s="53"/>
    </row>
    <row r="3541" spans="2:2" x14ac:dyDescent="0.25">
      <c r="B3541" s="51" t="s">
        <v>1600</v>
      </c>
    </row>
    <row r="3542" spans="2:2" x14ac:dyDescent="0.25">
      <c r="B3542" s="53"/>
    </row>
    <row r="3543" spans="2:2" x14ac:dyDescent="0.25">
      <c r="B3543" s="51" t="s">
        <v>1601</v>
      </c>
    </row>
    <row r="3544" spans="2:2" x14ac:dyDescent="0.25">
      <c r="B3544" s="53"/>
    </row>
    <row r="3545" spans="2:2" x14ac:dyDescent="0.25">
      <c r="B3545" s="51" t="s">
        <v>1602</v>
      </c>
    </row>
    <row r="3546" spans="2:2" x14ac:dyDescent="0.25">
      <c r="B3546" s="53"/>
    </row>
    <row r="3547" spans="2:2" x14ac:dyDescent="0.25">
      <c r="B3547" s="51" t="s">
        <v>1603</v>
      </c>
    </row>
    <row r="3548" spans="2:2" x14ac:dyDescent="0.25">
      <c r="B3548" s="53"/>
    </row>
    <row r="3549" spans="2:2" x14ac:dyDescent="0.25">
      <c r="B3549" s="51" t="s">
        <v>1604</v>
      </c>
    </row>
    <row r="3550" spans="2:2" x14ac:dyDescent="0.25">
      <c r="B3550" s="53"/>
    </row>
    <row r="3551" spans="2:2" x14ac:dyDescent="0.25">
      <c r="B3551" s="51" t="s">
        <v>1605</v>
      </c>
    </row>
    <row r="3552" spans="2:2" x14ac:dyDescent="0.25">
      <c r="B3552" s="53"/>
    </row>
    <row r="3553" spans="2:2" x14ac:dyDescent="0.25">
      <c r="B3553" s="51" t="s">
        <v>1606</v>
      </c>
    </row>
    <row r="3554" spans="2:2" x14ac:dyDescent="0.25">
      <c r="B3554" s="53"/>
    </row>
    <row r="3555" spans="2:2" x14ac:dyDescent="0.25">
      <c r="B3555" s="51" t="s">
        <v>1607</v>
      </c>
    </row>
    <row r="3556" spans="2:2" x14ac:dyDescent="0.25">
      <c r="B3556" s="53"/>
    </row>
    <row r="3557" spans="2:2" x14ac:dyDescent="0.25">
      <c r="B3557" s="51" t="s">
        <v>1608</v>
      </c>
    </row>
    <row r="3558" spans="2:2" x14ac:dyDescent="0.25">
      <c r="B3558" s="53"/>
    </row>
    <row r="3559" spans="2:2" x14ac:dyDescent="0.25">
      <c r="B3559" s="51" t="s">
        <v>1609</v>
      </c>
    </row>
    <row r="3560" spans="2:2" x14ac:dyDescent="0.25">
      <c r="B3560" s="53"/>
    </row>
    <row r="3561" spans="2:2" x14ac:dyDescent="0.25">
      <c r="B3561" s="51" t="s">
        <v>1610</v>
      </c>
    </row>
    <row r="3562" spans="2:2" x14ac:dyDescent="0.25">
      <c r="B3562" s="53"/>
    </row>
    <row r="3563" spans="2:2" x14ac:dyDescent="0.25">
      <c r="B3563" s="51" t="s">
        <v>1611</v>
      </c>
    </row>
    <row r="3564" spans="2:2" x14ac:dyDescent="0.25">
      <c r="B3564" s="53"/>
    </row>
    <row r="3565" spans="2:2" x14ac:dyDescent="0.25">
      <c r="B3565" s="51" t="s">
        <v>1612</v>
      </c>
    </row>
    <row r="3566" spans="2:2" x14ac:dyDescent="0.25">
      <c r="B3566" s="53"/>
    </row>
    <row r="3567" spans="2:2" x14ac:dyDescent="0.25">
      <c r="B3567" s="51" t="s">
        <v>1613</v>
      </c>
    </row>
    <row r="3568" spans="2:2" x14ac:dyDescent="0.25">
      <c r="B3568" s="53"/>
    </row>
    <row r="3569" spans="2:2" x14ac:dyDescent="0.25">
      <c r="B3569" s="51" t="s">
        <v>1614</v>
      </c>
    </row>
    <row r="3570" spans="2:2" x14ac:dyDescent="0.25">
      <c r="B3570" s="53"/>
    </row>
    <row r="3571" spans="2:2" x14ac:dyDescent="0.25">
      <c r="B3571" s="51" t="s">
        <v>1615</v>
      </c>
    </row>
    <row r="3572" spans="2:2" x14ac:dyDescent="0.25">
      <c r="B3572" s="53"/>
    </row>
    <row r="3573" spans="2:2" x14ac:dyDescent="0.25">
      <c r="B3573" s="51" t="s">
        <v>1616</v>
      </c>
    </row>
    <row r="3574" spans="2:2" x14ac:dyDescent="0.25">
      <c r="B3574" s="53"/>
    </row>
    <row r="3575" spans="2:2" x14ac:dyDescent="0.25">
      <c r="B3575" s="51" t="s">
        <v>1617</v>
      </c>
    </row>
    <row r="3576" spans="2:2" x14ac:dyDescent="0.25">
      <c r="B3576" s="53"/>
    </row>
    <row r="3577" spans="2:2" x14ac:dyDescent="0.25">
      <c r="B3577" s="51" t="s">
        <v>1618</v>
      </c>
    </row>
    <row r="3578" spans="2:2" x14ac:dyDescent="0.25">
      <c r="B3578" s="53"/>
    </row>
    <row r="3579" spans="2:2" x14ac:dyDescent="0.25">
      <c r="B3579" s="51" t="s">
        <v>1619</v>
      </c>
    </row>
    <row r="3580" spans="2:2" x14ac:dyDescent="0.25">
      <c r="B3580" s="53"/>
    </row>
    <row r="3581" spans="2:2" x14ac:dyDescent="0.25">
      <c r="B3581" s="51" t="s">
        <v>1620</v>
      </c>
    </row>
    <row r="3582" spans="2:2" x14ac:dyDescent="0.25">
      <c r="B3582" s="53"/>
    </row>
    <row r="3583" spans="2:2" x14ac:dyDescent="0.25">
      <c r="B3583" s="51" t="s">
        <v>1621</v>
      </c>
    </row>
    <row r="3584" spans="2:2" x14ac:dyDescent="0.25">
      <c r="B3584" s="53"/>
    </row>
    <row r="3585" spans="2:2" x14ac:dyDescent="0.25">
      <c r="B3585" s="51" t="s">
        <v>1622</v>
      </c>
    </row>
    <row r="3586" spans="2:2" x14ac:dyDescent="0.25">
      <c r="B3586" s="53"/>
    </row>
    <row r="3587" spans="2:2" x14ac:dyDescent="0.25">
      <c r="B3587" s="51" t="s">
        <v>1623</v>
      </c>
    </row>
    <row r="3588" spans="2:2" x14ac:dyDescent="0.25">
      <c r="B3588" s="53"/>
    </row>
    <row r="3589" spans="2:2" x14ac:dyDescent="0.25">
      <c r="B3589" s="51" t="s">
        <v>1624</v>
      </c>
    </row>
    <row r="3590" spans="2:2" x14ac:dyDescent="0.25">
      <c r="B3590" s="53"/>
    </row>
    <row r="3591" spans="2:2" x14ac:dyDescent="0.25">
      <c r="B3591" s="51" t="s">
        <v>1625</v>
      </c>
    </row>
    <row r="3592" spans="2:2" x14ac:dyDescent="0.25">
      <c r="B3592" s="53"/>
    </row>
    <row r="3593" spans="2:2" x14ac:dyDescent="0.25">
      <c r="B3593" s="51" t="s">
        <v>1626</v>
      </c>
    </row>
    <row r="3594" spans="2:2" x14ac:dyDescent="0.25">
      <c r="B3594" s="53"/>
    </row>
    <row r="3595" spans="2:2" x14ac:dyDescent="0.25">
      <c r="B3595" s="51" t="s">
        <v>1627</v>
      </c>
    </row>
    <row r="3596" spans="2:2" x14ac:dyDescent="0.25">
      <c r="B3596" s="53"/>
    </row>
    <row r="3597" spans="2:2" x14ac:dyDescent="0.25">
      <c r="B3597" s="51" t="s">
        <v>1628</v>
      </c>
    </row>
    <row r="3598" spans="2:2" x14ac:dyDescent="0.25">
      <c r="B3598" s="53"/>
    </row>
    <row r="3599" spans="2:2" x14ac:dyDescent="0.25">
      <c r="B3599" s="51" t="s">
        <v>1629</v>
      </c>
    </row>
    <row r="3600" spans="2:2" x14ac:dyDescent="0.25">
      <c r="B3600" s="53"/>
    </row>
    <row r="3601" spans="2:2" x14ac:dyDescent="0.25">
      <c r="B3601" s="51" t="s">
        <v>1630</v>
      </c>
    </row>
    <row r="3602" spans="2:2" x14ac:dyDescent="0.25">
      <c r="B3602" s="53"/>
    </row>
    <row r="3603" spans="2:2" x14ac:dyDescent="0.25">
      <c r="B3603" s="51" t="s">
        <v>1631</v>
      </c>
    </row>
    <row r="3604" spans="2:2" x14ac:dyDescent="0.25">
      <c r="B3604" s="53"/>
    </row>
    <row r="3605" spans="2:2" x14ac:dyDescent="0.25">
      <c r="B3605" s="51" t="s">
        <v>1632</v>
      </c>
    </row>
    <row r="3606" spans="2:2" x14ac:dyDescent="0.25">
      <c r="B3606" s="53"/>
    </row>
    <row r="3607" spans="2:2" x14ac:dyDescent="0.25">
      <c r="B3607" s="51" t="s">
        <v>1633</v>
      </c>
    </row>
    <row r="3608" spans="2:2" x14ac:dyDescent="0.25">
      <c r="B3608" s="53"/>
    </row>
    <row r="3609" spans="2:2" x14ac:dyDescent="0.25">
      <c r="B3609" s="51" t="s">
        <v>1634</v>
      </c>
    </row>
    <row r="3610" spans="2:2" x14ac:dyDescent="0.25">
      <c r="B3610" s="53"/>
    </row>
    <row r="3611" spans="2:2" x14ac:dyDescent="0.25">
      <c r="B3611" s="51" t="s">
        <v>1635</v>
      </c>
    </row>
    <row r="3612" spans="2:2" x14ac:dyDescent="0.25">
      <c r="B3612" s="53"/>
    </row>
    <row r="3613" spans="2:2" x14ac:dyDescent="0.25">
      <c r="B3613" s="51" t="s">
        <v>1636</v>
      </c>
    </row>
    <row r="3614" spans="2:2" x14ac:dyDescent="0.25">
      <c r="B3614" s="53"/>
    </row>
    <row r="3615" spans="2:2" x14ac:dyDescent="0.25">
      <c r="B3615" s="51" t="s">
        <v>1637</v>
      </c>
    </row>
    <row r="3616" spans="2:2" x14ac:dyDescent="0.25">
      <c r="B3616" s="53"/>
    </row>
    <row r="3617" spans="2:2" x14ac:dyDescent="0.25">
      <c r="B3617" s="51" t="s">
        <v>1638</v>
      </c>
    </row>
    <row r="3618" spans="2:2" x14ac:dyDescent="0.25">
      <c r="B3618" s="53"/>
    </row>
    <row r="3619" spans="2:2" x14ac:dyDescent="0.25">
      <c r="B3619" s="51" t="s">
        <v>1639</v>
      </c>
    </row>
    <row r="3620" spans="2:2" x14ac:dyDescent="0.25">
      <c r="B3620" s="53"/>
    </row>
    <row r="3621" spans="2:2" x14ac:dyDescent="0.25">
      <c r="B3621" s="51" t="s">
        <v>1640</v>
      </c>
    </row>
    <row r="3622" spans="2:2" x14ac:dyDescent="0.25">
      <c r="B3622" s="53"/>
    </row>
    <row r="3623" spans="2:2" x14ac:dyDescent="0.25">
      <c r="B3623" s="51" t="s">
        <v>1641</v>
      </c>
    </row>
    <row r="3624" spans="2:2" x14ac:dyDescent="0.25">
      <c r="B3624" s="53"/>
    </row>
    <row r="3625" spans="2:2" x14ac:dyDescent="0.25">
      <c r="B3625" s="51" t="s">
        <v>1642</v>
      </c>
    </row>
    <row r="3626" spans="2:2" x14ac:dyDescent="0.25">
      <c r="B3626" s="53"/>
    </row>
    <row r="3627" spans="2:2" x14ac:dyDescent="0.25">
      <c r="B3627" s="51" t="s">
        <v>1643</v>
      </c>
    </row>
    <row r="3628" spans="2:2" x14ac:dyDescent="0.25">
      <c r="B3628" s="53"/>
    </row>
    <row r="3629" spans="2:2" x14ac:dyDescent="0.25">
      <c r="B3629" s="51" t="s">
        <v>1644</v>
      </c>
    </row>
    <row r="3630" spans="2:2" x14ac:dyDescent="0.25">
      <c r="B3630" s="53"/>
    </row>
    <row r="3631" spans="2:2" x14ac:dyDescent="0.25">
      <c r="B3631" s="51" t="s">
        <v>1645</v>
      </c>
    </row>
    <row r="3632" spans="2:2" x14ac:dyDescent="0.25">
      <c r="B3632" s="53"/>
    </row>
    <row r="3633" spans="2:2" x14ac:dyDescent="0.25">
      <c r="B3633" s="51" t="s">
        <v>1646</v>
      </c>
    </row>
    <row r="3634" spans="2:2" x14ac:dyDescent="0.25">
      <c r="B3634" s="53"/>
    </row>
    <row r="3635" spans="2:2" x14ac:dyDescent="0.25">
      <c r="B3635" s="51" t="s">
        <v>1647</v>
      </c>
    </row>
    <row r="3636" spans="2:2" x14ac:dyDescent="0.25">
      <c r="B3636" s="53"/>
    </row>
    <row r="3637" spans="2:2" x14ac:dyDescent="0.25">
      <c r="B3637" s="51" t="s">
        <v>1648</v>
      </c>
    </row>
    <row r="3638" spans="2:2" x14ac:dyDescent="0.25">
      <c r="B3638" s="53"/>
    </row>
    <row r="3639" spans="2:2" x14ac:dyDescent="0.25">
      <c r="B3639" s="51" t="s">
        <v>1649</v>
      </c>
    </row>
    <row r="3640" spans="2:2" x14ac:dyDescent="0.25">
      <c r="B3640" s="53"/>
    </row>
    <row r="3641" spans="2:2" x14ac:dyDescent="0.25">
      <c r="B3641" s="51" t="s">
        <v>1650</v>
      </c>
    </row>
    <row r="3642" spans="2:2" x14ac:dyDescent="0.25">
      <c r="B3642" s="53"/>
    </row>
    <row r="3643" spans="2:2" x14ac:dyDescent="0.25">
      <c r="B3643" s="51" t="s">
        <v>1651</v>
      </c>
    </row>
    <row r="3644" spans="2:2" x14ac:dyDescent="0.25">
      <c r="B3644" s="53"/>
    </row>
    <row r="3645" spans="2:2" x14ac:dyDescent="0.25">
      <c r="B3645" s="51" t="s">
        <v>1652</v>
      </c>
    </row>
    <row r="3646" spans="2:2" x14ac:dyDescent="0.25">
      <c r="B3646" s="53"/>
    </row>
    <row r="3647" spans="2:2" x14ac:dyDescent="0.25">
      <c r="B3647" s="51" t="s">
        <v>1653</v>
      </c>
    </row>
    <row r="3648" spans="2:2" x14ac:dyDescent="0.25">
      <c r="B3648" s="53"/>
    </row>
    <row r="3649" spans="2:2" x14ac:dyDescent="0.25">
      <c r="B3649" s="51" t="s">
        <v>1654</v>
      </c>
    </row>
    <row r="3650" spans="2:2" x14ac:dyDescent="0.25">
      <c r="B3650" s="53"/>
    </row>
    <row r="3651" spans="2:2" x14ac:dyDescent="0.25">
      <c r="B3651" s="51" t="s">
        <v>1655</v>
      </c>
    </row>
    <row r="3652" spans="2:2" x14ac:dyDescent="0.25">
      <c r="B3652" s="53"/>
    </row>
    <row r="3653" spans="2:2" x14ac:dyDescent="0.25">
      <c r="B3653" s="51" t="s">
        <v>1656</v>
      </c>
    </row>
    <row r="3654" spans="2:2" x14ac:dyDescent="0.25">
      <c r="B3654" s="53"/>
    </row>
    <row r="3655" spans="2:2" x14ac:dyDescent="0.25">
      <c r="B3655" s="51" t="s">
        <v>1657</v>
      </c>
    </row>
    <row r="3656" spans="2:2" x14ac:dyDescent="0.25">
      <c r="B3656" s="53"/>
    </row>
    <row r="3657" spans="2:2" x14ac:dyDescent="0.25">
      <c r="B3657" s="51" t="s">
        <v>1658</v>
      </c>
    </row>
    <row r="3658" spans="2:2" x14ac:dyDescent="0.25">
      <c r="B3658" s="53"/>
    </row>
    <row r="3659" spans="2:2" x14ac:dyDescent="0.25">
      <c r="B3659" s="51" t="s">
        <v>1659</v>
      </c>
    </row>
    <row r="3660" spans="2:2" x14ac:dyDescent="0.25">
      <c r="B3660" s="53"/>
    </row>
    <row r="3661" spans="2:2" x14ac:dyDescent="0.25">
      <c r="B3661" s="51" t="s">
        <v>1660</v>
      </c>
    </row>
    <row r="3662" spans="2:2" x14ac:dyDescent="0.25">
      <c r="B3662" s="53"/>
    </row>
    <row r="3663" spans="2:2" x14ac:dyDescent="0.25">
      <c r="B3663" s="51" t="s">
        <v>1661</v>
      </c>
    </row>
    <row r="3664" spans="2:2" x14ac:dyDescent="0.25">
      <c r="B3664" s="53"/>
    </row>
    <row r="3665" spans="2:2" x14ac:dyDescent="0.25">
      <c r="B3665" s="51" t="s">
        <v>1662</v>
      </c>
    </row>
    <row r="3666" spans="2:2" x14ac:dyDescent="0.25">
      <c r="B3666" s="53"/>
    </row>
    <row r="3667" spans="2:2" x14ac:dyDescent="0.25">
      <c r="B3667" s="51" t="s">
        <v>1663</v>
      </c>
    </row>
    <row r="3668" spans="2:2" x14ac:dyDescent="0.25">
      <c r="B3668" s="53"/>
    </row>
    <row r="3669" spans="2:2" x14ac:dyDescent="0.25">
      <c r="B3669" s="51" t="s">
        <v>1664</v>
      </c>
    </row>
    <row r="3670" spans="2:2" x14ac:dyDescent="0.25">
      <c r="B3670" s="53"/>
    </row>
    <row r="3671" spans="2:2" x14ac:dyDescent="0.25">
      <c r="B3671" s="51" t="s">
        <v>1665</v>
      </c>
    </row>
    <row r="3672" spans="2:2" x14ac:dyDescent="0.25">
      <c r="B3672" s="53"/>
    </row>
    <row r="3673" spans="2:2" x14ac:dyDescent="0.25">
      <c r="B3673" s="51" t="s">
        <v>1666</v>
      </c>
    </row>
    <row r="3674" spans="2:2" x14ac:dyDescent="0.25">
      <c r="B3674" s="53"/>
    </row>
    <row r="3675" spans="2:2" x14ac:dyDescent="0.25">
      <c r="B3675" s="51" t="s">
        <v>1667</v>
      </c>
    </row>
    <row r="3676" spans="2:2" x14ac:dyDescent="0.25">
      <c r="B3676" s="53"/>
    </row>
    <row r="3677" spans="2:2" x14ac:dyDescent="0.25">
      <c r="B3677" s="51" t="s">
        <v>1668</v>
      </c>
    </row>
    <row r="3678" spans="2:2" x14ac:dyDescent="0.25">
      <c r="B3678" s="53"/>
    </row>
    <row r="3679" spans="2:2" x14ac:dyDescent="0.25">
      <c r="B3679" s="51" t="s">
        <v>1669</v>
      </c>
    </row>
    <row r="3680" spans="2:2" x14ac:dyDescent="0.25">
      <c r="B3680" s="53"/>
    </row>
    <row r="3681" spans="2:2" x14ac:dyDescent="0.25">
      <c r="B3681" s="51" t="s">
        <v>1670</v>
      </c>
    </row>
    <row r="3682" spans="2:2" x14ac:dyDescent="0.25">
      <c r="B3682" s="53"/>
    </row>
    <row r="3683" spans="2:2" x14ac:dyDescent="0.25">
      <c r="B3683" s="51" t="s">
        <v>1671</v>
      </c>
    </row>
    <row r="3684" spans="2:2" x14ac:dyDescent="0.25">
      <c r="B3684" s="53"/>
    </row>
    <row r="3685" spans="2:2" x14ac:dyDescent="0.25">
      <c r="B3685" s="51" t="s">
        <v>1672</v>
      </c>
    </row>
    <row r="3686" spans="2:2" x14ac:dyDescent="0.25">
      <c r="B3686" s="53"/>
    </row>
    <row r="3687" spans="2:2" x14ac:dyDescent="0.25">
      <c r="B3687" s="51" t="s">
        <v>1673</v>
      </c>
    </row>
    <row r="3688" spans="2:2" x14ac:dyDescent="0.25">
      <c r="B3688" s="53"/>
    </row>
    <row r="3689" spans="2:2" x14ac:dyDescent="0.25">
      <c r="B3689" s="51" t="s">
        <v>1674</v>
      </c>
    </row>
    <row r="3690" spans="2:2" x14ac:dyDescent="0.25">
      <c r="B3690" s="53"/>
    </row>
    <row r="3691" spans="2:2" x14ac:dyDescent="0.25">
      <c r="B3691" s="51" t="s">
        <v>1675</v>
      </c>
    </row>
    <row r="3692" spans="2:2" x14ac:dyDescent="0.25">
      <c r="B3692" s="53"/>
    </row>
    <row r="3693" spans="2:2" x14ac:dyDescent="0.25">
      <c r="B3693" s="51" t="s">
        <v>1676</v>
      </c>
    </row>
    <row r="3694" spans="2:2" x14ac:dyDescent="0.25">
      <c r="B3694" s="53"/>
    </row>
    <row r="3695" spans="2:2" x14ac:dyDescent="0.25">
      <c r="B3695" s="51" t="s">
        <v>1677</v>
      </c>
    </row>
    <row r="3696" spans="2:2" x14ac:dyDescent="0.25">
      <c r="B3696" s="53"/>
    </row>
    <row r="3697" spans="2:2" x14ac:dyDescent="0.25">
      <c r="B3697" s="51" t="s">
        <v>1678</v>
      </c>
    </row>
    <row r="3698" spans="2:2" x14ac:dyDescent="0.25">
      <c r="B3698" s="53"/>
    </row>
    <row r="3699" spans="2:2" x14ac:dyDescent="0.25">
      <c r="B3699" s="51" t="s">
        <v>1679</v>
      </c>
    </row>
    <row r="3700" spans="2:2" x14ac:dyDescent="0.25">
      <c r="B3700" s="53"/>
    </row>
    <row r="3701" spans="2:2" x14ac:dyDescent="0.25">
      <c r="B3701" s="51" t="s">
        <v>1680</v>
      </c>
    </row>
    <row r="3702" spans="2:2" x14ac:dyDescent="0.25">
      <c r="B3702" s="53"/>
    </row>
    <row r="3703" spans="2:2" x14ac:dyDescent="0.25">
      <c r="B3703" s="51" t="s">
        <v>1681</v>
      </c>
    </row>
    <row r="3704" spans="2:2" x14ac:dyDescent="0.25">
      <c r="B3704" s="53"/>
    </row>
    <row r="3705" spans="2:2" x14ac:dyDescent="0.25">
      <c r="B3705" s="51" t="s">
        <v>1682</v>
      </c>
    </row>
    <row r="3706" spans="2:2" x14ac:dyDescent="0.25">
      <c r="B3706" s="53"/>
    </row>
    <row r="3707" spans="2:2" x14ac:dyDescent="0.25">
      <c r="B3707" s="51" t="s">
        <v>1683</v>
      </c>
    </row>
    <row r="3708" spans="2:2" x14ac:dyDescent="0.25">
      <c r="B3708" s="53"/>
    </row>
    <row r="3709" spans="2:2" x14ac:dyDescent="0.25">
      <c r="B3709" s="51" t="s">
        <v>1684</v>
      </c>
    </row>
    <row r="3710" spans="2:2" x14ac:dyDescent="0.25">
      <c r="B3710" s="53"/>
    </row>
    <row r="3711" spans="2:2" x14ac:dyDescent="0.25">
      <c r="B3711" s="51" t="s">
        <v>1685</v>
      </c>
    </row>
    <row r="3712" spans="2:2" x14ac:dyDescent="0.25">
      <c r="B3712" s="53"/>
    </row>
    <row r="3713" spans="2:2" x14ac:dyDescent="0.25">
      <c r="B3713" s="51" t="s">
        <v>1686</v>
      </c>
    </row>
    <row r="3714" spans="2:2" x14ac:dyDescent="0.25">
      <c r="B3714" s="53"/>
    </row>
    <row r="3715" spans="2:2" x14ac:dyDescent="0.25">
      <c r="B3715" s="51" t="s">
        <v>1687</v>
      </c>
    </row>
    <row r="3716" spans="2:2" x14ac:dyDescent="0.25">
      <c r="B3716" s="53"/>
    </row>
    <row r="3717" spans="2:2" x14ac:dyDescent="0.25">
      <c r="B3717" s="51" t="s">
        <v>1688</v>
      </c>
    </row>
    <row r="3718" spans="2:2" x14ac:dyDescent="0.25">
      <c r="B3718" s="53"/>
    </row>
    <row r="3719" spans="2:2" x14ac:dyDescent="0.25">
      <c r="B3719" s="51" t="s">
        <v>1689</v>
      </c>
    </row>
    <row r="3720" spans="2:2" x14ac:dyDescent="0.25">
      <c r="B3720" s="53"/>
    </row>
    <row r="3721" spans="2:2" x14ac:dyDescent="0.25">
      <c r="B3721" s="51" t="s">
        <v>1690</v>
      </c>
    </row>
    <row r="3722" spans="2:2" x14ac:dyDescent="0.25">
      <c r="B3722" s="53"/>
    </row>
    <row r="3723" spans="2:2" x14ac:dyDescent="0.25">
      <c r="B3723" s="51" t="s">
        <v>1691</v>
      </c>
    </row>
    <row r="3724" spans="2:2" x14ac:dyDescent="0.25">
      <c r="B3724" s="53"/>
    </row>
    <row r="3725" spans="2:2" x14ac:dyDescent="0.25">
      <c r="B3725" s="51" t="s">
        <v>1692</v>
      </c>
    </row>
    <row r="3726" spans="2:2" x14ac:dyDescent="0.25">
      <c r="B3726" s="53"/>
    </row>
    <row r="3727" spans="2:2" x14ac:dyDescent="0.25">
      <c r="B3727" s="51" t="s">
        <v>1693</v>
      </c>
    </row>
    <row r="3728" spans="2:2" x14ac:dyDescent="0.25">
      <c r="B3728" s="53"/>
    </row>
    <row r="3729" spans="2:2" x14ac:dyDescent="0.25">
      <c r="B3729" s="51" t="s">
        <v>1694</v>
      </c>
    </row>
    <row r="3730" spans="2:2" x14ac:dyDescent="0.25">
      <c r="B3730" s="53"/>
    </row>
    <row r="3731" spans="2:2" x14ac:dyDescent="0.25">
      <c r="B3731" s="51" t="s">
        <v>1695</v>
      </c>
    </row>
    <row r="3732" spans="2:2" x14ac:dyDescent="0.25">
      <c r="B3732" s="53"/>
    </row>
    <row r="3733" spans="2:2" x14ac:dyDescent="0.25">
      <c r="B3733" s="51" t="s">
        <v>1696</v>
      </c>
    </row>
    <row r="3734" spans="2:2" x14ac:dyDescent="0.25">
      <c r="B3734" s="53"/>
    </row>
    <row r="3735" spans="2:2" x14ac:dyDescent="0.25">
      <c r="B3735" s="51" t="s">
        <v>1697</v>
      </c>
    </row>
    <row r="3736" spans="2:2" x14ac:dyDescent="0.25">
      <c r="B3736" s="53"/>
    </row>
    <row r="3737" spans="2:2" x14ac:dyDescent="0.25">
      <c r="B3737" s="51" t="s">
        <v>1698</v>
      </c>
    </row>
    <row r="3738" spans="2:2" x14ac:dyDescent="0.25">
      <c r="B3738" s="53"/>
    </row>
    <row r="3739" spans="2:2" x14ac:dyDescent="0.25">
      <c r="B3739" s="51" t="s">
        <v>1699</v>
      </c>
    </row>
    <row r="3740" spans="2:2" x14ac:dyDescent="0.25">
      <c r="B3740" s="53"/>
    </row>
    <row r="3741" spans="2:2" x14ac:dyDescent="0.25">
      <c r="B3741" s="51" t="s">
        <v>1700</v>
      </c>
    </row>
    <row r="3742" spans="2:2" x14ac:dyDescent="0.25">
      <c r="B3742" s="53"/>
    </row>
    <row r="3743" spans="2:2" x14ac:dyDescent="0.25">
      <c r="B3743" s="51" t="s">
        <v>1701</v>
      </c>
    </row>
    <row r="3744" spans="2:2" x14ac:dyDescent="0.25">
      <c r="B3744" s="53"/>
    </row>
    <row r="3745" spans="2:2" x14ac:dyDescent="0.25">
      <c r="B3745" s="51" t="s">
        <v>1702</v>
      </c>
    </row>
    <row r="3746" spans="2:2" x14ac:dyDescent="0.25">
      <c r="B3746" s="53"/>
    </row>
    <row r="3747" spans="2:2" x14ac:dyDescent="0.25">
      <c r="B3747" s="51" t="s">
        <v>1703</v>
      </c>
    </row>
    <row r="3748" spans="2:2" x14ac:dyDescent="0.25">
      <c r="B3748" s="53"/>
    </row>
    <row r="3749" spans="2:2" x14ac:dyDescent="0.25">
      <c r="B3749" s="51" t="s">
        <v>1704</v>
      </c>
    </row>
    <row r="3750" spans="2:2" x14ac:dyDescent="0.25">
      <c r="B3750" s="53"/>
    </row>
    <row r="3751" spans="2:2" x14ac:dyDescent="0.25">
      <c r="B3751" s="51" t="s">
        <v>1705</v>
      </c>
    </row>
    <row r="3752" spans="2:2" x14ac:dyDescent="0.25">
      <c r="B3752" s="53"/>
    </row>
    <row r="3753" spans="2:2" x14ac:dyDescent="0.25">
      <c r="B3753" s="51" t="s">
        <v>1706</v>
      </c>
    </row>
    <row r="3754" spans="2:2" x14ac:dyDescent="0.25">
      <c r="B3754" s="53"/>
    </row>
    <row r="3755" spans="2:2" x14ac:dyDescent="0.25">
      <c r="B3755" s="51" t="s">
        <v>1707</v>
      </c>
    </row>
    <row r="3756" spans="2:2" x14ac:dyDescent="0.25">
      <c r="B3756" s="53"/>
    </row>
    <row r="3757" spans="2:2" x14ac:dyDescent="0.25">
      <c r="B3757" s="51" t="s">
        <v>1708</v>
      </c>
    </row>
    <row r="3758" spans="2:2" x14ac:dyDescent="0.25">
      <c r="B3758" s="53"/>
    </row>
    <row r="3759" spans="2:2" x14ac:dyDescent="0.25">
      <c r="B3759" s="51" t="s">
        <v>1709</v>
      </c>
    </row>
    <row r="3760" spans="2:2" x14ac:dyDescent="0.25">
      <c r="B3760" s="53"/>
    </row>
    <row r="3761" spans="2:2" x14ac:dyDescent="0.25">
      <c r="B3761" s="51" t="s">
        <v>1710</v>
      </c>
    </row>
    <row r="3762" spans="2:2" x14ac:dyDescent="0.25">
      <c r="B3762" s="53"/>
    </row>
    <row r="3763" spans="2:2" x14ac:dyDescent="0.25">
      <c r="B3763" s="51" t="s">
        <v>1711</v>
      </c>
    </row>
    <row r="3764" spans="2:2" x14ac:dyDescent="0.25">
      <c r="B3764" s="53"/>
    </row>
    <row r="3765" spans="2:2" x14ac:dyDescent="0.25">
      <c r="B3765" s="51" t="s">
        <v>1712</v>
      </c>
    </row>
    <row r="3766" spans="2:2" x14ac:dyDescent="0.25">
      <c r="B3766" s="53"/>
    </row>
    <row r="3767" spans="2:2" x14ac:dyDescent="0.25">
      <c r="B3767" s="51" t="s">
        <v>1713</v>
      </c>
    </row>
    <row r="3768" spans="2:2" x14ac:dyDescent="0.25">
      <c r="B3768" s="53"/>
    </row>
    <row r="3769" spans="2:2" x14ac:dyDescent="0.25">
      <c r="B3769" s="51" t="s">
        <v>1714</v>
      </c>
    </row>
    <row r="3770" spans="2:2" x14ac:dyDescent="0.25">
      <c r="B3770" s="53"/>
    </row>
    <row r="3771" spans="2:2" x14ac:dyDescent="0.25">
      <c r="B3771" s="51" t="s">
        <v>1715</v>
      </c>
    </row>
    <row r="3772" spans="2:2" x14ac:dyDescent="0.25">
      <c r="B3772" s="53"/>
    </row>
    <row r="3773" spans="2:2" x14ac:dyDescent="0.25">
      <c r="B3773" s="51" t="s">
        <v>1716</v>
      </c>
    </row>
    <row r="3774" spans="2:2" x14ac:dyDescent="0.25">
      <c r="B3774" s="53"/>
    </row>
    <row r="3775" spans="2:2" x14ac:dyDescent="0.25">
      <c r="B3775" s="51" t="s">
        <v>1717</v>
      </c>
    </row>
    <row r="3776" spans="2:2" x14ac:dyDescent="0.25">
      <c r="B3776" s="53"/>
    </row>
    <row r="3777" spans="2:2" x14ac:dyDescent="0.25">
      <c r="B3777" s="51" t="s">
        <v>1718</v>
      </c>
    </row>
    <row r="3778" spans="2:2" x14ac:dyDescent="0.25">
      <c r="B3778" s="53"/>
    </row>
    <row r="3779" spans="2:2" x14ac:dyDescent="0.25">
      <c r="B3779" s="51" t="s">
        <v>1719</v>
      </c>
    </row>
    <row r="3780" spans="2:2" x14ac:dyDescent="0.25">
      <c r="B3780" s="53"/>
    </row>
    <row r="3781" spans="2:2" x14ac:dyDescent="0.25">
      <c r="B3781" s="51" t="s">
        <v>1720</v>
      </c>
    </row>
    <row r="3782" spans="2:2" x14ac:dyDescent="0.25">
      <c r="B3782" s="53"/>
    </row>
    <row r="3783" spans="2:2" x14ac:dyDescent="0.25">
      <c r="B3783" s="51" t="s">
        <v>1721</v>
      </c>
    </row>
    <row r="3784" spans="2:2" x14ac:dyDescent="0.25">
      <c r="B3784" s="53"/>
    </row>
    <row r="3785" spans="2:2" x14ac:dyDescent="0.25">
      <c r="B3785" s="51" t="s">
        <v>1722</v>
      </c>
    </row>
    <row r="3786" spans="2:2" x14ac:dyDescent="0.25">
      <c r="B3786" s="53"/>
    </row>
    <row r="3787" spans="2:2" x14ac:dyDescent="0.25">
      <c r="B3787" s="51" t="s">
        <v>1723</v>
      </c>
    </row>
    <row r="3788" spans="2:2" x14ac:dyDescent="0.25">
      <c r="B3788" s="53"/>
    </row>
    <row r="3789" spans="2:2" x14ac:dyDescent="0.25">
      <c r="B3789" s="51" t="s">
        <v>1724</v>
      </c>
    </row>
    <row r="3790" spans="2:2" x14ac:dyDescent="0.25">
      <c r="B3790" s="53"/>
    </row>
    <row r="3791" spans="2:2" x14ac:dyDescent="0.25">
      <c r="B3791" s="51" t="s">
        <v>1725</v>
      </c>
    </row>
    <row r="3792" spans="2:2" x14ac:dyDescent="0.25">
      <c r="B3792" s="53"/>
    </row>
    <row r="3793" spans="2:2" x14ac:dyDescent="0.25">
      <c r="B3793" s="51" t="s">
        <v>1726</v>
      </c>
    </row>
    <row r="3794" spans="2:2" x14ac:dyDescent="0.25">
      <c r="B3794" s="53"/>
    </row>
    <row r="3795" spans="2:2" x14ac:dyDescent="0.25">
      <c r="B3795" s="51" t="s">
        <v>1727</v>
      </c>
    </row>
    <row r="3796" spans="2:2" x14ac:dyDescent="0.25">
      <c r="B3796" s="53"/>
    </row>
    <row r="3797" spans="2:2" x14ac:dyDescent="0.25">
      <c r="B3797" s="51" t="s">
        <v>1728</v>
      </c>
    </row>
    <row r="3798" spans="2:2" x14ac:dyDescent="0.25">
      <c r="B3798" s="53"/>
    </row>
    <row r="3799" spans="2:2" x14ac:dyDescent="0.25">
      <c r="B3799" s="51" t="s">
        <v>1729</v>
      </c>
    </row>
    <row r="3800" spans="2:2" x14ac:dyDescent="0.25">
      <c r="B3800" s="53"/>
    </row>
    <row r="3801" spans="2:2" x14ac:dyDescent="0.25">
      <c r="B3801" s="51" t="s">
        <v>1730</v>
      </c>
    </row>
    <row r="3802" spans="2:2" x14ac:dyDescent="0.25">
      <c r="B3802" s="53"/>
    </row>
    <row r="3803" spans="2:2" x14ac:dyDescent="0.25">
      <c r="B3803" s="51" t="s">
        <v>1731</v>
      </c>
    </row>
    <row r="3804" spans="2:2" x14ac:dyDescent="0.25">
      <c r="B3804" s="53"/>
    </row>
    <row r="3805" spans="2:2" x14ac:dyDescent="0.25">
      <c r="B3805" s="51" t="s">
        <v>1732</v>
      </c>
    </row>
    <row r="3806" spans="2:2" x14ac:dyDescent="0.25">
      <c r="B3806" s="53"/>
    </row>
    <row r="3807" spans="2:2" x14ac:dyDescent="0.25">
      <c r="B3807" s="51" t="s">
        <v>1733</v>
      </c>
    </row>
    <row r="3808" spans="2:2" x14ac:dyDescent="0.25">
      <c r="B3808" s="53"/>
    </row>
    <row r="3809" spans="2:2" x14ac:dyDescent="0.25">
      <c r="B3809" s="51" t="s">
        <v>1734</v>
      </c>
    </row>
    <row r="3810" spans="2:2" x14ac:dyDescent="0.25">
      <c r="B3810" s="53"/>
    </row>
    <row r="3811" spans="2:2" x14ac:dyDescent="0.25">
      <c r="B3811" s="51" t="s">
        <v>1735</v>
      </c>
    </row>
    <row r="3812" spans="2:2" x14ac:dyDescent="0.25">
      <c r="B3812" s="53"/>
    </row>
    <row r="3813" spans="2:2" x14ac:dyDescent="0.25">
      <c r="B3813" s="51" t="s">
        <v>1736</v>
      </c>
    </row>
    <row r="3814" spans="2:2" x14ac:dyDescent="0.25">
      <c r="B3814" s="53"/>
    </row>
    <row r="3815" spans="2:2" x14ac:dyDescent="0.25">
      <c r="B3815" s="51" t="s">
        <v>1737</v>
      </c>
    </row>
    <row r="3816" spans="2:2" x14ac:dyDescent="0.25">
      <c r="B3816" s="53"/>
    </row>
    <row r="3817" spans="2:2" x14ac:dyDescent="0.25">
      <c r="B3817" s="51" t="s">
        <v>1738</v>
      </c>
    </row>
    <row r="3818" spans="2:2" x14ac:dyDescent="0.25">
      <c r="B3818" s="53"/>
    </row>
    <row r="3819" spans="2:2" x14ac:dyDescent="0.25">
      <c r="B3819" s="51" t="s">
        <v>1739</v>
      </c>
    </row>
    <row r="3820" spans="2:2" x14ac:dyDescent="0.25">
      <c r="B3820" s="53"/>
    </row>
    <row r="3821" spans="2:2" x14ac:dyDescent="0.25">
      <c r="B3821" s="51" t="s">
        <v>1740</v>
      </c>
    </row>
    <row r="3822" spans="2:2" x14ac:dyDescent="0.25">
      <c r="B3822" s="53"/>
    </row>
    <row r="3823" spans="2:2" x14ac:dyDescent="0.25">
      <c r="B3823" s="51" t="s">
        <v>1741</v>
      </c>
    </row>
    <row r="3824" spans="2:2" x14ac:dyDescent="0.25">
      <c r="B3824" s="53"/>
    </row>
    <row r="3825" spans="2:2" x14ac:dyDescent="0.25">
      <c r="B3825" s="51" t="s">
        <v>1742</v>
      </c>
    </row>
    <row r="3826" spans="2:2" x14ac:dyDescent="0.25">
      <c r="B3826" s="53"/>
    </row>
    <row r="3827" spans="2:2" x14ac:dyDescent="0.25">
      <c r="B3827" s="51" t="s">
        <v>1743</v>
      </c>
    </row>
    <row r="3828" spans="2:2" x14ac:dyDescent="0.25">
      <c r="B3828" s="53"/>
    </row>
    <row r="3829" spans="2:2" x14ac:dyDescent="0.25">
      <c r="B3829" s="51" t="s">
        <v>1744</v>
      </c>
    </row>
    <row r="3830" spans="2:2" x14ac:dyDescent="0.25">
      <c r="B3830" s="53"/>
    </row>
    <row r="3831" spans="2:2" x14ac:dyDescent="0.25">
      <c r="B3831" s="51" t="s">
        <v>1745</v>
      </c>
    </row>
    <row r="3832" spans="2:2" x14ac:dyDescent="0.25">
      <c r="B3832" s="53"/>
    </row>
    <row r="3833" spans="2:2" x14ac:dyDescent="0.25">
      <c r="B3833" s="51" t="s">
        <v>1746</v>
      </c>
    </row>
    <row r="3834" spans="2:2" x14ac:dyDescent="0.25">
      <c r="B3834" s="53"/>
    </row>
    <row r="3835" spans="2:2" x14ac:dyDescent="0.25">
      <c r="B3835" s="51" t="s">
        <v>1747</v>
      </c>
    </row>
    <row r="3836" spans="2:2" x14ac:dyDescent="0.25">
      <c r="B3836" s="53"/>
    </row>
    <row r="3837" spans="2:2" x14ac:dyDescent="0.25">
      <c r="B3837" s="51" t="s">
        <v>1748</v>
      </c>
    </row>
    <row r="3838" spans="2:2" x14ac:dyDescent="0.25">
      <c r="B3838" s="53"/>
    </row>
    <row r="3839" spans="2:2" x14ac:dyDescent="0.25">
      <c r="B3839" s="51" t="s">
        <v>1749</v>
      </c>
    </row>
    <row r="3840" spans="2:2" x14ac:dyDescent="0.25">
      <c r="B3840" s="53"/>
    </row>
    <row r="3841" spans="2:2" x14ac:dyDescent="0.25">
      <c r="B3841" s="51" t="s">
        <v>1750</v>
      </c>
    </row>
    <row r="3842" spans="2:2" x14ac:dyDescent="0.25">
      <c r="B3842" s="53"/>
    </row>
    <row r="3843" spans="2:2" x14ac:dyDescent="0.25">
      <c r="B3843" s="51" t="s">
        <v>1751</v>
      </c>
    </row>
    <row r="3844" spans="2:2" x14ac:dyDescent="0.25">
      <c r="B3844" s="53"/>
    </row>
    <row r="3845" spans="2:2" x14ac:dyDescent="0.25">
      <c r="B3845" s="51" t="s">
        <v>1752</v>
      </c>
    </row>
    <row r="3846" spans="2:2" x14ac:dyDescent="0.25">
      <c r="B3846" s="53"/>
    </row>
    <row r="3847" spans="2:2" x14ac:dyDescent="0.25">
      <c r="B3847" s="51" t="s">
        <v>1753</v>
      </c>
    </row>
    <row r="3848" spans="2:2" x14ac:dyDescent="0.25">
      <c r="B3848" s="53"/>
    </row>
    <row r="3849" spans="2:2" x14ac:dyDescent="0.25">
      <c r="B3849" s="51" t="s">
        <v>1754</v>
      </c>
    </row>
    <row r="3850" spans="2:2" x14ac:dyDescent="0.25">
      <c r="B3850" s="53"/>
    </row>
    <row r="3851" spans="2:2" x14ac:dyDescent="0.25">
      <c r="B3851" s="51" t="s">
        <v>1755</v>
      </c>
    </row>
    <row r="3852" spans="2:2" x14ac:dyDescent="0.25">
      <c r="B3852" s="53"/>
    </row>
    <row r="3853" spans="2:2" x14ac:dyDescent="0.25">
      <c r="B3853" s="51" t="s">
        <v>1756</v>
      </c>
    </row>
    <row r="3854" spans="2:2" x14ac:dyDescent="0.25">
      <c r="B3854" s="53"/>
    </row>
    <row r="3855" spans="2:2" x14ac:dyDescent="0.25">
      <c r="B3855" s="51" t="s">
        <v>1757</v>
      </c>
    </row>
    <row r="3856" spans="2:2" x14ac:dyDescent="0.25">
      <c r="B3856" s="53"/>
    </row>
    <row r="3857" spans="2:2" x14ac:dyDescent="0.25">
      <c r="B3857" s="51" t="s">
        <v>1758</v>
      </c>
    </row>
    <row r="3858" spans="2:2" x14ac:dyDescent="0.25">
      <c r="B3858" s="53"/>
    </row>
    <row r="3859" spans="2:2" x14ac:dyDescent="0.25">
      <c r="B3859" s="51" t="s">
        <v>1759</v>
      </c>
    </row>
    <row r="3860" spans="2:2" x14ac:dyDescent="0.25">
      <c r="B3860" s="53"/>
    </row>
    <row r="3861" spans="2:2" x14ac:dyDescent="0.25">
      <c r="B3861" s="51" t="s">
        <v>1760</v>
      </c>
    </row>
    <row r="3862" spans="2:2" x14ac:dyDescent="0.25">
      <c r="B3862" s="53"/>
    </row>
    <row r="3863" spans="2:2" x14ac:dyDescent="0.25">
      <c r="B3863" s="51" t="s">
        <v>1761</v>
      </c>
    </row>
    <row r="3864" spans="2:2" x14ac:dyDescent="0.25">
      <c r="B3864" s="53"/>
    </row>
    <row r="3865" spans="2:2" x14ac:dyDescent="0.25">
      <c r="B3865" s="51" t="s">
        <v>1762</v>
      </c>
    </row>
    <row r="3866" spans="2:2" x14ac:dyDescent="0.25">
      <c r="B3866" s="53"/>
    </row>
    <row r="3867" spans="2:2" x14ac:dyDescent="0.25">
      <c r="B3867" s="51" t="s">
        <v>1763</v>
      </c>
    </row>
    <row r="3868" spans="2:2" x14ac:dyDescent="0.25">
      <c r="B3868" s="53"/>
    </row>
    <row r="3869" spans="2:2" x14ac:dyDescent="0.25">
      <c r="B3869" s="51" t="s">
        <v>1764</v>
      </c>
    </row>
    <row r="3870" spans="2:2" x14ac:dyDescent="0.25">
      <c r="B3870" s="53"/>
    </row>
    <row r="3871" spans="2:2" x14ac:dyDescent="0.25">
      <c r="B3871" s="51" t="s">
        <v>1765</v>
      </c>
    </row>
    <row r="3872" spans="2:2" x14ac:dyDescent="0.25">
      <c r="B3872" s="53"/>
    </row>
    <row r="3873" spans="2:2" x14ac:dyDescent="0.25">
      <c r="B3873" s="51" t="s">
        <v>1766</v>
      </c>
    </row>
    <row r="3874" spans="2:2" x14ac:dyDescent="0.25">
      <c r="B3874" s="53"/>
    </row>
    <row r="3875" spans="2:2" x14ac:dyDescent="0.25">
      <c r="B3875" s="51" t="s">
        <v>1767</v>
      </c>
    </row>
    <row r="3876" spans="2:2" x14ac:dyDescent="0.25">
      <c r="B3876" s="53"/>
    </row>
    <row r="3877" spans="2:2" x14ac:dyDescent="0.25">
      <c r="B3877" s="51" t="s">
        <v>1768</v>
      </c>
    </row>
    <row r="3878" spans="2:2" x14ac:dyDescent="0.25">
      <c r="B3878" s="53"/>
    </row>
    <row r="3879" spans="2:2" x14ac:dyDescent="0.25">
      <c r="B3879" s="51" t="s">
        <v>1769</v>
      </c>
    </row>
    <row r="3880" spans="2:2" x14ac:dyDescent="0.25">
      <c r="B3880" s="53"/>
    </row>
    <row r="3881" spans="2:2" x14ac:dyDescent="0.25">
      <c r="B3881" s="51" t="s">
        <v>1770</v>
      </c>
    </row>
    <row r="3882" spans="2:2" x14ac:dyDescent="0.25">
      <c r="B3882" s="53"/>
    </row>
    <row r="3883" spans="2:2" x14ac:dyDescent="0.25">
      <c r="B3883" s="51" t="s">
        <v>1771</v>
      </c>
    </row>
    <row r="3884" spans="2:2" x14ac:dyDescent="0.25">
      <c r="B3884" s="53"/>
    </row>
    <row r="3885" spans="2:2" x14ac:dyDescent="0.25">
      <c r="B3885" s="51" t="s">
        <v>1772</v>
      </c>
    </row>
    <row r="3886" spans="2:2" x14ac:dyDescent="0.25">
      <c r="B3886" s="53"/>
    </row>
    <row r="3887" spans="2:2" x14ac:dyDescent="0.25">
      <c r="B3887" s="51" t="s">
        <v>1773</v>
      </c>
    </row>
    <row r="3888" spans="2:2" x14ac:dyDescent="0.25">
      <c r="B3888" s="53"/>
    </row>
    <row r="3889" spans="2:2" x14ac:dyDescent="0.25">
      <c r="B3889" s="51" t="s">
        <v>1774</v>
      </c>
    </row>
    <row r="3890" spans="2:2" x14ac:dyDescent="0.25">
      <c r="B3890" s="53"/>
    </row>
    <row r="3891" spans="2:2" x14ac:dyDescent="0.25">
      <c r="B3891" s="51" t="s">
        <v>1775</v>
      </c>
    </row>
    <row r="3892" spans="2:2" x14ac:dyDescent="0.25">
      <c r="B3892" s="53"/>
    </row>
    <row r="3893" spans="2:2" x14ac:dyDescent="0.25">
      <c r="B3893" s="51" t="s">
        <v>1776</v>
      </c>
    </row>
    <row r="3894" spans="2:2" x14ac:dyDescent="0.25">
      <c r="B3894" s="53"/>
    </row>
    <row r="3895" spans="2:2" x14ac:dyDescent="0.25">
      <c r="B3895" s="51" t="s">
        <v>1777</v>
      </c>
    </row>
    <row r="3896" spans="2:2" x14ac:dyDescent="0.25">
      <c r="B3896" s="53"/>
    </row>
    <row r="3897" spans="2:2" x14ac:dyDescent="0.25">
      <c r="B3897" s="51" t="s">
        <v>1778</v>
      </c>
    </row>
    <row r="3898" spans="2:2" x14ac:dyDescent="0.25">
      <c r="B3898" s="53"/>
    </row>
    <row r="3899" spans="2:2" x14ac:dyDescent="0.25">
      <c r="B3899" s="51" t="s">
        <v>1779</v>
      </c>
    </row>
    <row r="3900" spans="2:2" x14ac:dyDescent="0.25">
      <c r="B3900" s="53"/>
    </row>
    <row r="3901" spans="2:2" x14ac:dyDescent="0.25">
      <c r="B3901" s="51" t="s">
        <v>1780</v>
      </c>
    </row>
    <row r="3902" spans="2:2" x14ac:dyDescent="0.25">
      <c r="B3902" s="53"/>
    </row>
    <row r="3903" spans="2:2" x14ac:dyDescent="0.25">
      <c r="B3903" s="51" t="s">
        <v>1781</v>
      </c>
    </row>
    <row r="3904" spans="2:2" x14ac:dyDescent="0.25">
      <c r="B3904" s="53"/>
    </row>
    <row r="3905" spans="2:2" x14ac:dyDescent="0.25">
      <c r="B3905" s="51" t="s">
        <v>1782</v>
      </c>
    </row>
    <row r="3906" spans="2:2" x14ac:dyDescent="0.25">
      <c r="B3906" s="53"/>
    </row>
    <row r="3907" spans="2:2" x14ac:dyDescent="0.25">
      <c r="B3907" s="51" t="s">
        <v>1783</v>
      </c>
    </row>
    <row r="3908" spans="2:2" x14ac:dyDescent="0.25">
      <c r="B3908" s="53"/>
    </row>
    <row r="3909" spans="2:2" x14ac:dyDescent="0.25">
      <c r="B3909" s="51" t="s">
        <v>1784</v>
      </c>
    </row>
    <row r="3910" spans="2:2" x14ac:dyDescent="0.25">
      <c r="B3910" s="53"/>
    </row>
    <row r="3911" spans="2:2" x14ac:dyDescent="0.25">
      <c r="B3911" s="51" t="s">
        <v>1785</v>
      </c>
    </row>
    <row r="3912" spans="2:2" x14ac:dyDescent="0.25">
      <c r="B3912" s="53"/>
    </row>
    <row r="3913" spans="2:2" x14ac:dyDescent="0.25">
      <c r="B3913" s="51" t="s">
        <v>1786</v>
      </c>
    </row>
    <row r="3914" spans="2:2" x14ac:dyDescent="0.25">
      <c r="B3914" s="53"/>
    </row>
    <row r="3915" spans="2:2" x14ac:dyDescent="0.25">
      <c r="B3915" s="51" t="s">
        <v>1787</v>
      </c>
    </row>
    <row r="3916" spans="2:2" x14ac:dyDescent="0.25">
      <c r="B3916" s="53"/>
    </row>
    <row r="3917" spans="2:2" x14ac:dyDescent="0.25">
      <c r="B3917" s="51" t="s">
        <v>1788</v>
      </c>
    </row>
    <row r="3918" spans="2:2" x14ac:dyDescent="0.25">
      <c r="B3918" s="53"/>
    </row>
    <row r="3919" spans="2:2" x14ac:dyDescent="0.25">
      <c r="B3919" s="51" t="s">
        <v>1789</v>
      </c>
    </row>
    <row r="3920" spans="2:2" x14ac:dyDescent="0.25">
      <c r="B3920" s="53"/>
    </row>
    <row r="3921" spans="2:2" x14ac:dyDescent="0.25">
      <c r="B3921" s="51" t="s">
        <v>1790</v>
      </c>
    </row>
    <row r="3922" spans="2:2" x14ac:dyDescent="0.25">
      <c r="B3922" s="53"/>
    </row>
    <row r="3923" spans="2:2" x14ac:dyDescent="0.25">
      <c r="B3923" s="51" t="s">
        <v>1791</v>
      </c>
    </row>
    <row r="3924" spans="2:2" x14ac:dyDescent="0.25">
      <c r="B3924" s="53"/>
    </row>
    <row r="3925" spans="2:2" x14ac:dyDescent="0.25">
      <c r="B3925" s="51" t="s">
        <v>1792</v>
      </c>
    </row>
    <row r="3926" spans="2:2" x14ac:dyDescent="0.25">
      <c r="B3926" s="53"/>
    </row>
    <row r="3927" spans="2:2" x14ac:dyDescent="0.25">
      <c r="B3927" s="51" t="s">
        <v>1793</v>
      </c>
    </row>
    <row r="3928" spans="2:2" x14ac:dyDescent="0.25">
      <c r="B3928" s="53"/>
    </row>
    <row r="3929" spans="2:2" x14ac:dyDescent="0.25">
      <c r="B3929" s="51" t="s">
        <v>1794</v>
      </c>
    </row>
    <row r="3930" spans="2:2" x14ac:dyDescent="0.25">
      <c r="B3930" s="53"/>
    </row>
    <row r="3931" spans="2:2" x14ac:dyDescent="0.25">
      <c r="B3931" s="51" t="s">
        <v>1795</v>
      </c>
    </row>
    <row r="3932" spans="2:2" x14ac:dyDescent="0.25">
      <c r="B3932" s="53"/>
    </row>
    <row r="3933" spans="2:2" x14ac:dyDescent="0.25">
      <c r="B3933" s="51" t="s">
        <v>1796</v>
      </c>
    </row>
    <row r="3934" spans="2:2" x14ac:dyDescent="0.25">
      <c r="B3934" s="53"/>
    </row>
    <row r="3935" spans="2:2" x14ac:dyDescent="0.25">
      <c r="B3935" s="51" t="s">
        <v>1797</v>
      </c>
    </row>
    <row r="3936" spans="2:2" x14ac:dyDescent="0.25">
      <c r="B3936" s="53"/>
    </row>
    <row r="3937" spans="2:2" x14ac:dyDescent="0.25">
      <c r="B3937" s="51" t="s">
        <v>1798</v>
      </c>
    </row>
    <row r="3938" spans="2:2" x14ac:dyDescent="0.25">
      <c r="B3938" s="53"/>
    </row>
    <row r="3939" spans="2:2" x14ac:dyDescent="0.25">
      <c r="B3939" s="51" t="s">
        <v>1799</v>
      </c>
    </row>
    <row r="3940" spans="2:2" x14ac:dyDescent="0.25">
      <c r="B3940" s="53"/>
    </row>
    <row r="3941" spans="2:2" x14ac:dyDescent="0.25">
      <c r="B3941" s="51" t="s">
        <v>1800</v>
      </c>
    </row>
    <row r="3942" spans="2:2" x14ac:dyDescent="0.25">
      <c r="B3942" s="53"/>
    </row>
    <row r="3943" spans="2:2" x14ac:dyDescent="0.25">
      <c r="B3943" s="51" t="s">
        <v>1801</v>
      </c>
    </row>
    <row r="3944" spans="2:2" x14ac:dyDescent="0.25">
      <c r="B3944" s="53"/>
    </row>
    <row r="3945" spans="2:2" x14ac:dyDescent="0.25">
      <c r="B3945" s="51" t="s">
        <v>1802</v>
      </c>
    </row>
    <row r="3946" spans="2:2" x14ac:dyDescent="0.25">
      <c r="B3946" s="53"/>
    </row>
    <row r="3947" spans="2:2" x14ac:dyDescent="0.25">
      <c r="B3947" s="51" t="s">
        <v>1803</v>
      </c>
    </row>
    <row r="3948" spans="2:2" x14ac:dyDescent="0.25">
      <c r="B3948" s="53"/>
    </row>
    <row r="3949" spans="2:2" x14ac:dyDescent="0.25">
      <c r="B3949" s="51" t="s">
        <v>1804</v>
      </c>
    </row>
    <row r="3950" spans="2:2" x14ac:dyDescent="0.25">
      <c r="B3950" s="53"/>
    </row>
    <row r="3951" spans="2:2" x14ac:dyDescent="0.25">
      <c r="B3951" s="51" t="s">
        <v>1805</v>
      </c>
    </row>
    <row r="3952" spans="2:2" x14ac:dyDescent="0.25">
      <c r="B3952" s="53"/>
    </row>
    <row r="3953" spans="2:2" x14ac:dyDescent="0.25">
      <c r="B3953" s="51" t="s">
        <v>1806</v>
      </c>
    </row>
    <row r="3954" spans="2:2" x14ac:dyDescent="0.25">
      <c r="B3954" s="53"/>
    </row>
    <row r="3955" spans="2:2" x14ac:dyDescent="0.25">
      <c r="B3955" s="51" t="s">
        <v>1807</v>
      </c>
    </row>
    <row r="3956" spans="2:2" x14ac:dyDescent="0.25">
      <c r="B3956" s="53"/>
    </row>
    <row r="3957" spans="2:2" x14ac:dyDescent="0.25">
      <c r="B3957" s="51" t="s">
        <v>1808</v>
      </c>
    </row>
    <row r="3958" spans="2:2" x14ac:dyDescent="0.25">
      <c r="B3958" s="53"/>
    </row>
    <row r="3959" spans="2:2" x14ac:dyDescent="0.25">
      <c r="B3959" s="51" t="s">
        <v>1809</v>
      </c>
    </row>
    <row r="3960" spans="2:2" x14ac:dyDescent="0.25">
      <c r="B3960" s="53"/>
    </row>
    <row r="3961" spans="2:2" x14ac:dyDescent="0.25">
      <c r="B3961" s="51" t="s">
        <v>1810</v>
      </c>
    </row>
    <row r="3962" spans="2:2" x14ac:dyDescent="0.25">
      <c r="B3962" s="53"/>
    </row>
    <row r="3963" spans="2:2" x14ac:dyDescent="0.25">
      <c r="B3963" s="51" t="s">
        <v>1811</v>
      </c>
    </row>
    <row r="3964" spans="2:2" x14ac:dyDescent="0.25">
      <c r="B3964" s="53"/>
    </row>
    <row r="3965" spans="2:2" x14ac:dyDescent="0.25">
      <c r="B3965" s="51" t="s">
        <v>1812</v>
      </c>
    </row>
    <row r="3966" spans="2:2" x14ac:dyDescent="0.25">
      <c r="B3966" s="53"/>
    </row>
    <row r="3967" spans="2:2" x14ac:dyDescent="0.25">
      <c r="B3967" s="51" t="s">
        <v>1813</v>
      </c>
    </row>
    <row r="3968" spans="2:2" x14ac:dyDescent="0.25">
      <c r="B3968" s="53"/>
    </row>
    <row r="3969" spans="2:2" x14ac:dyDescent="0.25">
      <c r="B3969" s="51" t="s">
        <v>1814</v>
      </c>
    </row>
    <row r="3970" spans="2:2" x14ac:dyDescent="0.25">
      <c r="B3970" s="53"/>
    </row>
    <row r="3971" spans="2:2" x14ac:dyDescent="0.25">
      <c r="B3971" s="51" t="s">
        <v>1815</v>
      </c>
    </row>
    <row r="3972" spans="2:2" x14ac:dyDescent="0.25">
      <c r="B3972" s="53"/>
    </row>
    <row r="3973" spans="2:2" x14ac:dyDescent="0.25">
      <c r="B3973" s="51" t="s">
        <v>1816</v>
      </c>
    </row>
    <row r="3974" spans="2:2" x14ac:dyDescent="0.25">
      <c r="B3974" s="53"/>
    </row>
    <row r="3975" spans="2:2" x14ac:dyDescent="0.25">
      <c r="B3975" s="51" t="s">
        <v>1817</v>
      </c>
    </row>
    <row r="3976" spans="2:2" x14ac:dyDescent="0.25">
      <c r="B3976" s="53"/>
    </row>
    <row r="3977" spans="2:2" x14ac:dyDescent="0.25">
      <c r="B3977" s="51" t="s">
        <v>1818</v>
      </c>
    </row>
    <row r="3978" spans="2:2" x14ac:dyDescent="0.25">
      <c r="B3978" s="53"/>
    </row>
    <row r="3979" spans="2:2" x14ac:dyDescent="0.25">
      <c r="B3979" s="51" t="s">
        <v>1819</v>
      </c>
    </row>
    <row r="3980" spans="2:2" x14ac:dyDescent="0.25">
      <c r="B3980" s="53"/>
    </row>
    <row r="3981" spans="2:2" x14ac:dyDescent="0.25">
      <c r="B3981" s="51" t="s">
        <v>1820</v>
      </c>
    </row>
    <row r="3982" spans="2:2" x14ac:dyDescent="0.25">
      <c r="B3982" s="53"/>
    </row>
    <row r="3983" spans="2:2" x14ac:dyDescent="0.25">
      <c r="B3983" s="51" t="s">
        <v>1821</v>
      </c>
    </row>
    <row r="3984" spans="2:2" x14ac:dyDescent="0.25">
      <c r="B3984" s="53"/>
    </row>
    <row r="3985" spans="2:2" x14ac:dyDescent="0.25">
      <c r="B3985" s="51" t="s">
        <v>1822</v>
      </c>
    </row>
    <row r="3986" spans="2:2" x14ac:dyDescent="0.25">
      <c r="B3986" s="53"/>
    </row>
    <row r="3987" spans="2:2" x14ac:dyDescent="0.25">
      <c r="B3987" s="51" t="s">
        <v>1823</v>
      </c>
    </row>
    <row r="3988" spans="2:2" x14ac:dyDescent="0.25">
      <c r="B3988" s="53"/>
    </row>
    <row r="3989" spans="2:2" x14ac:dyDescent="0.25">
      <c r="B3989" s="51" t="s">
        <v>1824</v>
      </c>
    </row>
    <row r="3990" spans="2:2" x14ac:dyDescent="0.25">
      <c r="B3990" s="53"/>
    </row>
    <row r="3991" spans="2:2" x14ac:dyDescent="0.25">
      <c r="B3991" s="51" t="s">
        <v>1825</v>
      </c>
    </row>
    <row r="3992" spans="2:2" x14ac:dyDescent="0.25">
      <c r="B3992" s="53"/>
    </row>
    <row r="3993" spans="2:2" x14ac:dyDescent="0.25">
      <c r="B3993" s="51" t="s">
        <v>1826</v>
      </c>
    </row>
    <row r="3994" spans="2:2" x14ac:dyDescent="0.25">
      <c r="B3994" s="53"/>
    </row>
    <row r="3995" spans="2:2" x14ac:dyDescent="0.25">
      <c r="B3995" s="51" t="s">
        <v>1827</v>
      </c>
    </row>
    <row r="3996" spans="2:2" x14ac:dyDescent="0.25">
      <c r="B3996" s="53"/>
    </row>
    <row r="3997" spans="2:2" x14ac:dyDescent="0.25">
      <c r="B3997" s="51" t="s">
        <v>1828</v>
      </c>
    </row>
    <row r="3998" spans="2:2" x14ac:dyDescent="0.25">
      <c r="B3998" s="53"/>
    </row>
    <row r="3999" spans="2:2" x14ac:dyDescent="0.25">
      <c r="B3999" s="51" t="s">
        <v>1829</v>
      </c>
    </row>
    <row r="4000" spans="2:2" x14ac:dyDescent="0.25">
      <c r="B4000" s="53"/>
    </row>
    <row r="4001" spans="2:2" x14ac:dyDescent="0.25">
      <c r="B4001" s="51" t="s">
        <v>1830</v>
      </c>
    </row>
    <row r="4002" spans="2:2" x14ac:dyDescent="0.25">
      <c r="B4002" s="53"/>
    </row>
    <row r="4003" spans="2:2" x14ac:dyDescent="0.25">
      <c r="B4003" s="51" t="s">
        <v>1831</v>
      </c>
    </row>
    <row r="4004" spans="2:2" x14ac:dyDescent="0.25">
      <c r="B4004" s="53"/>
    </row>
    <row r="4005" spans="2:2" x14ac:dyDescent="0.25">
      <c r="B4005" s="51" t="s">
        <v>1832</v>
      </c>
    </row>
    <row r="4006" spans="2:2" x14ac:dyDescent="0.25">
      <c r="B4006" s="53"/>
    </row>
    <row r="4007" spans="2:2" x14ac:dyDescent="0.25">
      <c r="B4007" s="51" t="s">
        <v>1833</v>
      </c>
    </row>
    <row r="4008" spans="2:2" x14ac:dyDescent="0.25">
      <c r="B4008" s="53"/>
    </row>
    <row r="4009" spans="2:2" x14ac:dyDescent="0.25">
      <c r="B4009" s="51" t="s">
        <v>1834</v>
      </c>
    </row>
    <row r="4010" spans="2:2" x14ac:dyDescent="0.25">
      <c r="B4010" s="53"/>
    </row>
    <row r="4011" spans="2:2" x14ac:dyDescent="0.25">
      <c r="B4011" s="51" t="s">
        <v>1835</v>
      </c>
    </row>
    <row r="4012" spans="2:2" x14ac:dyDescent="0.25">
      <c r="B4012" s="53"/>
    </row>
    <row r="4013" spans="2:2" x14ac:dyDescent="0.25">
      <c r="B4013" s="51" t="s">
        <v>1836</v>
      </c>
    </row>
    <row r="4014" spans="2:2" x14ac:dyDescent="0.25">
      <c r="B4014" s="53"/>
    </row>
    <row r="4015" spans="2:2" x14ac:dyDescent="0.25">
      <c r="B4015" s="51" t="s">
        <v>1837</v>
      </c>
    </row>
    <row r="4016" spans="2:2" x14ac:dyDescent="0.25">
      <c r="B4016" s="53"/>
    </row>
    <row r="4017" spans="2:2" x14ac:dyDescent="0.25">
      <c r="B4017" s="51" t="s">
        <v>1838</v>
      </c>
    </row>
    <row r="4018" spans="2:2" x14ac:dyDescent="0.25">
      <c r="B4018" s="53"/>
    </row>
    <row r="4019" spans="2:2" x14ac:dyDescent="0.25">
      <c r="B4019" s="51" t="s">
        <v>1839</v>
      </c>
    </row>
    <row r="4020" spans="2:2" x14ac:dyDescent="0.25">
      <c r="B4020" s="53"/>
    </row>
    <row r="4021" spans="2:2" x14ac:dyDescent="0.25">
      <c r="B4021" s="51" t="s">
        <v>1840</v>
      </c>
    </row>
    <row r="4022" spans="2:2" x14ac:dyDescent="0.25">
      <c r="B4022" s="53"/>
    </row>
    <row r="4023" spans="2:2" x14ac:dyDescent="0.25">
      <c r="B4023" s="51" t="s">
        <v>1841</v>
      </c>
    </row>
    <row r="4024" spans="2:2" x14ac:dyDescent="0.25">
      <c r="B4024" s="53"/>
    </row>
    <row r="4025" spans="2:2" x14ac:dyDescent="0.25">
      <c r="B4025" s="51" t="s">
        <v>1842</v>
      </c>
    </row>
    <row r="4026" spans="2:2" x14ac:dyDescent="0.25">
      <c r="B4026" s="53"/>
    </row>
    <row r="4027" spans="2:2" x14ac:dyDescent="0.25">
      <c r="B4027" s="51" t="s">
        <v>1843</v>
      </c>
    </row>
    <row r="4028" spans="2:2" x14ac:dyDescent="0.25">
      <c r="B4028" s="53"/>
    </row>
    <row r="4029" spans="2:2" x14ac:dyDescent="0.25">
      <c r="B4029" s="51" t="s">
        <v>1844</v>
      </c>
    </row>
    <row r="4030" spans="2:2" x14ac:dyDescent="0.25">
      <c r="B4030" s="53"/>
    </row>
    <row r="4031" spans="2:2" x14ac:dyDescent="0.25">
      <c r="B4031" s="51" t="s">
        <v>1845</v>
      </c>
    </row>
    <row r="4032" spans="2:2" x14ac:dyDescent="0.25">
      <c r="B4032" s="53"/>
    </row>
    <row r="4033" spans="2:2" x14ac:dyDescent="0.25">
      <c r="B4033" s="51" t="s">
        <v>1846</v>
      </c>
    </row>
    <row r="4034" spans="2:2" x14ac:dyDescent="0.25">
      <c r="B4034" s="53"/>
    </row>
    <row r="4035" spans="2:2" x14ac:dyDescent="0.25">
      <c r="B4035" s="51" t="s">
        <v>1847</v>
      </c>
    </row>
    <row r="4036" spans="2:2" x14ac:dyDescent="0.25">
      <c r="B4036" s="53"/>
    </row>
    <row r="4037" spans="2:2" x14ac:dyDescent="0.25">
      <c r="B4037" s="51" t="s">
        <v>1848</v>
      </c>
    </row>
    <row r="4038" spans="2:2" x14ac:dyDescent="0.25">
      <c r="B4038" s="53"/>
    </row>
    <row r="4039" spans="2:2" x14ac:dyDescent="0.25">
      <c r="B4039" s="51" t="s">
        <v>1849</v>
      </c>
    </row>
    <row r="4040" spans="2:2" x14ac:dyDescent="0.25">
      <c r="B4040" s="53"/>
    </row>
    <row r="4041" spans="2:2" x14ac:dyDescent="0.25">
      <c r="B4041" s="51" t="s">
        <v>1850</v>
      </c>
    </row>
    <row r="4042" spans="2:2" x14ac:dyDescent="0.25">
      <c r="B4042" s="53"/>
    </row>
    <row r="4043" spans="2:2" x14ac:dyDescent="0.25">
      <c r="B4043" s="51" t="s">
        <v>1851</v>
      </c>
    </row>
    <row r="4044" spans="2:2" x14ac:dyDescent="0.25">
      <c r="B4044" s="53"/>
    </row>
    <row r="4045" spans="2:2" x14ac:dyDescent="0.25">
      <c r="B4045" s="51" t="s">
        <v>1852</v>
      </c>
    </row>
    <row r="4046" spans="2:2" x14ac:dyDescent="0.25">
      <c r="B4046" s="53"/>
    </row>
    <row r="4047" spans="2:2" x14ac:dyDescent="0.25">
      <c r="B4047" s="51" t="s">
        <v>1853</v>
      </c>
    </row>
    <row r="4048" spans="2:2" x14ac:dyDescent="0.25">
      <c r="B4048" s="53"/>
    </row>
    <row r="4049" spans="2:2" x14ac:dyDescent="0.25">
      <c r="B4049" s="51" t="s">
        <v>1854</v>
      </c>
    </row>
    <row r="4050" spans="2:2" x14ac:dyDescent="0.25">
      <c r="B4050" s="53"/>
    </row>
    <row r="4051" spans="2:2" x14ac:dyDescent="0.25">
      <c r="B4051" s="51" t="s">
        <v>1855</v>
      </c>
    </row>
    <row r="4052" spans="2:2" x14ac:dyDescent="0.25">
      <c r="B4052" s="53"/>
    </row>
    <row r="4053" spans="2:2" x14ac:dyDescent="0.25">
      <c r="B4053" s="51" t="s">
        <v>1856</v>
      </c>
    </row>
    <row r="4054" spans="2:2" x14ac:dyDescent="0.25">
      <c r="B4054" s="53"/>
    </row>
    <row r="4055" spans="2:2" x14ac:dyDescent="0.25">
      <c r="B4055" s="51" t="s">
        <v>1857</v>
      </c>
    </row>
    <row r="4056" spans="2:2" x14ac:dyDescent="0.25">
      <c r="B4056" s="53"/>
    </row>
    <row r="4057" spans="2:2" x14ac:dyDescent="0.25">
      <c r="B4057" s="51" t="s">
        <v>1858</v>
      </c>
    </row>
    <row r="4058" spans="2:2" x14ac:dyDescent="0.25">
      <c r="B4058" s="53"/>
    </row>
    <row r="4059" spans="2:2" x14ac:dyDescent="0.25">
      <c r="B4059" s="51" t="s">
        <v>1859</v>
      </c>
    </row>
    <row r="4060" spans="2:2" x14ac:dyDescent="0.25">
      <c r="B4060" s="53"/>
    </row>
    <row r="4061" spans="2:2" x14ac:dyDescent="0.25">
      <c r="B4061" s="51" t="s">
        <v>1860</v>
      </c>
    </row>
    <row r="4062" spans="2:2" x14ac:dyDescent="0.25">
      <c r="B4062" s="53"/>
    </row>
    <row r="4063" spans="2:2" x14ac:dyDescent="0.25">
      <c r="B4063" s="51" t="s">
        <v>1861</v>
      </c>
    </row>
    <row r="4064" spans="2:2" x14ac:dyDescent="0.25">
      <c r="B4064" s="53"/>
    </row>
    <row r="4065" spans="2:2" x14ac:dyDescent="0.25">
      <c r="B4065" s="51" t="s">
        <v>1862</v>
      </c>
    </row>
    <row r="4066" spans="2:2" x14ac:dyDescent="0.25">
      <c r="B4066" s="53"/>
    </row>
    <row r="4067" spans="2:2" x14ac:dyDescent="0.25">
      <c r="B4067" s="51" t="s">
        <v>1863</v>
      </c>
    </row>
    <row r="4068" spans="2:2" x14ac:dyDescent="0.25">
      <c r="B4068" s="53"/>
    </row>
    <row r="4069" spans="2:2" x14ac:dyDescent="0.25">
      <c r="B4069" s="51" t="s">
        <v>1864</v>
      </c>
    </row>
    <row r="4070" spans="2:2" x14ac:dyDescent="0.25">
      <c r="B4070" s="53"/>
    </row>
    <row r="4071" spans="2:2" x14ac:dyDescent="0.25">
      <c r="B4071" s="51" t="s">
        <v>1865</v>
      </c>
    </row>
    <row r="4072" spans="2:2" x14ac:dyDescent="0.25">
      <c r="B4072" s="53"/>
    </row>
    <row r="4073" spans="2:2" x14ac:dyDescent="0.25">
      <c r="B4073" s="51" t="s">
        <v>1866</v>
      </c>
    </row>
    <row r="4074" spans="2:2" x14ac:dyDescent="0.25">
      <c r="B4074" s="53"/>
    </row>
    <row r="4075" spans="2:2" x14ac:dyDescent="0.25">
      <c r="B4075" s="51" t="s">
        <v>1867</v>
      </c>
    </row>
    <row r="4076" spans="2:2" x14ac:dyDescent="0.25">
      <c r="B4076" s="53"/>
    </row>
    <row r="4077" spans="2:2" x14ac:dyDescent="0.25">
      <c r="B4077" s="51" t="s">
        <v>1868</v>
      </c>
    </row>
    <row r="4078" spans="2:2" x14ac:dyDescent="0.25">
      <c r="B4078" s="53"/>
    </row>
    <row r="4079" spans="2:2" x14ac:dyDescent="0.25">
      <c r="B4079" s="51" t="s">
        <v>1869</v>
      </c>
    </row>
    <row r="4080" spans="2:2" x14ac:dyDescent="0.25">
      <c r="B4080" s="53"/>
    </row>
    <row r="4081" spans="2:2" x14ac:dyDescent="0.25">
      <c r="B4081" s="51" t="s">
        <v>1870</v>
      </c>
    </row>
    <row r="4082" spans="2:2" x14ac:dyDescent="0.25">
      <c r="B4082" s="53"/>
    </row>
    <row r="4083" spans="2:2" x14ac:dyDescent="0.25">
      <c r="B4083" s="51" t="s">
        <v>1871</v>
      </c>
    </row>
    <row r="4084" spans="2:2" x14ac:dyDescent="0.25">
      <c r="B4084" s="53"/>
    </row>
    <row r="4085" spans="2:2" x14ac:dyDescent="0.25">
      <c r="B4085" s="51" t="s">
        <v>1872</v>
      </c>
    </row>
    <row r="4086" spans="2:2" x14ac:dyDescent="0.25">
      <c r="B4086" s="53"/>
    </row>
    <row r="4087" spans="2:2" x14ac:dyDescent="0.25">
      <c r="B4087" s="51" t="s">
        <v>1873</v>
      </c>
    </row>
    <row r="4088" spans="2:2" x14ac:dyDescent="0.25">
      <c r="B4088" s="53"/>
    </row>
    <row r="4089" spans="2:2" x14ac:dyDescent="0.25">
      <c r="B4089" s="51" t="s">
        <v>1874</v>
      </c>
    </row>
    <row r="4090" spans="2:2" x14ac:dyDescent="0.25">
      <c r="B4090" s="53"/>
    </row>
    <row r="4091" spans="2:2" x14ac:dyDescent="0.25">
      <c r="B4091" s="51" t="s">
        <v>1875</v>
      </c>
    </row>
    <row r="4092" spans="2:2" x14ac:dyDescent="0.25">
      <c r="B4092" s="53"/>
    </row>
    <row r="4093" spans="2:2" x14ac:dyDescent="0.25">
      <c r="B4093" s="51" t="s">
        <v>1876</v>
      </c>
    </row>
    <row r="4094" spans="2:2" x14ac:dyDescent="0.25">
      <c r="B4094" s="53"/>
    </row>
    <row r="4095" spans="2:2" x14ac:dyDescent="0.25">
      <c r="B4095" s="51" t="s">
        <v>1877</v>
      </c>
    </row>
    <row r="4096" spans="2:2" x14ac:dyDescent="0.25">
      <c r="B4096" s="53"/>
    </row>
    <row r="4097" spans="2:2" x14ac:dyDescent="0.25">
      <c r="B4097" s="51" t="s">
        <v>1878</v>
      </c>
    </row>
    <row r="4098" spans="2:2" x14ac:dyDescent="0.25">
      <c r="B4098" s="53"/>
    </row>
    <row r="4099" spans="2:2" x14ac:dyDescent="0.25">
      <c r="B4099" s="51" t="s">
        <v>1879</v>
      </c>
    </row>
    <row r="4100" spans="2:2" x14ac:dyDescent="0.25">
      <c r="B4100" s="53"/>
    </row>
    <row r="4101" spans="2:2" x14ac:dyDescent="0.25">
      <c r="B4101" s="51" t="s">
        <v>1880</v>
      </c>
    </row>
    <row r="4102" spans="2:2" x14ac:dyDescent="0.25">
      <c r="B4102" s="53"/>
    </row>
    <row r="4103" spans="2:2" x14ac:dyDescent="0.25">
      <c r="B4103" s="51" t="s">
        <v>1881</v>
      </c>
    </row>
    <row r="4104" spans="2:2" x14ac:dyDescent="0.25">
      <c r="B4104" s="53"/>
    </row>
    <row r="4105" spans="2:2" x14ac:dyDescent="0.25">
      <c r="B4105" s="51" t="s">
        <v>1882</v>
      </c>
    </row>
    <row r="4106" spans="2:2" x14ac:dyDescent="0.25">
      <c r="B4106" s="53"/>
    </row>
    <row r="4107" spans="2:2" x14ac:dyDescent="0.25">
      <c r="B4107" s="51" t="s">
        <v>1883</v>
      </c>
    </row>
    <row r="4108" spans="2:2" x14ac:dyDescent="0.25">
      <c r="B4108" s="53"/>
    </row>
    <row r="4109" spans="2:2" x14ac:dyDescent="0.25">
      <c r="B4109" s="51" t="s">
        <v>1884</v>
      </c>
    </row>
    <row r="4110" spans="2:2" x14ac:dyDescent="0.25">
      <c r="B4110" s="53"/>
    </row>
    <row r="4111" spans="2:2" x14ac:dyDescent="0.25">
      <c r="B4111" s="51" t="s">
        <v>1885</v>
      </c>
    </row>
    <row r="4112" spans="2:2" x14ac:dyDescent="0.25">
      <c r="B4112" s="53"/>
    </row>
    <row r="4113" spans="2:2" x14ac:dyDescent="0.25">
      <c r="B4113" s="51" t="s">
        <v>1886</v>
      </c>
    </row>
    <row r="4114" spans="2:2" x14ac:dyDescent="0.25">
      <c r="B4114" s="53"/>
    </row>
    <row r="4115" spans="2:2" x14ac:dyDescent="0.25">
      <c r="B4115" s="51" t="s">
        <v>1887</v>
      </c>
    </row>
    <row r="4116" spans="2:2" x14ac:dyDescent="0.25">
      <c r="B4116" s="53"/>
    </row>
    <row r="4117" spans="2:2" x14ac:dyDescent="0.25">
      <c r="B4117" s="51" t="s">
        <v>1888</v>
      </c>
    </row>
    <row r="4118" spans="2:2" x14ac:dyDescent="0.25">
      <c r="B4118" s="53"/>
    </row>
    <row r="4119" spans="2:2" x14ac:dyDescent="0.25">
      <c r="B4119" s="51" t="s">
        <v>1889</v>
      </c>
    </row>
    <row r="4120" spans="2:2" x14ac:dyDescent="0.25">
      <c r="B4120" s="53"/>
    </row>
    <row r="4121" spans="2:2" x14ac:dyDescent="0.25">
      <c r="B4121" s="51" t="s">
        <v>1890</v>
      </c>
    </row>
    <row r="4122" spans="2:2" x14ac:dyDescent="0.25">
      <c r="B4122" s="53"/>
    </row>
    <row r="4123" spans="2:2" x14ac:dyDescent="0.25">
      <c r="B4123" s="51" t="s">
        <v>1891</v>
      </c>
    </row>
    <row r="4124" spans="2:2" x14ac:dyDescent="0.25">
      <c r="B4124" s="53"/>
    </row>
    <row r="4125" spans="2:2" x14ac:dyDescent="0.25">
      <c r="B4125" s="51" t="s">
        <v>1892</v>
      </c>
    </row>
    <row r="4126" spans="2:2" x14ac:dyDescent="0.25">
      <c r="B4126" s="53"/>
    </row>
    <row r="4127" spans="2:2" x14ac:dyDescent="0.25">
      <c r="B4127" s="51" t="s">
        <v>1893</v>
      </c>
    </row>
    <row r="4128" spans="2:2" x14ac:dyDescent="0.25">
      <c r="B4128" s="53"/>
    </row>
    <row r="4129" spans="2:2" x14ac:dyDescent="0.25">
      <c r="B4129" s="51" t="s">
        <v>1894</v>
      </c>
    </row>
    <row r="4130" spans="2:2" x14ac:dyDescent="0.25">
      <c r="B4130" s="53"/>
    </row>
    <row r="4131" spans="2:2" x14ac:dyDescent="0.25">
      <c r="B4131" s="51" t="s">
        <v>1895</v>
      </c>
    </row>
    <row r="4132" spans="2:2" x14ac:dyDescent="0.25">
      <c r="B4132" s="53"/>
    </row>
    <row r="4133" spans="2:2" x14ac:dyDescent="0.25">
      <c r="B4133" s="51" t="s">
        <v>1896</v>
      </c>
    </row>
    <row r="4134" spans="2:2" x14ac:dyDescent="0.25">
      <c r="B4134" s="53"/>
    </row>
    <row r="4135" spans="2:2" x14ac:dyDescent="0.25">
      <c r="B4135" s="51" t="s">
        <v>1897</v>
      </c>
    </row>
    <row r="4136" spans="2:2" x14ac:dyDescent="0.25">
      <c r="B4136" s="53"/>
    </row>
    <row r="4137" spans="2:2" x14ac:dyDescent="0.25">
      <c r="B4137" s="51" t="s">
        <v>1898</v>
      </c>
    </row>
    <row r="4138" spans="2:2" x14ac:dyDescent="0.25">
      <c r="B4138" s="53"/>
    </row>
    <row r="4139" spans="2:2" x14ac:dyDescent="0.25">
      <c r="B4139" s="51" t="s">
        <v>1899</v>
      </c>
    </row>
    <row r="4140" spans="2:2" x14ac:dyDescent="0.25">
      <c r="B4140" s="53"/>
    </row>
    <row r="4141" spans="2:2" x14ac:dyDescent="0.25">
      <c r="B4141" s="51" t="s">
        <v>1900</v>
      </c>
    </row>
    <row r="4142" spans="2:2" x14ac:dyDescent="0.25">
      <c r="B4142" s="53"/>
    </row>
    <row r="4143" spans="2:2" x14ac:dyDescent="0.25">
      <c r="B4143" s="51" t="s">
        <v>1901</v>
      </c>
    </row>
    <row r="4144" spans="2:2" x14ac:dyDescent="0.25">
      <c r="B4144" s="53"/>
    </row>
    <row r="4145" spans="2:2" x14ac:dyDescent="0.25">
      <c r="B4145" s="51" t="s">
        <v>1902</v>
      </c>
    </row>
    <row r="4146" spans="2:2" x14ac:dyDescent="0.25">
      <c r="B4146" s="53"/>
    </row>
    <row r="4147" spans="2:2" x14ac:dyDescent="0.25">
      <c r="B4147" s="51" t="s">
        <v>1903</v>
      </c>
    </row>
    <row r="4148" spans="2:2" x14ac:dyDescent="0.25">
      <c r="B4148" s="53"/>
    </row>
    <row r="4149" spans="2:2" x14ac:dyDescent="0.25">
      <c r="B4149" s="51" t="s">
        <v>1904</v>
      </c>
    </row>
    <row r="4150" spans="2:2" x14ac:dyDescent="0.25">
      <c r="B4150" s="53"/>
    </row>
    <row r="4151" spans="2:2" x14ac:dyDescent="0.25">
      <c r="B4151" s="51" t="s">
        <v>1905</v>
      </c>
    </row>
    <row r="4152" spans="2:2" x14ac:dyDescent="0.25">
      <c r="B4152" s="53"/>
    </row>
    <row r="4153" spans="2:2" x14ac:dyDescent="0.25">
      <c r="B4153" s="51" t="s">
        <v>1906</v>
      </c>
    </row>
    <row r="4154" spans="2:2" x14ac:dyDescent="0.25">
      <c r="B4154" s="53"/>
    </row>
    <row r="4155" spans="2:2" x14ac:dyDescent="0.25">
      <c r="B4155" s="51" t="s">
        <v>1907</v>
      </c>
    </row>
    <row r="4156" spans="2:2" x14ac:dyDescent="0.25">
      <c r="B4156" s="53"/>
    </row>
    <row r="4157" spans="2:2" x14ac:dyDescent="0.25">
      <c r="B4157" s="51" t="s">
        <v>1908</v>
      </c>
    </row>
    <row r="4158" spans="2:2" x14ac:dyDescent="0.25">
      <c r="B4158" s="53"/>
    </row>
    <row r="4159" spans="2:2" x14ac:dyDescent="0.25">
      <c r="B4159" s="51" t="s">
        <v>1909</v>
      </c>
    </row>
    <row r="4160" spans="2:2" x14ac:dyDescent="0.25">
      <c r="B4160" s="53"/>
    </row>
    <row r="4161" spans="2:2" x14ac:dyDescent="0.25">
      <c r="B4161" s="51" t="s">
        <v>1910</v>
      </c>
    </row>
    <row r="4162" spans="2:2" x14ac:dyDescent="0.25">
      <c r="B4162" s="53"/>
    </row>
    <row r="4163" spans="2:2" x14ac:dyDescent="0.25">
      <c r="B4163" s="51" t="s">
        <v>1911</v>
      </c>
    </row>
    <row r="4164" spans="2:2" x14ac:dyDescent="0.25">
      <c r="B4164" s="53"/>
    </row>
    <row r="4165" spans="2:2" x14ac:dyDescent="0.25">
      <c r="B4165" s="51" t="s">
        <v>1912</v>
      </c>
    </row>
    <row r="4166" spans="2:2" x14ac:dyDescent="0.25">
      <c r="B4166" s="53"/>
    </row>
    <row r="4167" spans="2:2" x14ac:dyDescent="0.25">
      <c r="B4167" s="51" t="s">
        <v>1913</v>
      </c>
    </row>
    <row r="4168" spans="2:2" x14ac:dyDescent="0.25">
      <c r="B4168" s="53"/>
    </row>
    <row r="4169" spans="2:2" x14ac:dyDescent="0.25">
      <c r="B4169" s="51" t="s">
        <v>1914</v>
      </c>
    </row>
    <row r="4170" spans="2:2" x14ac:dyDescent="0.25">
      <c r="B4170" s="53"/>
    </row>
    <row r="4171" spans="2:2" x14ac:dyDescent="0.25">
      <c r="B4171" s="51" t="s">
        <v>1915</v>
      </c>
    </row>
    <row r="4172" spans="2:2" x14ac:dyDescent="0.25">
      <c r="B4172" s="53"/>
    </row>
    <row r="4173" spans="2:2" x14ac:dyDescent="0.25">
      <c r="B4173" s="51" t="s">
        <v>1916</v>
      </c>
    </row>
    <row r="4174" spans="2:2" x14ac:dyDescent="0.25">
      <c r="B4174" s="53"/>
    </row>
    <row r="4175" spans="2:2" x14ac:dyDescent="0.25">
      <c r="B4175" s="51" t="s">
        <v>1917</v>
      </c>
    </row>
    <row r="4176" spans="2:2" x14ac:dyDescent="0.25">
      <c r="B4176" s="53"/>
    </row>
    <row r="4177" spans="2:2" x14ac:dyDescent="0.25">
      <c r="B4177" s="51" t="s">
        <v>1918</v>
      </c>
    </row>
    <row r="4178" spans="2:2" x14ac:dyDescent="0.25">
      <c r="B4178" s="53"/>
    </row>
    <row r="4179" spans="2:2" x14ac:dyDescent="0.25">
      <c r="B4179" s="51" t="s">
        <v>1919</v>
      </c>
    </row>
    <row r="4180" spans="2:2" x14ac:dyDescent="0.25">
      <c r="B4180" s="53"/>
    </row>
    <row r="4181" spans="2:2" x14ac:dyDescent="0.25">
      <c r="B4181" s="51" t="s">
        <v>1920</v>
      </c>
    </row>
    <row r="4182" spans="2:2" x14ac:dyDescent="0.25">
      <c r="B4182" s="53"/>
    </row>
    <row r="4183" spans="2:2" x14ac:dyDescent="0.25">
      <c r="B4183" s="51" t="s">
        <v>1921</v>
      </c>
    </row>
    <row r="4184" spans="2:2" x14ac:dyDescent="0.25">
      <c r="B4184" s="53"/>
    </row>
    <row r="4185" spans="2:2" x14ac:dyDescent="0.25">
      <c r="B4185" s="51" t="s">
        <v>1922</v>
      </c>
    </row>
    <row r="4186" spans="2:2" x14ac:dyDescent="0.25">
      <c r="B4186" s="53"/>
    </row>
    <row r="4187" spans="2:2" x14ac:dyDescent="0.25">
      <c r="B4187" s="51" t="s">
        <v>1923</v>
      </c>
    </row>
    <row r="4188" spans="2:2" x14ac:dyDescent="0.25">
      <c r="B4188" s="53"/>
    </row>
    <row r="4189" spans="2:2" x14ac:dyDescent="0.25">
      <c r="B4189" s="51" t="s">
        <v>1924</v>
      </c>
    </row>
    <row r="4190" spans="2:2" x14ac:dyDescent="0.25">
      <c r="B4190" s="53"/>
    </row>
    <row r="4191" spans="2:2" x14ac:dyDescent="0.25">
      <c r="B4191" s="51" t="s">
        <v>1925</v>
      </c>
    </row>
    <row r="4192" spans="2:2" x14ac:dyDescent="0.25">
      <c r="B4192" s="53"/>
    </row>
    <row r="4193" spans="2:2" x14ac:dyDescent="0.25">
      <c r="B4193" s="51" t="s">
        <v>1926</v>
      </c>
    </row>
    <row r="4194" spans="2:2" x14ac:dyDescent="0.25">
      <c r="B4194" s="53"/>
    </row>
    <row r="4195" spans="2:2" x14ac:dyDescent="0.25">
      <c r="B4195" s="51" t="s">
        <v>1927</v>
      </c>
    </row>
    <row r="4196" spans="2:2" x14ac:dyDescent="0.25">
      <c r="B4196" s="53"/>
    </row>
    <row r="4197" spans="2:2" x14ac:dyDescent="0.25">
      <c r="B4197" s="51" t="s">
        <v>1928</v>
      </c>
    </row>
    <row r="4198" spans="2:2" x14ac:dyDescent="0.25">
      <c r="B4198" s="53"/>
    </row>
    <row r="4199" spans="2:2" x14ac:dyDescent="0.25">
      <c r="B4199" s="51" t="s">
        <v>1929</v>
      </c>
    </row>
    <row r="4200" spans="2:2" x14ac:dyDescent="0.25">
      <c r="B4200" s="53"/>
    </row>
    <row r="4201" spans="2:2" x14ac:dyDescent="0.25">
      <c r="B4201" s="51" t="s">
        <v>1930</v>
      </c>
    </row>
    <row r="4202" spans="2:2" x14ac:dyDescent="0.25">
      <c r="B4202" s="53"/>
    </row>
    <row r="4203" spans="2:2" x14ac:dyDescent="0.25">
      <c r="B4203" s="51" t="s">
        <v>1931</v>
      </c>
    </row>
    <row r="4204" spans="2:2" x14ac:dyDescent="0.25">
      <c r="B4204" s="53"/>
    </row>
    <row r="4205" spans="2:2" x14ac:dyDescent="0.25">
      <c r="B4205" s="51" t="s">
        <v>1932</v>
      </c>
    </row>
    <row r="4206" spans="2:2" x14ac:dyDescent="0.25">
      <c r="B4206" s="53"/>
    </row>
    <row r="4207" spans="2:2" x14ac:dyDescent="0.25">
      <c r="B4207" s="51" t="s">
        <v>1933</v>
      </c>
    </row>
    <row r="4208" spans="2:2" x14ac:dyDescent="0.25">
      <c r="B4208" s="53"/>
    </row>
    <row r="4209" spans="2:2" x14ac:dyDescent="0.25">
      <c r="B4209" s="51" t="s">
        <v>1934</v>
      </c>
    </row>
    <row r="4210" spans="2:2" x14ac:dyDescent="0.25">
      <c r="B4210" s="53"/>
    </row>
    <row r="4211" spans="2:2" x14ac:dyDescent="0.25">
      <c r="B4211" s="51" t="s">
        <v>1935</v>
      </c>
    </row>
    <row r="4212" spans="2:2" x14ac:dyDescent="0.25">
      <c r="B4212" s="53"/>
    </row>
    <row r="4213" spans="2:2" x14ac:dyDescent="0.25">
      <c r="B4213" s="51" t="s">
        <v>1936</v>
      </c>
    </row>
    <row r="4214" spans="2:2" x14ac:dyDescent="0.25">
      <c r="B4214" s="53"/>
    </row>
    <row r="4215" spans="2:2" x14ac:dyDescent="0.25">
      <c r="B4215" s="51" t="s">
        <v>1937</v>
      </c>
    </row>
    <row r="4216" spans="2:2" x14ac:dyDescent="0.25">
      <c r="B4216" s="53"/>
    </row>
    <row r="4217" spans="2:2" x14ac:dyDescent="0.25">
      <c r="B4217" s="51" t="s">
        <v>1938</v>
      </c>
    </row>
    <row r="4218" spans="2:2" x14ac:dyDescent="0.25">
      <c r="B4218" s="53"/>
    </row>
    <row r="4219" spans="2:2" x14ac:dyDescent="0.25">
      <c r="B4219" s="51" t="s">
        <v>1939</v>
      </c>
    </row>
    <row r="4220" spans="2:2" x14ac:dyDescent="0.25">
      <c r="B4220" s="53"/>
    </row>
    <row r="4221" spans="2:2" x14ac:dyDescent="0.25">
      <c r="B4221" s="51" t="s">
        <v>1940</v>
      </c>
    </row>
    <row r="4222" spans="2:2" ht="15" customHeight="1" x14ac:dyDescent="0.25">
      <c r="B4222" s="53"/>
    </row>
    <row r="4223" spans="2:2" ht="15" customHeight="1" x14ac:dyDescent="0.25">
      <c r="B4223" s="51" t="s">
        <v>1941</v>
      </c>
    </row>
    <row r="4224" spans="2:2" ht="15" customHeight="1" x14ac:dyDescent="0.25">
      <c r="B4224" s="53"/>
    </row>
    <row r="4225" spans="2:2" ht="15" customHeight="1" x14ac:dyDescent="0.25">
      <c r="B4225" s="51" t="s">
        <v>1942</v>
      </c>
    </row>
    <row r="4226" spans="2:2" ht="15" customHeight="1" x14ac:dyDescent="0.25">
      <c r="B4226" s="53"/>
    </row>
    <row r="4227" spans="2:2" ht="15" customHeight="1" x14ac:dyDescent="0.25">
      <c r="B4227" s="51" t="s">
        <v>1943</v>
      </c>
    </row>
    <row r="4228" spans="2:2" ht="15" customHeight="1" x14ac:dyDescent="0.25">
      <c r="B4228" s="53"/>
    </row>
    <row r="4229" spans="2:2" ht="15" customHeight="1" x14ac:dyDescent="0.25">
      <c r="B4229" s="51" t="s">
        <v>1944</v>
      </c>
    </row>
    <row r="4230" spans="2:2" ht="15" customHeight="1" x14ac:dyDescent="0.25">
      <c r="B4230" s="53"/>
    </row>
    <row r="4231" spans="2:2" ht="15" customHeight="1" x14ac:dyDescent="0.25">
      <c r="B4231" s="51" t="s">
        <v>1945</v>
      </c>
    </row>
    <row r="4232" spans="2:2" ht="15" customHeight="1" x14ac:dyDescent="0.25">
      <c r="B4232" s="53"/>
    </row>
    <row r="4233" spans="2:2" ht="15" customHeight="1" x14ac:dyDescent="0.25">
      <c r="B4233" s="51" t="s">
        <v>1946</v>
      </c>
    </row>
    <row r="4234" spans="2:2" ht="15" customHeight="1" x14ac:dyDescent="0.25">
      <c r="B4234" s="53"/>
    </row>
    <row r="4235" spans="2:2" ht="15" customHeight="1" x14ac:dyDescent="0.25">
      <c r="B4235" s="51" t="s">
        <v>1947</v>
      </c>
    </row>
    <row r="4236" spans="2:2" ht="15" customHeight="1" x14ac:dyDescent="0.25">
      <c r="B4236" s="53"/>
    </row>
    <row r="4237" spans="2:2" ht="15" customHeight="1" x14ac:dyDescent="0.25">
      <c r="B4237" s="51" t="s">
        <v>1948</v>
      </c>
    </row>
    <row r="4238" spans="2:2" ht="15" customHeight="1" x14ac:dyDescent="0.25">
      <c r="B4238" s="53"/>
    </row>
    <row r="4239" spans="2:2" ht="15" customHeight="1" x14ac:dyDescent="0.25">
      <c r="B4239" s="51" t="s">
        <v>1949</v>
      </c>
    </row>
    <row r="4240" spans="2:2" ht="15" customHeight="1" x14ac:dyDescent="0.25">
      <c r="B4240" s="53"/>
    </row>
    <row r="4241" spans="2:2" ht="15" customHeight="1" x14ac:dyDescent="0.25">
      <c r="B4241" s="51" t="s">
        <v>1950</v>
      </c>
    </row>
    <row r="4242" spans="2:2" ht="15" customHeight="1" x14ac:dyDescent="0.25">
      <c r="B4242" s="53"/>
    </row>
    <row r="4243" spans="2:2" ht="15" customHeight="1" x14ac:dyDescent="0.25">
      <c r="B4243" s="51" t="s">
        <v>1951</v>
      </c>
    </row>
    <row r="4244" spans="2:2" ht="15" customHeight="1" x14ac:dyDescent="0.25">
      <c r="B4244" s="53"/>
    </row>
    <row r="4245" spans="2:2" ht="15" customHeight="1" x14ac:dyDescent="0.25">
      <c r="B4245" s="51" t="s">
        <v>1952</v>
      </c>
    </row>
    <row r="4246" spans="2:2" ht="15" customHeight="1" x14ac:dyDescent="0.25">
      <c r="B4246" s="53"/>
    </row>
    <row r="4247" spans="2:2" ht="15" customHeight="1" x14ac:dyDescent="0.25">
      <c r="B4247" s="51" t="s">
        <v>1953</v>
      </c>
    </row>
    <row r="4248" spans="2:2" ht="15" customHeight="1" x14ac:dyDescent="0.25">
      <c r="B4248" s="53"/>
    </row>
    <row r="4249" spans="2:2" ht="15" customHeight="1" x14ac:dyDescent="0.25">
      <c r="B4249" s="51" t="s">
        <v>1954</v>
      </c>
    </row>
    <row r="4250" spans="2:2" ht="15" customHeight="1" x14ac:dyDescent="0.25">
      <c r="B4250" s="53"/>
    </row>
    <row r="4251" spans="2:2" ht="15" customHeight="1" x14ac:dyDescent="0.25">
      <c r="B4251" s="51" t="s">
        <v>1955</v>
      </c>
    </row>
    <row r="4252" spans="2:2" ht="15" customHeight="1" x14ac:dyDescent="0.25">
      <c r="B4252" s="53"/>
    </row>
    <row r="4253" spans="2:2" ht="15" customHeight="1" x14ac:dyDescent="0.25">
      <c r="B4253" s="51" t="s">
        <v>1956</v>
      </c>
    </row>
    <row r="4254" spans="2:2" ht="15" customHeight="1" x14ac:dyDescent="0.25">
      <c r="B4254" s="53"/>
    </row>
    <row r="4255" spans="2:2" ht="15" customHeight="1" x14ac:dyDescent="0.25">
      <c r="B4255" s="51" t="s">
        <v>1957</v>
      </c>
    </row>
    <row r="4256" spans="2:2" ht="15" customHeight="1" x14ac:dyDescent="0.25">
      <c r="B4256" s="53"/>
    </row>
    <row r="4257" spans="2:2" ht="15" customHeight="1" x14ac:dyDescent="0.25">
      <c r="B4257" s="51" t="s">
        <v>1958</v>
      </c>
    </row>
    <row r="4258" spans="2:2" ht="15" customHeight="1" x14ac:dyDescent="0.25">
      <c r="B4258" s="53"/>
    </row>
    <row r="4259" spans="2:2" ht="15" customHeight="1" x14ac:dyDescent="0.25">
      <c r="B4259" s="51" t="s">
        <v>1959</v>
      </c>
    </row>
    <row r="4260" spans="2:2" ht="15" customHeight="1" x14ac:dyDescent="0.25">
      <c r="B4260" s="53"/>
    </row>
    <row r="4261" spans="2:2" ht="15" customHeight="1" x14ac:dyDescent="0.25">
      <c r="B4261" s="51" t="s">
        <v>1960</v>
      </c>
    </row>
    <row r="4262" spans="2:2" ht="15" customHeight="1" x14ac:dyDescent="0.25">
      <c r="B4262" s="53"/>
    </row>
    <row r="4263" spans="2:2" ht="15" customHeight="1" x14ac:dyDescent="0.25">
      <c r="B4263" s="51" t="s">
        <v>1961</v>
      </c>
    </row>
    <row r="4264" spans="2:2" ht="15" customHeight="1" x14ac:dyDescent="0.25">
      <c r="B4264" s="53"/>
    </row>
    <row r="4265" spans="2:2" ht="15" customHeight="1" x14ac:dyDescent="0.25">
      <c r="B4265" s="51" t="s">
        <v>1962</v>
      </c>
    </row>
    <row r="4266" spans="2:2" ht="15" customHeight="1" x14ac:dyDescent="0.25">
      <c r="B4266" s="53"/>
    </row>
    <row r="4267" spans="2:2" ht="15" customHeight="1" x14ac:dyDescent="0.25">
      <c r="B4267" s="51" t="s">
        <v>1963</v>
      </c>
    </row>
    <row r="4268" spans="2:2" ht="15" customHeight="1" x14ac:dyDescent="0.25">
      <c r="B4268" s="53"/>
    </row>
    <row r="4269" spans="2:2" ht="15" customHeight="1" x14ac:dyDescent="0.25">
      <c r="B4269" s="51" t="s">
        <v>1964</v>
      </c>
    </row>
    <row r="4270" spans="2:2" ht="15" customHeight="1" x14ac:dyDescent="0.25">
      <c r="B4270" s="53"/>
    </row>
    <row r="4271" spans="2:2" ht="15" customHeight="1" x14ac:dyDescent="0.25">
      <c r="B4271" s="51" t="s">
        <v>1965</v>
      </c>
    </row>
    <row r="4272" spans="2:2" ht="15" customHeight="1" x14ac:dyDescent="0.25">
      <c r="B4272" s="53"/>
    </row>
    <row r="4273" spans="2:2" ht="15" customHeight="1" x14ac:dyDescent="0.25">
      <c r="B4273" s="51" t="s">
        <v>1966</v>
      </c>
    </row>
    <row r="4274" spans="2:2" ht="15" customHeight="1" x14ac:dyDescent="0.25">
      <c r="B4274" s="53"/>
    </row>
    <row r="4275" spans="2:2" ht="15" customHeight="1" x14ac:dyDescent="0.25">
      <c r="B4275" s="51" t="s">
        <v>1967</v>
      </c>
    </row>
    <row r="4276" spans="2:2" ht="15" customHeight="1" x14ac:dyDescent="0.25">
      <c r="B4276" s="53"/>
    </row>
    <row r="4277" spans="2:2" ht="15" customHeight="1" x14ac:dyDescent="0.25">
      <c r="B4277" s="51" t="s">
        <v>1968</v>
      </c>
    </row>
    <row r="4278" spans="2:2" ht="15" customHeight="1" x14ac:dyDescent="0.25">
      <c r="B4278" s="53"/>
    </row>
    <row r="4279" spans="2:2" ht="15" customHeight="1" x14ac:dyDescent="0.25">
      <c r="B4279" s="51" t="s">
        <v>1969</v>
      </c>
    </row>
    <row r="4280" spans="2:2" ht="15" customHeight="1" x14ac:dyDescent="0.25">
      <c r="B4280" s="53"/>
    </row>
    <row r="4281" spans="2:2" ht="15" customHeight="1" x14ac:dyDescent="0.25">
      <c r="B4281" s="51" t="s">
        <v>1970</v>
      </c>
    </row>
    <row r="4282" spans="2:2" ht="15" customHeight="1" x14ac:dyDescent="0.25">
      <c r="B4282" s="53"/>
    </row>
    <row r="4283" spans="2:2" ht="15" customHeight="1" x14ac:dyDescent="0.25">
      <c r="B4283" s="51" t="s">
        <v>1971</v>
      </c>
    </row>
    <row r="4284" spans="2:2" ht="15" customHeight="1" x14ac:dyDescent="0.25">
      <c r="B4284" s="53"/>
    </row>
    <row r="4285" spans="2:2" ht="15" customHeight="1" x14ac:dyDescent="0.25">
      <c r="B4285" s="51" t="s">
        <v>1972</v>
      </c>
    </row>
    <row r="4286" spans="2:2" ht="15" customHeight="1" x14ac:dyDescent="0.25">
      <c r="B4286" s="53"/>
    </row>
    <row r="4287" spans="2:2" ht="15" customHeight="1" x14ac:dyDescent="0.25">
      <c r="B4287" s="51" t="s">
        <v>1973</v>
      </c>
    </row>
    <row r="4288" spans="2:2" ht="15" customHeight="1" x14ac:dyDescent="0.25">
      <c r="B4288" s="53"/>
    </row>
    <row r="4289" spans="2:2" ht="15" customHeight="1" x14ac:dyDescent="0.25">
      <c r="B4289" s="51" t="s">
        <v>1974</v>
      </c>
    </row>
    <row r="4290" spans="2:2" ht="15" customHeight="1" x14ac:dyDescent="0.25">
      <c r="B4290" s="53"/>
    </row>
    <row r="4291" spans="2:2" ht="15" customHeight="1" x14ac:dyDescent="0.25">
      <c r="B4291" s="51" t="s">
        <v>1975</v>
      </c>
    </row>
    <row r="4292" spans="2:2" ht="15" customHeight="1" x14ac:dyDescent="0.25">
      <c r="B4292" s="53"/>
    </row>
    <row r="4293" spans="2:2" ht="15" customHeight="1" x14ac:dyDescent="0.25">
      <c r="B4293" s="51" t="s">
        <v>1976</v>
      </c>
    </row>
    <row r="4294" spans="2:2" ht="15" customHeight="1" x14ac:dyDescent="0.25">
      <c r="B4294" s="53"/>
    </row>
    <row r="4295" spans="2:2" ht="15" customHeight="1" x14ac:dyDescent="0.25">
      <c r="B4295" s="51" t="s">
        <v>1977</v>
      </c>
    </row>
    <row r="4296" spans="2:2" ht="15" customHeight="1" x14ac:dyDescent="0.25">
      <c r="B4296" s="53"/>
    </row>
    <row r="4297" spans="2:2" ht="15" customHeight="1" x14ac:dyDescent="0.25">
      <c r="B4297" s="51" t="s">
        <v>1978</v>
      </c>
    </row>
    <row r="4298" spans="2:2" ht="15" customHeight="1" x14ac:dyDescent="0.25">
      <c r="B4298" s="53"/>
    </row>
    <row r="4299" spans="2:2" ht="15" customHeight="1" x14ac:dyDescent="0.25">
      <c r="B4299" s="51" t="s">
        <v>1979</v>
      </c>
    </row>
    <row r="4300" spans="2:2" ht="15" customHeight="1" x14ac:dyDescent="0.25">
      <c r="B4300" s="53"/>
    </row>
    <row r="4301" spans="2:2" ht="15" customHeight="1" x14ac:dyDescent="0.25">
      <c r="B4301" s="51" t="s">
        <v>1980</v>
      </c>
    </row>
    <row r="4302" spans="2:2" ht="15" customHeight="1" x14ac:dyDescent="0.25">
      <c r="B4302" s="53"/>
    </row>
    <row r="4303" spans="2:2" ht="15" customHeight="1" x14ac:dyDescent="0.25">
      <c r="B4303" s="51" t="s">
        <v>1981</v>
      </c>
    </row>
    <row r="4304" spans="2:2" ht="15" customHeight="1" x14ac:dyDescent="0.25">
      <c r="B4304" s="53"/>
    </row>
    <row r="4305" spans="2:2" ht="15" customHeight="1" x14ac:dyDescent="0.25">
      <c r="B4305" s="51" t="s">
        <v>1982</v>
      </c>
    </row>
    <row r="4306" spans="2:2" ht="15" customHeight="1" x14ac:dyDescent="0.25">
      <c r="B4306" s="53"/>
    </row>
    <row r="4307" spans="2:2" ht="15" customHeight="1" x14ac:dyDescent="0.25">
      <c r="B4307" s="51" t="s">
        <v>1983</v>
      </c>
    </row>
    <row r="4308" spans="2:2" ht="15" customHeight="1" x14ac:dyDescent="0.25">
      <c r="B4308" s="53"/>
    </row>
    <row r="4309" spans="2:2" ht="15" customHeight="1" x14ac:dyDescent="0.25">
      <c r="B4309" s="51" t="s">
        <v>1984</v>
      </c>
    </row>
    <row r="4310" spans="2:2" ht="15" customHeight="1" x14ac:dyDescent="0.25">
      <c r="B4310" s="53"/>
    </row>
    <row r="4311" spans="2:2" ht="15" customHeight="1" x14ac:dyDescent="0.25">
      <c r="B4311" s="51" t="s">
        <v>1985</v>
      </c>
    </row>
    <row r="4312" spans="2:2" ht="15" customHeight="1" x14ac:dyDescent="0.25">
      <c r="B4312" s="53"/>
    </row>
    <row r="4313" spans="2:2" ht="15" customHeight="1" x14ac:dyDescent="0.25">
      <c r="B4313" s="51" t="s">
        <v>1986</v>
      </c>
    </row>
    <row r="4314" spans="2:2" ht="15" customHeight="1" x14ac:dyDescent="0.25">
      <c r="B4314" s="53"/>
    </row>
    <row r="4315" spans="2:2" ht="15" customHeight="1" x14ac:dyDescent="0.25">
      <c r="B4315" s="51" t="s">
        <v>1987</v>
      </c>
    </row>
    <row r="4316" spans="2:2" ht="15" customHeight="1" x14ac:dyDescent="0.25">
      <c r="B4316" s="53"/>
    </row>
    <row r="4317" spans="2:2" ht="15" customHeight="1" x14ac:dyDescent="0.25">
      <c r="B4317" s="51" t="s">
        <v>1988</v>
      </c>
    </row>
    <row r="4318" spans="2:2" ht="15" customHeight="1" x14ac:dyDescent="0.25">
      <c r="B4318" s="53"/>
    </row>
    <row r="4319" spans="2:2" ht="15" customHeight="1" x14ac:dyDescent="0.25">
      <c r="B4319" s="51" t="s">
        <v>1989</v>
      </c>
    </row>
    <row r="4320" spans="2:2" ht="15" customHeight="1" x14ac:dyDescent="0.25">
      <c r="B4320" s="53"/>
    </row>
    <row r="4321" spans="2:2" ht="15" customHeight="1" x14ac:dyDescent="0.25">
      <c r="B4321" s="51" t="s">
        <v>1990</v>
      </c>
    </row>
    <row r="4322" spans="2:2" ht="15" customHeight="1" x14ac:dyDescent="0.25">
      <c r="B4322" s="53"/>
    </row>
    <row r="4323" spans="2:2" ht="15" customHeight="1" x14ac:dyDescent="0.25">
      <c r="B4323" s="51" t="s">
        <v>1991</v>
      </c>
    </row>
    <row r="4324" spans="2:2" ht="15" customHeight="1" x14ac:dyDescent="0.25">
      <c r="B4324" s="53"/>
    </row>
    <row r="4325" spans="2:2" ht="15" customHeight="1" x14ac:dyDescent="0.25">
      <c r="B4325" s="51" t="s">
        <v>1992</v>
      </c>
    </row>
    <row r="4326" spans="2:2" ht="15" customHeight="1" x14ac:dyDescent="0.25">
      <c r="B4326" s="53"/>
    </row>
    <row r="4327" spans="2:2" ht="15" customHeight="1" x14ac:dyDescent="0.25">
      <c r="B4327" s="51" t="s">
        <v>1993</v>
      </c>
    </row>
    <row r="4328" spans="2:2" ht="15" customHeight="1" x14ac:dyDescent="0.25">
      <c r="B4328" s="53"/>
    </row>
    <row r="4329" spans="2:2" ht="15" customHeight="1" x14ac:dyDescent="0.25">
      <c r="B4329" s="51" t="s">
        <v>1994</v>
      </c>
    </row>
    <row r="4330" spans="2:2" ht="15" customHeight="1" x14ac:dyDescent="0.25">
      <c r="B4330" s="53"/>
    </row>
    <row r="4331" spans="2:2" ht="15" customHeight="1" x14ac:dyDescent="0.25">
      <c r="B4331" s="51" t="s">
        <v>1995</v>
      </c>
    </row>
    <row r="4332" spans="2:2" ht="15" customHeight="1" x14ac:dyDescent="0.25">
      <c r="B4332" s="53"/>
    </row>
    <row r="4333" spans="2:2" ht="15" customHeight="1" x14ac:dyDescent="0.25">
      <c r="B4333" s="51" t="s">
        <v>1996</v>
      </c>
    </row>
    <row r="4334" spans="2:2" ht="15" customHeight="1" x14ac:dyDescent="0.25">
      <c r="B4334" s="53"/>
    </row>
    <row r="4335" spans="2:2" ht="15" customHeight="1" x14ac:dyDescent="0.25">
      <c r="B4335" s="51" t="s">
        <v>1997</v>
      </c>
    </row>
    <row r="4336" spans="2:2" ht="15" customHeight="1" x14ac:dyDescent="0.25">
      <c r="B4336" s="53"/>
    </row>
    <row r="4337" spans="2:2" ht="15" customHeight="1" x14ac:dyDescent="0.25">
      <c r="B4337" s="51" t="s">
        <v>1998</v>
      </c>
    </row>
    <row r="4338" spans="2:2" ht="15" customHeight="1" x14ac:dyDescent="0.25">
      <c r="B4338" s="53"/>
    </row>
    <row r="4339" spans="2:2" ht="15" customHeight="1" x14ac:dyDescent="0.25">
      <c r="B4339" s="51" t="s">
        <v>1999</v>
      </c>
    </row>
    <row r="4340" spans="2:2" ht="15" customHeight="1" x14ac:dyDescent="0.25">
      <c r="B4340" s="53"/>
    </row>
    <row r="4341" spans="2:2" ht="15" customHeight="1" x14ac:dyDescent="0.25">
      <c r="B4341" s="51" t="s">
        <v>2000</v>
      </c>
    </row>
    <row r="4342" spans="2:2" ht="15" customHeight="1" x14ac:dyDescent="0.25">
      <c r="B4342" s="53"/>
    </row>
    <row r="4343" spans="2:2" ht="15" customHeight="1" x14ac:dyDescent="0.25">
      <c r="B4343" s="51" t="s">
        <v>2001</v>
      </c>
    </row>
    <row r="4344" spans="2:2" ht="15" customHeight="1" x14ac:dyDescent="0.25">
      <c r="B4344" s="53"/>
    </row>
    <row r="4345" spans="2:2" ht="15" customHeight="1" x14ac:dyDescent="0.25">
      <c r="B4345" s="51" t="s">
        <v>2002</v>
      </c>
    </row>
    <row r="4346" spans="2:2" ht="15" customHeight="1" x14ac:dyDescent="0.25">
      <c r="B4346" s="53"/>
    </row>
    <row r="4347" spans="2:2" ht="15" customHeight="1" x14ac:dyDescent="0.25">
      <c r="B4347" s="51" t="s">
        <v>2003</v>
      </c>
    </row>
    <row r="4348" spans="2:2" ht="15" customHeight="1" x14ac:dyDescent="0.25">
      <c r="B4348" s="53"/>
    </row>
    <row r="4349" spans="2:2" ht="15" customHeight="1" x14ac:dyDescent="0.25">
      <c r="B4349" s="51" t="s">
        <v>2004</v>
      </c>
    </row>
    <row r="4350" spans="2:2" ht="15" customHeight="1" x14ac:dyDescent="0.25">
      <c r="B4350" s="53"/>
    </row>
    <row r="4351" spans="2:2" ht="15" customHeight="1" x14ac:dyDescent="0.25">
      <c r="B4351" s="51" t="s">
        <v>2005</v>
      </c>
    </row>
    <row r="4352" spans="2:2" ht="15" customHeight="1" x14ac:dyDescent="0.25">
      <c r="B4352" s="53"/>
    </row>
    <row r="4353" spans="2:2" ht="15" customHeight="1" x14ac:dyDescent="0.25">
      <c r="B4353" s="51" t="s">
        <v>2006</v>
      </c>
    </row>
    <row r="4354" spans="2:2" ht="15" customHeight="1" x14ac:dyDescent="0.25">
      <c r="B4354" s="53"/>
    </row>
    <row r="4355" spans="2:2" ht="15" customHeight="1" x14ac:dyDescent="0.25">
      <c r="B4355" s="51" t="s">
        <v>2007</v>
      </c>
    </row>
    <row r="4356" spans="2:2" ht="15" customHeight="1" x14ac:dyDescent="0.25">
      <c r="B4356" s="53"/>
    </row>
    <row r="4357" spans="2:2" ht="15" customHeight="1" x14ac:dyDescent="0.25">
      <c r="B4357" s="51" t="s">
        <v>2008</v>
      </c>
    </row>
    <row r="4358" spans="2:2" ht="15" customHeight="1" x14ac:dyDescent="0.25">
      <c r="B4358" s="53"/>
    </row>
    <row r="4359" spans="2:2" ht="15" customHeight="1" x14ac:dyDescent="0.25">
      <c r="B4359" s="51" t="s">
        <v>2009</v>
      </c>
    </row>
    <row r="4360" spans="2:2" ht="15" customHeight="1" x14ac:dyDescent="0.25">
      <c r="B4360" s="53"/>
    </row>
    <row r="4361" spans="2:2" ht="15" customHeight="1" x14ac:dyDescent="0.25">
      <c r="B4361" s="51" t="s">
        <v>2010</v>
      </c>
    </row>
    <row r="4362" spans="2:2" ht="15" customHeight="1" x14ac:dyDescent="0.25">
      <c r="B4362" s="53"/>
    </row>
    <row r="4363" spans="2:2" ht="15" customHeight="1" x14ac:dyDescent="0.25">
      <c r="B4363" s="51" t="s">
        <v>2011</v>
      </c>
    </row>
    <row r="4364" spans="2:2" ht="15" customHeight="1" x14ac:dyDescent="0.25">
      <c r="B4364" s="53"/>
    </row>
    <row r="4365" spans="2:2" ht="15" customHeight="1" x14ac:dyDescent="0.25">
      <c r="B4365" s="51" t="s">
        <v>2012</v>
      </c>
    </row>
    <row r="4366" spans="2:2" ht="15" customHeight="1" x14ac:dyDescent="0.25">
      <c r="B4366" s="53"/>
    </row>
    <row r="4367" spans="2:2" ht="15" customHeight="1" x14ac:dyDescent="0.25">
      <c r="B4367" s="51" t="s">
        <v>2013</v>
      </c>
    </row>
    <row r="4368" spans="2:2" ht="15" customHeight="1" x14ac:dyDescent="0.25">
      <c r="B4368" s="53"/>
    </row>
    <row r="4369" spans="2:2" ht="15" customHeight="1" x14ac:dyDescent="0.25">
      <c r="B4369" s="51" t="s">
        <v>2014</v>
      </c>
    </row>
    <row r="4370" spans="2:2" ht="15" customHeight="1" x14ac:dyDescent="0.25">
      <c r="B4370" s="53"/>
    </row>
    <row r="4371" spans="2:2" ht="15" customHeight="1" x14ac:dyDescent="0.25">
      <c r="B4371" s="51" t="s">
        <v>2015</v>
      </c>
    </row>
    <row r="4372" spans="2:2" ht="15" customHeight="1" x14ac:dyDescent="0.25">
      <c r="B4372" s="53"/>
    </row>
    <row r="4373" spans="2:2" ht="15" customHeight="1" x14ac:dyDescent="0.25">
      <c r="B4373" s="51" t="s">
        <v>2016</v>
      </c>
    </row>
    <row r="4374" spans="2:2" ht="15" customHeight="1" x14ac:dyDescent="0.25">
      <c r="B4374" s="53"/>
    </row>
    <row r="4375" spans="2:2" ht="15" customHeight="1" x14ac:dyDescent="0.25">
      <c r="B4375" s="51" t="s">
        <v>2017</v>
      </c>
    </row>
    <row r="4376" spans="2:2" ht="15" customHeight="1" x14ac:dyDescent="0.25">
      <c r="B4376" s="53"/>
    </row>
    <row r="4377" spans="2:2" ht="15" customHeight="1" x14ac:dyDescent="0.25">
      <c r="B4377" s="51" t="s">
        <v>2018</v>
      </c>
    </row>
    <row r="4378" spans="2:2" ht="15" customHeight="1" x14ac:dyDescent="0.25">
      <c r="B4378" s="53"/>
    </row>
    <row r="4379" spans="2:2" ht="15" customHeight="1" x14ac:dyDescent="0.25">
      <c r="B4379" s="51" t="s">
        <v>2019</v>
      </c>
    </row>
    <row r="4380" spans="2:2" ht="15" customHeight="1" x14ac:dyDescent="0.25">
      <c r="B4380" s="53"/>
    </row>
    <row r="4381" spans="2:2" ht="15" customHeight="1" x14ac:dyDescent="0.25">
      <c r="B4381" s="51" t="s">
        <v>2020</v>
      </c>
    </row>
    <row r="4382" spans="2:2" ht="15" customHeight="1" x14ac:dyDescent="0.25">
      <c r="B4382" s="53"/>
    </row>
    <row r="4383" spans="2:2" ht="15" customHeight="1" x14ac:dyDescent="0.25">
      <c r="B4383" s="51" t="s">
        <v>2021</v>
      </c>
    </row>
    <row r="4384" spans="2:2" ht="15" customHeight="1" x14ac:dyDescent="0.25">
      <c r="B4384" s="53"/>
    </row>
    <row r="4385" spans="2:2" ht="15" customHeight="1" x14ac:dyDescent="0.25">
      <c r="B4385" s="51" t="s">
        <v>2022</v>
      </c>
    </row>
    <row r="4386" spans="2:2" ht="15" customHeight="1" x14ac:dyDescent="0.25">
      <c r="B4386" s="53"/>
    </row>
    <row r="4387" spans="2:2" ht="15" customHeight="1" x14ac:dyDescent="0.25">
      <c r="B4387" s="51" t="s">
        <v>2023</v>
      </c>
    </row>
    <row r="4388" spans="2:2" ht="15" customHeight="1" x14ac:dyDescent="0.25">
      <c r="B4388" s="53"/>
    </row>
    <row r="4389" spans="2:2" ht="15" customHeight="1" x14ac:dyDescent="0.25">
      <c r="B4389" s="51" t="s">
        <v>2024</v>
      </c>
    </row>
    <row r="4390" spans="2:2" ht="15" customHeight="1" x14ac:dyDescent="0.25">
      <c r="B4390" s="53"/>
    </row>
    <row r="4391" spans="2:2" ht="15" customHeight="1" x14ac:dyDescent="0.25">
      <c r="B4391" s="51" t="s">
        <v>2025</v>
      </c>
    </row>
    <row r="4392" spans="2:2" ht="15" customHeight="1" x14ac:dyDescent="0.25">
      <c r="B4392" s="53"/>
    </row>
    <row r="4393" spans="2:2" ht="15" customHeight="1" x14ac:dyDescent="0.25">
      <c r="B4393" s="51" t="s">
        <v>2026</v>
      </c>
    </row>
    <row r="4394" spans="2:2" ht="15" customHeight="1" x14ac:dyDescent="0.25">
      <c r="B4394" s="53"/>
    </row>
    <row r="4395" spans="2:2" ht="15" customHeight="1" x14ac:dyDescent="0.25">
      <c r="B4395" s="51" t="s">
        <v>2027</v>
      </c>
    </row>
    <row r="4396" spans="2:2" ht="15" customHeight="1" x14ac:dyDescent="0.25">
      <c r="B4396" s="53"/>
    </row>
    <row r="4397" spans="2:2" ht="15" customHeight="1" x14ac:dyDescent="0.25">
      <c r="B4397" s="51" t="s">
        <v>2028</v>
      </c>
    </row>
    <row r="4398" spans="2:2" ht="15" customHeight="1" x14ac:dyDescent="0.25">
      <c r="B4398" s="53"/>
    </row>
    <row r="4399" spans="2:2" ht="15" customHeight="1" x14ac:dyDescent="0.25">
      <c r="B4399" s="51" t="s">
        <v>2029</v>
      </c>
    </row>
    <row r="4400" spans="2:2" ht="15" customHeight="1" x14ac:dyDescent="0.25">
      <c r="B4400" s="53"/>
    </row>
    <row r="4401" spans="2:2" ht="15" customHeight="1" x14ac:dyDescent="0.25">
      <c r="B4401" s="51" t="s">
        <v>2030</v>
      </c>
    </row>
    <row r="4402" spans="2:2" ht="15" customHeight="1" x14ac:dyDescent="0.25">
      <c r="B4402" s="53"/>
    </row>
    <row r="4403" spans="2:2" ht="15" customHeight="1" x14ac:dyDescent="0.25">
      <c r="B4403" s="51" t="s">
        <v>2031</v>
      </c>
    </row>
    <row r="4404" spans="2:2" ht="15" customHeight="1" x14ac:dyDescent="0.25">
      <c r="B4404" s="53"/>
    </row>
    <row r="4405" spans="2:2" ht="15" customHeight="1" x14ac:dyDescent="0.25">
      <c r="B4405" s="51" t="s">
        <v>2032</v>
      </c>
    </row>
    <row r="4406" spans="2:2" ht="15" customHeight="1" x14ac:dyDescent="0.25">
      <c r="B4406" s="53"/>
    </row>
    <row r="4407" spans="2:2" ht="15" customHeight="1" x14ac:dyDescent="0.25">
      <c r="B4407" s="51" t="s">
        <v>2033</v>
      </c>
    </row>
    <row r="4408" spans="2:2" ht="15" customHeight="1" x14ac:dyDescent="0.25">
      <c r="B4408" s="53"/>
    </row>
    <row r="4409" spans="2:2" ht="15" customHeight="1" x14ac:dyDescent="0.25">
      <c r="B4409" s="51" t="s">
        <v>2034</v>
      </c>
    </row>
    <row r="4410" spans="2:2" ht="15" customHeight="1" x14ac:dyDescent="0.25">
      <c r="B4410" s="53"/>
    </row>
    <row r="4411" spans="2:2" ht="15" customHeight="1" x14ac:dyDescent="0.25">
      <c r="B4411" s="51" t="s">
        <v>2035</v>
      </c>
    </row>
    <row r="4412" spans="2:2" ht="15" customHeight="1" x14ac:dyDescent="0.25">
      <c r="B4412" s="53"/>
    </row>
    <row r="4413" spans="2:2" ht="15" customHeight="1" x14ac:dyDescent="0.25">
      <c r="B4413" s="51" t="s">
        <v>2036</v>
      </c>
    </row>
    <row r="4414" spans="2:2" ht="15" customHeight="1" x14ac:dyDescent="0.25">
      <c r="B4414" s="53"/>
    </row>
    <row r="4415" spans="2:2" ht="15" customHeight="1" x14ac:dyDescent="0.25">
      <c r="B4415" s="51" t="s">
        <v>2037</v>
      </c>
    </row>
    <row r="4416" spans="2:2" ht="15" customHeight="1" x14ac:dyDescent="0.25">
      <c r="B4416" s="53"/>
    </row>
    <row r="4417" spans="2:2" ht="15" customHeight="1" x14ac:dyDescent="0.25">
      <c r="B4417" s="51" t="s">
        <v>2038</v>
      </c>
    </row>
    <row r="4418" spans="2:2" ht="15" customHeight="1" x14ac:dyDescent="0.25">
      <c r="B4418" s="53"/>
    </row>
    <row r="4419" spans="2:2" ht="15" customHeight="1" x14ac:dyDescent="0.25">
      <c r="B4419" s="51" t="s">
        <v>2039</v>
      </c>
    </row>
    <row r="4420" spans="2:2" ht="15" customHeight="1" x14ac:dyDescent="0.25">
      <c r="B4420" s="53"/>
    </row>
    <row r="4421" spans="2:2" ht="15" customHeight="1" x14ac:dyDescent="0.25">
      <c r="B4421" s="51" t="s">
        <v>2040</v>
      </c>
    </row>
    <row r="4422" spans="2:2" ht="15" customHeight="1" x14ac:dyDescent="0.25">
      <c r="B4422" s="53"/>
    </row>
    <row r="4423" spans="2:2" ht="15" customHeight="1" x14ac:dyDescent="0.25">
      <c r="B4423" s="51" t="s">
        <v>2041</v>
      </c>
    </row>
    <row r="4424" spans="2:2" ht="15" customHeight="1" x14ac:dyDescent="0.25">
      <c r="B4424" s="53"/>
    </row>
    <row r="4425" spans="2:2" ht="15" customHeight="1" x14ac:dyDescent="0.25">
      <c r="B4425" s="51" t="s">
        <v>2042</v>
      </c>
    </row>
    <row r="4426" spans="2:2" ht="15" customHeight="1" x14ac:dyDescent="0.25">
      <c r="B4426" s="53"/>
    </row>
    <row r="4427" spans="2:2" ht="15" customHeight="1" x14ac:dyDescent="0.25">
      <c r="B4427" s="51" t="s">
        <v>2043</v>
      </c>
    </row>
    <row r="4428" spans="2:2" ht="15" customHeight="1" x14ac:dyDescent="0.25">
      <c r="B4428" s="53"/>
    </row>
    <row r="4429" spans="2:2" ht="15" customHeight="1" x14ac:dyDescent="0.25">
      <c r="B4429" s="51" t="s">
        <v>2044</v>
      </c>
    </row>
    <row r="4430" spans="2:2" ht="15" customHeight="1" x14ac:dyDescent="0.25">
      <c r="B4430" s="53"/>
    </row>
    <row r="4431" spans="2:2" ht="15" customHeight="1" x14ac:dyDescent="0.25">
      <c r="B4431" s="51" t="s">
        <v>2045</v>
      </c>
    </row>
    <row r="4432" spans="2:2" ht="15" customHeight="1" x14ac:dyDescent="0.25">
      <c r="B4432" s="53"/>
    </row>
    <row r="4433" spans="2:2" ht="15" customHeight="1" x14ac:dyDescent="0.25">
      <c r="B4433" s="51" t="s">
        <v>2046</v>
      </c>
    </row>
    <row r="4434" spans="2:2" ht="15" customHeight="1" x14ac:dyDescent="0.25">
      <c r="B4434" s="53"/>
    </row>
    <row r="4435" spans="2:2" ht="15" customHeight="1" x14ac:dyDescent="0.25">
      <c r="B4435" s="51" t="s">
        <v>2047</v>
      </c>
    </row>
    <row r="4436" spans="2:2" ht="15" customHeight="1" x14ac:dyDescent="0.25">
      <c r="B4436" s="53"/>
    </row>
    <row r="4437" spans="2:2" ht="15" customHeight="1" x14ac:dyDescent="0.25">
      <c r="B4437" s="51" t="s">
        <v>2048</v>
      </c>
    </row>
    <row r="4438" spans="2:2" ht="15" customHeight="1" x14ac:dyDescent="0.25">
      <c r="B4438" s="53"/>
    </row>
    <row r="4439" spans="2:2" ht="15" customHeight="1" x14ac:dyDescent="0.25">
      <c r="B4439" s="51" t="s">
        <v>2049</v>
      </c>
    </row>
    <row r="4440" spans="2:2" ht="15" customHeight="1" x14ac:dyDescent="0.25">
      <c r="B4440" s="53"/>
    </row>
    <row r="4441" spans="2:2" ht="15" customHeight="1" x14ac:dyDescent="0.25">
      <c r="B4441" s="51" t="s">
        <v>2050</v>
      </c>
    </row>
    <row r="4442" spans="2:2" ht="15" customHeight="1" x14ac:dyDescent="0.25">
      <c r="B4442" s="53"/>
    </row>
    <row r="4443" spans="2:2" ht="15" customHeight="1" x14ac:dyDescent="0.25">
      <c r="B4443" s="51" t="s">
        <v>2051</v>
      </c>
    </row>
    <row r="4444" spans="2:2" ht="15" customHeight="1" x14ac:dyDescent="0.25">
      <c r="B4444" s="53"/>
    </row>
    <row r="4445" spans="2:2" ht="15" customHeight="1" x14ac:dyDescent="0.25">
      <c r="B4445" s="51" t="s">
        <v>2052</v>
      </c>
    </row>
    <row r="4446" spans="2:2" ht="15" customHeight="1" x14ac:dyDescent="0.25">
      <c r="B4446" s="53"/>
    </row>
    <row r="4447" spans="2:2" ht="15" customHeight="1" x14ac:dyDescent="0.25">
      <c r="B4447" s="51" t="s">
        <v>2053</v>
      </c>
    </row>
    <row r="4448" spans="2:2" ht="15" customHeight="1" x14ac:dyDescent="0.25">
      <c r="B4448" s="53"/>
    </row>
    <row r="4449" spans="2:2" ht="15" customHeight="1" x14ac:dyDescent="0.25">
      <c r="B4449" s="51" t="s">
        <v>2054</v>
      </c>
    </row>
    <row r="4450" spans="2:2" ht="15" customHeight="1" x14ac:dyDescent="0.25">
      <c r="B4450" s="53"/>
    </row>
    <row r="4451" spans="2:2" ht="15" customHeight="1" x14ac:dyDescent="0.25">
      <c r="B4451" s="51" t="s">
        <v>2055</v>
      </c>
    </row>
    <row r="4452" spans="2:2" ht="15" customHeight="1" x14ac:dyDescent="0.25">
      <c r="B4452" s="53"/>
    </row>
    <row r="4453" spans="2:2" ht="15" customHeight="1" x14ac:dyDescent="0.25">
      <c r="B4453" s="51" t="s">
        <v>2056</v>
      </c>
    </row>
    <row r="4454" spans="2:2" ht="15" customHeight="1" x14ac:dyDescent="0.25">
      <c r="B4454" s="53"/>
    </row>
    <row r="4455" spans="2:2" ht="15" customHeight="1" x14ac:dyDescent="0.25">
      <c r="B4455" s="51" t="s">
        <v>2057</v>
      </c>
    </row>
    <row r="4456" spans="2:2" ht="15" customHeight="1" x14ac:dyDescent="0.25">
      <c r="B4456" s="53"/>
    </row>
    <row r="4457" spans="2:2" ht="15" customHeight="1" x14ac:dyDescent="0.25">
      <c r="B4457" s="51" t="s">
        <v>2058</v>
      </c>
    </row>
    <row r="4458" spans="2:2" ht="15" customHeight="1" x14ac:dyDescent="0.25">
      <c r="B4458" s="53"/>
    </row>
    <row r="4459" spans="2:2" ht="15" customHeight="1" x14ac:dyDescent="0.25">
      <c r="B4459" s="51" t="s">
        <v>2059</v>
      </c>
    </row>
    <row r="4460" spans="2:2" ht="15" customHeight="1" x14ac:dyDescent="0.25">
      <c r="B4460" s="53"/>
    </row>
    <row r="4461" spans="2:2" ht="15" customHeight="1" x14ac:dyDescent="0.25">
      <c r="B4461" s="51" t="s">
        <v>2060</v>
      </c>
    </row>
    <row r="4462" spans="2:2" ht="15" customHeight="1" x14ac:dyDescent="0.25">
      <c r="B4462" s="53"/>
    </row>
    <row r="4463" spans="2:2" ht="15" customHeight="1" x14ac:dyDescent="0.25">
      <c r="B4463" s="51" t="s">
        <v>2061</v>
      </c>
    </row>
    <row r="4464" spans="2:2" ht="15" customHeight="1" x14ac:dyDescent="0.25">
      <c r="B4464" s="53"/>
    </row>
    <row r="4465" spans="2:2" ht="15" customHeight="1" x14ac:dyDescent="0.25">
      <c r="B4465" s="51" t="s">
        <v>2062</v>
      </c>
    </row>
    <row r="4466" spans="2:2" ht="15" customHeight="1" x14ac:dyDescent="0.25">
      <c r="B4466" s="53"/>
    </row>
    <row r="4467" spans="2:2" ht="15" customHeight="1" x14ac:dyDescent="0.25">
      <c r="B4467" s="51" t="s">
        <v>2063</v>
      </c>
    </row>
    <row r="4468" spans="2:2" ht="15" customHeight="1" x14ac:dyDescent="0.25">
      <c r="B4468" s="53"/>
    </row>
    <row r="4469" spans="2:2" ht="15" customHeight="1" x14ac:dyDescent="0.25">
      <c r="B4469" s="51" t="s">
        <v>2064</v>
      </c>
    </row>
    <row r="4470" spans="2:2" ht="15" customHeight="1" x14ac:dyDescent="0.25">
      <c r="B4470" s="53"/>
    </row>
    <row r="4471" spans="2:2" ht="15" customHeight="1" x14ac:dyDescent="0.25">
      <c r="B4471" s="51" t="s">
        <v>2065</v>
      </c>
    </row>
    <row r="4472" spans="2:2" ht="15" customHeight="1" x14ac:dyDescent="0.25">
      <c r="B4472" s="53"/>
    </row>
    <row r="4473" spans="2:2" ht="15" customHeight="1" x14ac:dyDescent="0.25">
      <c r="B4473" s="51" t="s">
        <v>2066</v>
      </c>
    </row>
    <row r="4474" spans="2:2" ht="15" customHeight="1" x14ac:dyDescent="0.25">
      <c r="B4474" s="53"/>
    </row>
    <row r="4475" spans="2:2" ht="15" customHeight="1" x14ac:dyDescent="0.25">
      <c r="B4475" s="51" t="s">
        <v>2067</v>
      </c>
    </row>
    <row r="4476" spans="2:2" ht="15" customHeight="1" x14ac:dyDescent="0.25">
      <c r="B4476" s="53"/>
    </row>
    <row r="4477" spans="2:2" ht="15" customHeight="1" x14ac:dyDescent="0.25">
      <c r="B4477" s="51" t="s">
        <v>2068</v>
      </c>
    </row>
    <row r="4478" spans="2:2" ht="15" customHeight="1" x14ac:dyDescent="0.25">
      <c r="B4478" s="53"/>
    </row>
    <row r="4479" spans="2:2" ht="15" customHeight="1" x14ac:dyDescent="0.25">
      <c r="B4479" s="51" t="s">
        <v>2069</v>
      </c>
    </row>
    <row r="4480" spans="2:2" ht="15" customHeight="1" x14ac:dyDescent="0.25">
      <c r="B4480" s="53"/>
    </row>
    <row r="4481" spans="2:2" ht="15" customHeight="1" x14ac:dyDescent="0.25">
      <c r="B4481" s="51" t="s">
        <v>2070</v>
      </c>
    </row>
    <row r="4482" spans="2:2" ht="15" customHeight="1" x14ac:dyDescent="0.25">
      <c r="B4482" s="53"/>
    </row>
    <row r="4483" spans="2:2" ht="15" customHeight="1" x14ac:dyDescent="0.25">
      <c r="B4483" s="51" t="s">
        <v>2071</v>
      </c>
    </row>
    <row r="4484" spans="2:2" ht="15" customHeight="1" x14ac:dyDescent="0.25">
      <c r="B4484" s="53"/>
    </row>
    <row r="4485" spans="2:2" ht="15" customHeight="1" x14ac:dyDescent="0.25">
      <c r="B4485" s="51" t="s">
        <v>2072</v>
      </c>
    </row>
    <row r="4486" spans="2:2" ht="15" customHeight="1" x14ac:dyDescent="0.25">
      <c r="B4486" s="53"/>
    </row>
    <row r="4487" spans="2:2" ht="15" customHeight="1" x14ac:dyDescent="0.25">
      <c r="B4487" s="51" t="s">
        <v>2073</v>
      </c>
    </row>
    <row r="4488" spans="2:2" ht="15" customHeight="1" x14ac:dyDescent="0.25">
      <c r="B4488" s="53"/>
    </row>
    <row r="4489" spans="2:2" ht="15" customHeight="1" x14ac:dyDescent="0.25">
      <c r="B4489" s="51" t="s">
        <v>2074</v>
      </c>
    </row>
    <row r="4490" spans="2:2" ht="15" customHeight="1" x14ac:dyDescent="0.25">
      <c r="B4490" s="53"/>
    </row>
    <row r="4491" spans="2:2" ht="15" customHeight="1" x14ac:dyDescent="0.25">
      <c r="B4491" s="51" t="s">
        <v>2075</v>
      </c>
    </row>
    <row r="4492" spans="2:2" ht="15" customHeight="1" x14ac:dyDescent="0.25">
      <c r="B4492" s="53"/>
    </row>
    <row r="4493" spans="2:2" ht="15" customHeight="1" x14ac:dyDescent="0.25">
      <c r="B4493" s="51" t="s">
        <v>2076</v>
      </c>
    </row>
    <row r="4494" spans="2:2" ht="15" customHeight="1" x14ac:dyDescent="0.25">
      <c r="B4494" s="53"/>
    </row>
    <row r="4495" spans="2:2" ht="15" customHeight="1" x14ac:dyDescent="0.25">
      <c r="B4495" s="51" t="s">
        <v>2077</v>
      </c>
    </row>
    <row r="4496" spans="2:2" ht="15" customHeight="1" x14ac:dyDescent="0.25">
      <c r="B4496" s="53"/>
    </row>
    <row r="4497" spans="2:2" ht="15" customHeight="1" x14ac:dyDescent="0.25">
      <c r="B4497" s="51" t="s">
        <v>2078</v>
      </c>
    </row>
    <row r="4498" spans="2:2" ht="15" customHeight="1" x14ac:dyDescent="0.25">
      <c r="B4498" s="53"/>
    </row>
    <row r="4499" spans="2:2" ht="15" customHeight="1" x14ac:dyDescent="0.25">
      <c r="B4499" s="51" t="s">
        <v>2079</v>
      </c>
    </row>
    <row r="4500" spans="2:2" ht="15" customHeight="1" x14ac:dyDescent="0.25">
      <c r="B4500" s="53"/>
    </row>
    <row r="4501" spans="2:2" ht="15" customHeight="1" x14ac:dyDescent="0.25">
      <c r="B4501" s="51" t="s">
        <v>2080</v>
      </c>
    </row>
    <row r="4502" spans="2:2" ht="15" customHeight="1" x14ac:dyDescent="0.25">
      <c r="B4502" s="53"/>
    </row>
    <row r="4503" spans="2:2" ht="15" customHeight="1" x14ac:dyDescent="0.25">
      <c r="B4503" s="51" t="s">
        <v>2081</v>
      </c>
    </row>
    <row r="4504" spans="2:2" ht="15" customHeight="1" x14ac:dyDescent="0.25">
      <c r="B4504" s="53"/>
    </row>
    <row r="4505" spans="2:2" ht="15" customHeight="1" x14ac:dyDescent="0.25">
      <c r="B4505" s="51" t="s">
        <v>2082</v>
      </c>
    </row>
    <row r="4506" spans="2:2" ht="15" customHeight="1" x14ac:dyDescent="0.25">
      <c r="B4506" s="53"/>
    </row>
    <row r="4507" spans="2:2" ht="15" customHeight="1" x14ac:dyDescent="0.25">
      <c r="B4507" s="51" t="s">
        <v>2083</v>
      </c>
    </row>
    <row r="4508" spans="2:2" ht="15" customHeight="1" x14ac:dyDescent="0.25">
      <c r="B4508" s="53"/>
    </row>
    <row r="4509" spans="2:2" ht="15" customHeight="1" x14ac:dyDescent="0.25">
      <c r="B4509" s="51" t="s">
        <v>2084</v>
      </c>
    </row>
    <row r="4510" spans="2:2" ht="15" customHeight="1" x14ac:dyDescent="0.25">
      <c r="B4510" s="53"/>
    </row>
    <row r="4511" spans="2:2" ht="15" customHeight="1" x14ac:dyDescent="0.25">
      <c r="B4511" s="51" t="s">
        <v>2085</v>
      </c>
    </row>
    <row r="4512" spans="2:2" ht="15" customHeight="1" x14ac:dyDescent="0.25">
      <c r="B4512" s="53"/>
    </row>
    <row r="4513" spans="2:2" ht="15" customHeight="1" x14ac:dyDescent="0.25">
      <c r="B4513" s="51" t="s">
        <v>2086</v>
      </c>
    </row>
    <row r="4514" spans="2:2" ht="15" customHeight="1" x14ac:dyDescent="0.25">
      <c r="B4514" s="53"/>
    </row>
    <row r="4515" spans="2:2" ht="15" customHeight="1" x14ac:dyDescent="0.25">
      <c r="B4515" s="51" t="s">
        <v>2087</v>
      </c>
    </row>
    <row r="4516" spans="2:2" ht="15" customHeight="1" x14ac:dyDescent="0.25">
      <c r="B4516" s="53"/>
    </row>
    <row r="4517" spans="2:2" ht="15" customHeight="1" x14ac:dyDescent="0.25">
      <c r="B4517" s="51" t="s">
        <v>2088</v>
      </c>
    </row>
    <row r="4518" spans="2:2" ht="15" customHeight="1" x14ac:dyDescent="0.25">
      <c r="B4518" s="53"/>
    </row>
    <row r="4519" spans="2:2" ht="15" customHeight="1" x14ac:dyDescent="0.25">
      <c r="B4519" s="51" t="s">
        <v>2089</v>
      </c>
    </row>
    <row r="4520" spans="2:2" ht="15" customHeight="1" x14ac:dyDescent="0.25">
      <c r="B4520" s="53"/>
    </row>
    <row r="4521" spans="2:2" ht="15" customHeight="1" x14ac:dyDescent="0.25">
      <c r="B4521" s="51" t="s">
        <v>2090</v>
      </c>
    </row>
    <row r="4522" spans="2:2" ht="15" customHeight="1" x14ac:dyDescent="0.25">
      <c r="B4522" s="53"/>
    </row>
    <row r="4523" spans="2:2" ht="15" customHeight="1" x14ac:dyDescent="0.25">
      <c r="B4523" s="51" t="s">
        <v>2091</v>
      </c>
    </row>
    <row r="4524" spans="2:2" ht="15" customHeight="1" x14ac:dyDescent="0.25">
      <c r="B4524" s="53"/>
    </row>
    <row r="4525" spans="2:2" ht="15" customHeight="1" x14ac:dyDescent="0.25">
      <c r="B4525" s="51" t="s">
        <v>2092</v>
      </c>
    </row>
    <row r="4526" spans="2:2" ht="15" customHeight="1" x14ac:dyDescent="0.25">
      <c r="B4526" s="53"/>
    </row>
    <row r="4527" spans="2:2" ht="15" customHeight="1" x14ac:dyDescent="0.25">
      <c r="B4527" s="51" t="s">
        <v>2093</v>
      </c>
    </row>
    <row r="4528" spans="2:2" ht="15" customHeight="1" x14ac:dyDescent="0.25">
      <c r="B4528" s="53"/>
    </row>
    <row r="4529" spans="2:2" ht="15" customHeight="1" x14ac:dyDescent="0.25">
      <c r="B4529" s="51" t="s">
        <v>2094</v>
      </c>
    </row>
    <row r="4530" spans="2:2" ht="15" customHeight="1" x14ac:dyDescent="0.25">
      <c r="B4530" s="53"/>
    </row>
    <row r="4531" spans="2:2" ht="15" customHeight="1" x14ac:dyDescent="0.25">
      <c r="B4531" s="51" t="s">
        <v>2095</v>
      </c>
    </row>
    <row r="4532" spans="2:2" ht="15" customHeight="1" x14ac:dyDescent="0.25">
      <c r="B4532" s="53"/>
    </row>
    <row r="4533" spans="2:2" ht="15" customHeight="1" x14ac:dyDescent="0.25">
      <c r="B4533" s="51" t="s">
        <v>2096</v>
      </c>
    </row>
    <row r="4534" spans="2:2" ht="15" customHeight="1" x14ac:dyDescent="0.25">
      <c r="B4534" s="53"/>
    </row>
    <row r="4535" spans="2:2" ht="15" customHeight="1" x14ac:dyDescent="0.25">
      <c r="B4535" s="51" t="s">
        <v>2097</v>
      </c>
    </row>
    <row r="4536" spans="2:2" ht="15" customHeight="1" x14ac:dyDescent="0.25">
      <c r="B4536" s="53"/>
    </row>
    <row r="4537" spans="2:2" ht="15" customHeight="1" x14ac:dyDescent="0.25">
      <c r="B4537" s="51" t="s">
        <v>2098</v>
      </c>
    </row>
    <row r="4538" spans="2:2" ht="15" customHeight="1" x14ac:dyDescent="0.25">
      <c r="B4538" s="53"/>
    </row>
    <row r="4539" spans="2:2" ht="15" customHeight="1" x14ac:dyDescent="0.25">
      <c r="B4539" s="51" t="s">
        <v>2099</v>
      </c>
    </row>
    <row r="4540" spans="2:2" ht="15" customHeight="1" x14ac:dyDescent="0.25">
      <c r="B4540" s="53"/>
    </row>
    <row r="4541" spans="2:2" ht="15" customHeight="1" x14ac:dyDescent="0.25">
      <c r="B4541" s="51" t="s">
        <v>2100</v>
      </c>
    </row>
    <row r="4542" spans="2:2" ht="15" customHeight="1" x14ac:dyDescent="0.25">
      <c r="B4542" s="53"/>
    </row>
    <row r="4543" spans="2:2" ht="15" customHeight="1" x14ac:dyDescent="0.25">
      <c r="B4543" s="51" t="s">
        <v>2101</v>
      </c>
    </row>
    <row r="4544" spans="2:2" ht="15" customHeight="1" x14ac:dyDescent="0.25">
      <c r="B4544" s="53"/>
    </row>
    <row r="4545" spans="2:2" ht="15" customHeight="1" x14ac:dyDescent="0.25">
      <c r="B4545" s="51" t="s">
        <v>2102</v>
      </c>
    </row>
    <row r="4546" spans="2:2" ht="15" customHeight="1" x14ac:dyDescent="0.25">
      <c r="B4546" s="53"/>
    </row>
    <row r="4547" spans="2:2" ht="15" customHeight="1" x14ac:dyDescent="0.25">
      <c r="B4547" s="51" t="s">
        <v>2103</v>
      </c>
    </row>
    <row r="4548" spans="2:2" ht="15" customHeight="1" x14ac:dyDescent="0.25">
      <c r="B4548" s="53"/>
    </row>
    <row r="4549" spans="2:2" ht="15" customHeight="1" x14ac:dyDescent="0.25">
      <c r="B4549" s="51" t="s">
        <v>2104</v>
      </c>
    </row>
    <row r="4550" spans="2:2" ht="15" customHeight="1" x14ac:dyDescent="0.25">
      <c r="B4550" s="53"/>
    </row>
    <row r="4551" spans="2:2" ht="15" customHeight="1" x14ac:dyDescent="0.25">
      <c r="B4551" s="51" t="s">
        <v>2105</v>
      </c>
    </row>
    <row r="4552" spans="2:2" ht="15" customHeight="1" x14ac:dyDescent="0.25">
      <c r="B4552" s="53"/>
    </row>
    <row r="4553" spans="2:2" ht="15" customHeight="1" x14ac:dyDescent="0.25">
      <c r="B4553" s="51" t="s">
        <v>2106</v>
      </c>
    </row>
    <row r="4554" spans="2:2" ht="15" customHeight="1" x14ac:dyDescent="0.25">
      <c r="B4554" s="53"/>
    </row>
    <row r="4555" spans="2:2" ht="15" customHeight="1" x14ac:dyDescent="0.25">
      <c r="B4555" s="51" t="s">
        <v>2107</v>
      </c>
    </row>
    <row r="4556" spans="2:2" ht="15" customHeight="1" x14ac:dyDescent="0.25">
      <c r="B4556" s="53"/>
    </row>
    <row r="4557" spans="2:2" ht="15" customHeight="1" x14ac:dyDescent="0.25">
      <c r="B4557" s="51" t="s">
        <v>2108</v>
      </c>
    </row>
    <row r="4558" spans="2:2" ht="15" customHeight="1" x14ac:dyDescent="0.25">
      <c r="B4558" s="53"/>
    </row>
    <row r="4559" spans="2:2" ht="15" customHeight="1" x14ac:dyDescent="0.25">
      <c r="B4559" s="51" t="s">
        <v>2109</v>
      </c>
    </row>
    <row r="4560" spans="2:2" ht="15" customHeight="1" x14ac:dyDescent="0.25">
      <c r="B4560" s="53"/>
    </row>
    <row r="4561" spans="2:2" ht="15" customHeight="1" x14ac:dyDescent="0.25">
      <c r="B4561" s="51" t="s">
        <v>2110</v>
      </c>
    </row>
    <row r="4562" spans="2:2" ht="15" customHeight="1" x14ac:dyDescent="0.25">
      <c r="B4562" s="53"/>
    </row>
    <row r="4563" spans="2:2" ht="15" customHeight="1" x14ac:dyDescent="0.25">
      <c r="B4563" s="51" t="s">
        <v>2111</v>
      </c>
    </row>
    <row r="4564" spans="2:2" ht="15" customHeight="1" x14ac:dyDescent="0.25">
      <c r="B4564" s="53"/>
    </row>
    <row r="4565" spans="2:2" ht="15" customHeight="1" x14ac:dyDescent="0.25">
      <c r="B4565" s="51" t="s">
        <v>2112</v>
      </c>
    </row>
    <row r="4566" spans="2:2" ht="15" customHeight="1" x14ac:dyDescent="0.25">
      <c r="B4566" s="53"/>
    </row>
    <row r="4567" spans="2:2" ht="15" customHeight="1" x14ac:dyDescent="0.25">
      <c r="B4567" s="51" t="s">
        <v>2113</v>
      </c>
    </row>
    <row r="4568" spans="2:2" ht="15" customHeight="1" x14ac:dyDescent="0.25">
      <c r="B4568" s="53"/>
    </row>
    <row r="4569" spans="2:2" ht="15" customHeight="1" x14ac:dyDescent="0.25">
      <c r="B4569" s="51" t="s">
        <v>2114</v>
      </c>
    </row>
    <row r="4570" spans="2:2" ht="15" customHeight="1" x14ac:dyDescent="0.25">
      <c r="B4570" s="53"/>
    </row>
    <row r="4571" spans="2:2" ht="15" customHeight="1" x14ac:dyDescent="0.25">
      <c r="B4571" s="51" t="s">
        <v>2115</v>
      </c>
    </row>
    <row r="4572" spans="2:2" ht="15" customHeight="1" x14ac:dyDescent="0.25">
      <c r="B4572" s="53"/>
    </row>
    <row r="4573" spans="2:2" ht="15" customHeight="1" x14ac:dyDescent="0.25">
      <c r="B4573" s="51" t="s">
        <v>2116</v>
      </c>
    </row>
    <row r="4574" spans="2:2" ht="15" customHeight="1" x14ac:dyDescent="0.25">
      <c r="B4574" s="53"/>
    </row>
    <row r="4575" spans="2:2" ht="15" customHeight="1" x14ac:dyDescent="0.25">
      <c r="B4575" s="51" t="s">
        <v>2117</v>
      </c>
    </row>
    <row r="4576" spans="2:2" ht="15" customHeight="1" x14ac:dyDescent="0.25">
      <c r="B4576" s="53"/>
    </row>
    <row r="4577" spans="2:2" ht="15" customHeight="1" x14ac:dyDescent="0.25">
      <c r="B4577" s="51" t="s">
        <v>2118</v>
      </c>
    </row>
    <row r="4578" spans="2:2" ht="15" customHeight="1" x14ac:dyDescent="0.25">
      <c r="B4578" s="53"/>
    </row>
    <row r="4579" spans="2:2" ht="15" customHeight="1" x14ac:dyDescent="0.25">
      <c r="B4579" s="51" t="s">
        <v>2119</v>
      </c>
    </row>
    <row r="4580" spans="2:2" ht="15" customHeight="1" x14ac:dyDescent="0.25">
      <c r="B4580" s="53"/>
    </row>
    <row r="4581" spans="2:2" ht="15" customHeight="1" x14ac:dyDescent="0.25">
      <c r="B4581" s="51" t="s">
        <v>2120</v>
      </c>
    </row>
    <row r="4582" spans="2:2" ht="15" customHeight="1" x14ac:dyDescent="0.25">
      <c r="B4582" s="53"/>
    </row>
    <row r="4583" spans="2:2" ht="15" customHeight="1" x14ac:dyDescent="0.25">
      <c r="B4583" s="51" t="s">
        <v>2121</v>
      </c>
    </row>
    <row r="4584" spans="2:2" ht="15" customHeight="1" x14ac:dyDescent="0.25">
      <c r="B4584" s="53"/>
    </row>
    <row r="4585" spans="2:2" ht="15" customHeight="1" x14ac:dyDescent="0.25">
      <c r="B4585" s="51" t="s">
        <v>2122</v>
      </c>
    </row>
    <row r="4586" spans="2:2" ht="15" customHeight="1" x14ac:dyDescent="0.25">
      <c r="B4586" s="53"/>
    </row>
    <row r="4587" spans="2:2" ht="15" customHeight="1" x14ac:dyDescent="0.25">
      <c r="B4587" s="51" t="s">
        <v>2123</v>
      </c>
    </row>
    <row r="4588" spans="2:2" ht="15" customHeight="1" x14ac:dyDescent="0.25">
      <c r="B4588" s="53"/>
    </row>
    <row r="4589" spans="2:2" ht="15" customHeight="1" x14ac:dyDescent="0.25">
      <c r="B4589" s="51" t="s">
        <v>2124</v>
      </c>
    </row>
    <row r="4590" spans="2:2" ht="15" customHeight="1" x14ac:dyDescent="0.25">
      <c r="B4590" s="53"/>
    </row>
    <row r="4591" spans="2:2" ht="15" customHeight="1" x14ac:dyDescent="0.25">
      <c r="B4591" s="51" t="s">
        <v>2125</v>
      </c>
    </row>
    <row r="4592" spans="2:2" ht="15" customHeight="1" x14ac:dyDescent="0.25">
      <c r="B4592" s="53"/>
    </row>
    <row r="4593" spans="2:2" ht="15" customHeight="1" x14ac:dyDescent="0.25">
      <c r="B4593" s="51" t="s">
        <v>2126</v>
      </c>
    </row>
    <row r="4594" spans="2:2" ht="15" customHeight="1" x14ac:dyDescent="0.25">
      <c r="B4594" s="53"/>
    </row>
    <row r="4595" spans="2:2" ht="15" customHeight="1" x14ac:dyDescent="0.25">
      <c r="B4595" s="51" t="s">
        <v>2127</v>
      </c>
    </row>
    <row r="4596" spans="2:2" ht="15" customHeight="1" x14ac:dyDescent="0.25">
      <c r="B4596" s="53"/>
    </row>
    <row r="4597" spans="2:2" ht="15" customHeight="1" x14ac:dyDescent="0.25">
      <c r="B4597" s="51" t="s">
        <v>2128</v>
      </c>
    </row>
    <row r="4598" spans="2:2" ht="15" customHeight="1" x14ac:dyDescent="0.25">
      <c r="B4598" s="53"/>
    </row>
    <row r="4599" spans="2:2" ht="15" customHeight="1" x14ac:dyDescent="0.25">
      <c r="B4599" s="51" t="s">
        <v>2129</v>
      </c>
    </row>
    <row r="4600" spans="2:2" ht="15" customHeight="1" x14ac:dyDescent="0.25">
      <c r="B4600" s="53"/>
    </row>
    <row r="4601" spans="2:2" ht="15" customHeight="1" x14ac:dyDescent="0.25">
      <c r="B4601" s="51" t="s">
        <v>2130</v>
      </c>
    </row>
    <row r="4602" spans="2:2" ht="15" customHeight="1" x14ac:dyDescent="0.25">
      <c r="B4602" s="53"/>
    </row>
    <row r="4603" spans="2:2" ht="15" customHeight="1" x14ac:dyDescent="0.25">
      <c r="B4603" s="51" t="s">
        <v>2131</v>
      </c>
    </row>
    <row r="4604" spans="2:2" ht="15" customHeight="1" x14ac:dyDescent="0.25">
      <c r="B4604" s="53"/>
    </row>
    <row r="4605" spans="2:2" ht="15" customHeight="1" x14ac:dyDescent="0.25">
      <c r="B4605" s="51" t="s">
        <v>2132</v>
      </c>
    </row>
    <row r="4606" spans="2:2" ht="15" customHeight="1" x14ac:dyDescent="0.25">
      <c r="B4606" s="53"/>
    </row>
    <row r="4607" spans="2:2" ht="15" customHeight="1" x14ac:dyDescent="0.25">
      <c r="B4607" s="51" t="s">
        <v>2133</v>
      </c>
    </row>
    <row r="4608" spans="2:2" ht="15" customHeight="1" x14ac:dyDescent="0.25">
      <c r="B4608" s="53"/>
    </row>
    <row r="4609" spans="2:2" ht="15" customHeight="1" x14ac:dyDescent="0.25">
      <c r="B4609" s="51" t="s">
        <v>2134</v>
      </c>
    </row>
    <row r="4610" spans="2:2" ht="15" customHeight="1" x14ac:dyDescent="0.25">
      <c r="B4610" s="53"/>
    </row>
    <row r="4611" spans="2:2" ht="15" customHeight="1" x14ac:dyDescent="0.25">
      <c r="B4611" s="51" t="s">
        <v>2135</v>
      </c>
    </row>
    <row r="4612" spans="2:2" ht="15" customHeight="1" x14ac:dyDescent="0.25">
      <c r="B4612" s="53"/>
    </row>
    <row r="4613" spans="2:2" ht="15" customHeight="1" x14ac:dyDescent="0.25">
      <c r="B4613" s="51" t="s">
        <v>2136</v>
      </c>
    </row>
    <row r="4614" spans="2:2" ht="15" customHeight="1" x14ac:dyDescent="0.25">
      <c r="B4614" s="53"/>
    </row>
    <row r="4615" spans="2:2" ht="15" customHeight="1" x14ac:dyDescent="0.25">
      <c r="B4615" s="51" t="s">
        <v>2137</v>
      </c>
    </row>
    <row r="4616" spans="2:2" ht="15" customHeight="1" x14ac:dyDescent="0.25">
      <c r="B4616" s="53"/>
    </row>
    <row r="4617" spans="2:2" ht="15" customHeight="1" x14ac:dyDescent="0.25">
      <c r="B4617" s="51" t="s">
        <v>2138</v>
      </c>
    </row>
    <row r="4618" spans="2:2" ht="15" customHeight="1" x14ac:dyDescent="0.25">
      <c r="B4618" s="53"/>
    </row>
    <row r="4619" spans="2:2" ht="15" customHeight="1" x14ac:dyDescent="0.25">
      <c r="B4619" s="51" t="s">
        <v>2139</v>
      </c>
    </row>
    <row r="4620" spans="2:2" ht="15" customHeight="1" x14ac:dyDescent="0.25">
      <c r="B4620" s="53"/>
    </row>
    <row r="4621" spans="2:2" ht="15" customHeight="1" x14ac:dyDescent="0.25">
      <c r="B4621" s="51" t="s">
        <v>2140</v>
      </c>
    </row>
    <row r="4622" spans="2:2" ht="15" customHeight="1" x14ac:dyDescent="0.25">
      <c r="B4622" s="53"/>
    </row>
    <row r="4623" spans="2:2" ht="15" customHeight="1" x14ac:dyDescent="0.25">
      <c r="B4623" s="51" t="s">
        <v>2141</v>
      </c>
    </row>
    <row r="4624" spans="2:2" ht="15" customHeight="1" x14ac:dyDescent="0.25">
      <c r="B4624" s="53"/>
    </row>
    <row r="4625" spans="2:2" ht="15" customHeight="1" x14ac:dyDescent="0.25">
      <c r="B4625" s="51" t="s">
        <v>2142</v>
      </c>
    </row>
    <row r="4626" spans="2:2" ht="15" customHeight="1" x14ac:dyDescent="0.25">
      <c r="B4626" s="53"/>
    </row>
    <row r="4627" spans="2:2" ht="15" customHeight="1" x14ac:dyDescent="0.25">
      <c r="B4627" s="51" t="s">
        <v>2143</v>
      </c>
    </row>
    <row r="4628" spans="2:2" ht="15" customHeight="1" x14ac:dyDescent="0.25">
      <c r="B4628" s="53"/>
    </row>
    <row r="4629" spans="2:2" ht="15" customHeight="1" x14ac:dyDescent="0.25">
      <c r="B4629" s="51" t="s">
        <v>2144</v>
      </c>
    </row>
    <row r="4630" spans="2:2" ht="15" customHeight="1" x14ac:dyDescent="0.25">
      <c r="B4630" s="53"/>
    </row>
    <row r="4631" spans="2:2" ht="15" customHeight="1" x14ac:dyDescent="0.25">
      <c r="B4631" s="51" t="s">
        <v>2145</v>
      </c>
    </row>
    <row r="4632" spans="2:2" ht="15" customHeight="1" x14ac:dyDescent="0.25">
      <c r="B4632" s="53"/>
    </row>
    <row r="4633" spans="2:2" ht="15" customHeight="1" x14ac:dyDescent="0.25">
      <c r="B4633" s="51" t="s">
        <v>2146</v>
      </c>
    </row>
    <row r="4634" spans="2:2" ht="15" customHeight="1" x14ac:dyDescent="0.25">
      <c r="B4634" s="53"/>
    </row>
    <row r="4635" spans="2:2" ht="15" customHeight="1" x14ac:dyDescent="0.25">
      <c r="B4635" s="51" t="s">
        <v>2147</v>
      </c>
    </row>
    <row r="4636" spans="2:2" ht="15" customHeight="1" x14ac:dyDescent="0.25">
      <c r="B4636" s="53"/>
    </row>
    <row r="4637" spans="2:2" ht="15" customHeight="1" x14ac:dyDescent="0.25">
      <c r="B4637" s="51" t="s">
        <v>2148</v>
      </c>
    </row>
    <row r="4638" spans="2:2" ht="15" customHeight="1" x14ac:dyDescent="0.25">
      <c r="B4638" s="53"/>
    </row>
    <row r="4639" spans="2:2" ht="15" customHeight="1" x14ac:dyDescent="0.25">
      <c r="B4639" s="51" t="s">
        <v>2149</v>
      </c>
    </row>
    <row r="4640" spans="2:2" ht="15" customHeight="1" x14ac:dyDescent="0.25">
      <c r="B4640" s="53"/>
    </row>
    <row r="4641" spans="2:2" ht="15" customHeight="1" x14ac:dyDescent="0.25">
      <c r="B4641" s="51" t="s">
        <v>2150</v>
      </c>
    </row>
    <row r="4642" spans="2:2" ht="15" customHeight="1" x14ac:dyDescent="0.25">
      <c r="B4642" s="53"/>
    </row>
    <row r="4643" spans="2:2" ht="15" customHeight="1" x14ac:dyDescent="0.25">
      <c r="B4643" s="51" t="s">
        <v>2151</v>
      </c>
    </row>
    <row r="4644" spans="2:2" ht="15" customHeight="1" x14ac:dyDescent="0.25">
      <c r="B4644" s="53"/>
    </row>
    <row r="4645" spans="2:2" ht="15" customHeight="1" x14ac:dyDescent="0.25">
      <c r="B4645" s="51" t="s">
        <v>2152</v>
      </c>
    </row>
    <row r="4646" spans="2:2" ht="15" customHeight="1" x14ac:dyDescent="0.25">
      <c r="B4646" s="53"/>
    </row>
    <row r="4647" spans="2:2" ht="15" customHeight="1" x14ac:dyDescent="0.25">
      <c r="B4647" s="51" t="s">
        <v>2153</v>
      </c>
    </row>
    <row r="4648" spans="2:2" ht="15" customHeight="1" x14ac:dyDescent="0.25">
      <c r="B4648" s="53"/>
    </row>
    <row r="4649" spans="2:2" ht="15" customHeight="1" x14ac:dyDescent="0.25">
      <c r="B4649" s="51" t="s">
        <v>2154</v>
      </c>
    </row>
    <row r="4650" spans="2:2" ht="15" customHeight="1" x14ac:dyDescent="0.25">
      <c r="B4650" s="53"/>
    </row>
    <row r="4651" spans="2:2" ht="15" customHeight="1" x14ac:dyDescent="0.25">
      <c r="B4651" s="51" t="s">
        <v>2155</v>
      </c>
    </row>
    <row r="4652" spans="2:2" ht="15" customHeight="1" x14ac:dyDescent="0.25">
      <c r="B4652" s="53"/>
    </row>
    <row r="4653" spans="2:2" ht="15" customHeight="1" x14ac:dyDescent="0.25">
      <c r="B4653" s="51" t="s">
        <v>2156</v>
      </c>
    </row>
    <row r="4654" spans="2:2" ht="15" customHeight="1" x14ac:dyDescent="0.25">
      <c r="B4654" s="53"/>
    </row>
    <row r="4655" spans="2:2" ht="15" customHeight="1" x14ac:dyDescent="0.25">
      <c r="B4655" s="51" t="s">
        <v>2157</v>
      </c>
    </row>
    <row r="4656" spans="2:2" ht="15" customHeight="1" x14ac:dyDescent="0.25">
      <c r="B4656" s="53"/>
    </row>
    <row r="4657" spans="2:2" ht="15" customHeight="1" x14ac:dyDescent="0.25">
      <c r="B4657" s="51" t="s">
        <v>2158</v>
      </c>
    </row>
    <row r="4658" spans="2:2" ht="15" customHeight="1" x14ac:dyDescent="0.25">
      <c r="B4658" s="53"/>
    </row>
    <row r="4659" spans="2:2" ht="15" customHeight="1" x14ac:dyDescent="0.25">
      <c r="B4659" s="51" t="s">
        <v>2159</v>
      </c>
    </row>
    <row r="4660" spans="2:2" ht="15" customHeight="1" x14ac:dyDescent="0.25">
      <c r="B4660" s="53"/>
    </row>
    <row r="4661" spans="2:2" ht="15" customHeight="1" x14ac:dyDescent="0.25">
      <c r="B4661" s="51" t="s">
        <v>2160</v>
      </c>
    </row>
    <row r="4662" spans="2:2" ht="15" customHeight="1" x14ac:dyDescent="0.25">
      <c r="B4662" s="53"/>
    </row>
    <row r="4663" spans="2:2" ht="15" customHeight="1" x14ac:dyDescent="0.25">
      <c r="B4663" s="51" t="s">
        <v>2161</v>
      </c>
    </row>
    <row r="4664" spans="2:2" ht="15" customHeight="1" x14ac:dyDescent="0.25">
      <c r="B4664" s="53"/>
    </row>
    <row r="4665" spans="2:2" ht="15" customHeight="1" x14ac:dyDescent="0.25">
      <c r="B4665" s="51" t="s">
        <v>2162</v>
      </c>
    </row>
    <row r="4666" spans="2:2" ht="15" customHeight="1" x14ac:dyDescent="0.25">
      <c r="B4666" s="53"/>
    </row>
    <row r="4667" spans="2:2" ht="15" customHeight="1" x14ac:dyDescent="0.25">
      <c r="B4667" s="51" t="s">
        <v>2163</v>
      </c>
    </row>
    <row r="4668" spans="2:2" ht="15" customHeight="1" x14ac:dyDescent="0.25">
      <c r="B4668" s="53"/>
    </row>
    <row r="4669" spans="2:2" ht="15" customHeight="1" x14ac:dyDescent="0.25">
      <c r="B4669" s="51" t="s">
        <v>2164</v>
      </c>
    </row>
    <row r="4670" spans="2:2" ht="15" customHeight="1" x14ac:dyDescent="0.25">
      <c r="B4670" s="53"/>
    </row>
    <row r="4671" spans="2:2" ht="15" customHeight="1" x14ac:dyDescent="0.25">
      <c r="B4671" s="51" t="s">
        <v>2165</v>
      </c>
    </row>
    <row r="4672" spans="2:2" ht="15" customHeight="1" x14ac:dyDescent="0.25">
      <c r="B4672" s="53"/>
    </row>
    <row r="4673" spans="2:2" ht="15" customHeight="1" x14ac:dyDescent="0.25">
      <c r="B4673" s="51" t="s">
        <v>2166</v>
      </c>
    </row>
    <row r="4674" spans="2:2" ht="15" customHeight="1" x14ac:dyDescent="0.25">
      <c r="B4674" s="53"/>
    </row>
    <row r="4675" spans="2:2" ht="15" customHeight="1" x14ac:dyDescent="0.25">
      <c r="B4675" s="51" t="s">
        <v>2167</v>
      </c>
    </row>
    <row r="4676" spans="2:2" ht="15" customHeight="1" x14ac:dyDescent="0.25">
      <c r="B4676" s="53"/>
    </row>
    <row r="4677" spans="2:2" ht="15" customHeight="1" x14ac:dyDescent="0.25">
      <c r="B4677" s="51" t="s">
        <v>2168</v>
      </c>
    </row>
    <row r="4678" spans="2:2" ht="15" customHeight="1" x14ac:dyDescent="0.25">
      <c r="B4678" s="53"/>
    </row>
    <row r="4679" spans="2:2" ht="15" customHeight="1" x14ac:dyDescent="0.25">
      <c r="B4679" s="51" t="s">
        <v>2169</v>
      </c>
    </row>
    <row r="4680" spans="2:2" ht="15" customHeight="1" x14ac:dyDescent="0.25">
      <c r="B4680" s="53"/>
    </row>
    <row r="4681" spans="2:2" ht="15" customHeight="1" x14ac:dyDescent="0.25">
      <c r="B4681" s="51" t="s">
        <v>2170</v>
      </c>
    </row>
    <row r="4682" spans="2:2" ht="15" customHeight="1" x14ac:dyDescent="0.25">
      <c r="B4682" s="53"/>
    </row>
    <row r="4683" spans="2:2" ht="15" customHeight="1" x14ac:dyDescent="0.25">
      <c r="B4683" s="51" t="s">
        <v>2171</v>
      </c>
    </row>
    <row r="4684" spans="2:2" ht="15" customHeight="1" x14ac:dyDescent="0.25">
      <c r="B4684" s="53"/>
    </row>
    <row r="4685" spans="2:2" ht="15" customHeight="1" x14ac:dyDescent="0.25">
      <c r="B4685" s="51" t="s">
        <v>2172</v>
      </c>
    </row>
    <row r="4686" spans="2:2" ht="15" customHeight="1" x14ac:dyDescent="0.25">
      <c r="B4686" s="53"/>
    </row>
    <row r="4687" spans="2:2" ht="15" customHeight="1" x14ac:dyDescent="0.25">
      <c r="B4687" s="51" t="s">
        <v>2173</v>
      </c>
    </row>
    <row r="4688" spans="2:2" ht="15" customHeight="1" x14ac:dyDescent="0.25">
      <c r="B4688" s="53"/>
    </row>
    <row r="4689" spans="2:2" ht="15" customHeight="1" x14ac:dyDescent="0.25">
      <c r="B4689" s="51" t="s">
        <v>2174</v>
      </c>
    </row>
    <row r="4690" spans="2:2" ht="15" customHeight="1" x14ac:dyDescent="0.25">
      <c r="B4690" s="53"/>
    </row>
    <row r="4691" spans="2:2" ht="15" customHeight="1" x14ac:dyDescent="0.25">
      <c r="B4691" s="51" t="s">
        <v>2175</v>
      </c>
    </row>
    <row r="4692" spans="2:2" ht="15" customHeight="1" x14ac:dyDescent="0.25">
      <c r="B4692" s="53"/>
    </row>
    <row r="4693" spans="2:2" ht="15" customHeight="1" x14ac:dyDescent="0.25">
      <c r="B4693" s="51" t="s">
        <v>2176</v>
      </c>
    </row>
    <row r="4694" spans="2:2" ht="15" customHeight="1" x14ac:dyDescent="0.25">
      <c r="B4694" s="53"/>
    </row>
    <row r="4695" spans="2:2" ht="15" customHeight="1" x14ac:dyDescent="0.25">
      <c r="B4695" s="51" t="s">
        <v>2177</v>
      </c>
    </row>
    <row r="4696" spans="2:2" ht="15" customHeight="1" x14ac:dyDescent="0.25">
      <c r="B4696" s="53"/>
    </row>
    <row r="4697" spans="2:2" ht="15" customHeight="1" x14ac:dyDescent="0.25">
      <c r="B4697" s="51" t="s">
        <v>2178</v>
      </c>
    </row>
    <row r="4698" spans="2:2" ht="15" customHeight="1" x14ac:dyDescent="0.25">
      <c r="B4698" s="53"/>
    </row>
    <row r="4699" spans="2:2" ht="15" customHeight="1" x14ac:dyDescent="0.25">
      <c r="B4699" s="51" t="s">
        <v>2179</v>
      </c>
    </row>
    <row r="4700" spans="2:2" ht="15" customHeight="1" x14ac:dyDescent="0.25">
      <c r="B4700" s="53"/>
    </row>
    <row r="4701" spans="2:2" ht="15" customHeight="1" x14ac:dyDescent="0.25">
      <c r="B4701" s="51" t="s">
        <v>2180</v>
      </c>
    </row>
    <row r="4702" spans="2:2" ht="15" customHeight="1" x14ac:dyDescent="0.25">
      <c r="B4702" s="53"/>
    </row>
    <row r="4703" spans="2:2" ht="15" customHeight="1" x14ac:dyDescent="0.25">
      <c r="B4703" s="51" t="s">
        <v>2181</v>
      </c>
    </row>
    <row r="4704" spans="2:2" ht="15" customHeight="1" x14ac:dyDescent="0.25">
      <c r="B4704" s="53"/>
    </row>
    <row r="4705" spans="2:2" ht="15" customHeight="1" x14ac:dyDescent="0.25">
      <c r="B4705" s="51" t="s">
        <v>2182</v>
      </c>
    </row>
    <row r="4706" spans="2:2" ht="15" customHeight="1" x14ac:dyDescent="0.25">
      <c r="B4706" s="53"/>
    </row>
    <row r="4707" spans="2:2" ht="15" customHeight="1" x14ac:dyDescent="0.25">
      <c r="B4707" s="51" t="s">
        <v>2183</v>
      </c>
    </row>
    <row r="4708" spans="2:2" ht="15" customHeight="1" x14ac:dyDescent="0.25">
      <c r="B4708" s="53"/>
    </row>
    <row r="4709" spans="2:2" ht="15" customHeight="1" x14ac:dyDescent="0.25">
      <c r="B4709" s="51" t="s">
        <v>2184</v>
      </c>
    </row>
    <row r="4710" spans="2:2" ht="15" customHeight="1" x14ac:dyDescent="0.25">
      <c r="B4710" s="53"/>
    </row>
    <row r="4711" spans="2:2" ht="15" customHeight="1" x14ac:dyDescent="0.25">
      <c r="B4711" s="51" t="s">
        <v>2185</v>
      </c>
    </row>
    <row r="4712" spans="2:2" ht="15" customHeight="1" x14ac:dyDescent="0.25">
      <c r="B4712" s="53"/>
    </row>
    <row r="4713" spans="2:2" ht="15" customHeight="1" x14ac:dyDescent="0.25">
      <c r="B4713" s="51" t="s">
        <v>2186</v>
      </c>
    </row>
    <row r="4714" spans="2:2" ht="15" customHeight="1" x14ac:dyDescent="0.25">
      <c r="B4714" s="53"/>
    </row>
    <row r="4715" spans="2:2" ht="15" customHeight="1" x14ac:dyDescent="0.25">
      <c r="B4715" s="51" t="s">
        <v>2187</v>
      </c>
    </row>
    <row r="4716" spans="2:2" ht="15" customHeight="1" x14ac:dyDescent="0.25">
      <c r="B4716" s="53"/>
    </row>
    <row r="4717" spans="2:2" ht="15" customHeight="1" x14ac:dyDescent="0.25">
      <c r="B4717" s="51" t="s">
        <v>2188</v>
      </c>
    </row>
    <row r="4718" spans="2:2" ht="15" customHeight="1" x14ac:dyDescent="0.25">
      <c r="B4718" s="53"/>
    </row>
    <row r="4719" spans="2:2" ht="15" customHeight="1" x14ac:dyDescent="0.25">
      <c r="B4719" s="51" t="s">
        <v>2189</v>
      </c>
    </row>
    <row r="4720" spans="2:2" ht="15" customHeight="1" x14ac:dyDescent="0.25">
      <c r="B4720" s="53"/>
    </row>
    <row r="4721" spans="2:2" ht="15" customHeight="1" x14ac:dyDescent="0.25">
      <c r="B4721" s="51" t="s">
        <v>2190</v>
      </c>
    </row>
    <row r="4722" spans="2:2" ht="15" customHeight="1" x14ac:dyDescent="0.25">
      <c r="B4722" s="53"/>
    </row>
    <row r="4723" spans="2:2" ht="15" customHeight="1" x14ac:dyDescent="0.25">
      <c r="B4723" s="51" t="s">
        <v>2191</v>
      </c>
    </row>
    <row r="4724" spans="2:2" ht="15" customHeight="1" x14ac:dyDescent="0.25">
      <c r="B4724" s="53"/>
    </row>
    <row r="4725" spans="2:2" ht="15" customHeight="1" x14ac:dyDescent="0.25">
      <c r="B4725" s="51" t="s">
        <v>2192</v>
      </c>
    </row>
    <row r="4726" spans="2:2" ht="15" customHeight="1" x14ac:dyDescent="0.25">
      <c r="B4726" s="53"/>
    </row>
    <row r="4727" spans="2:2" ht="15" customHeight="1" x14ac:dyDescent="0.25">
      <c r="B4727" s="51" t="s">
        <v>2193</v>
      </c>
    </row>
    <row r="4728" spans="2:2" ht="15" customHeight="1" x14ac:dyDescent="0.25">
      <c r="B4728" s="53"/>
    </row>
    <row r="4729" spans="2:2" ht="15" customHeight="1" x14ac:dyDescent="0.25">
      <c r="B4729" s="51" t="s">
        <v>2194</v>
      </c>
    </row>
    <row r="4730" spans="2:2" ht="15" customHeight="1" x14ac:dyDescent="0.25">
      <c r="B4730" s="53"/>
    </row>
    <row r="4731" spans="2:2" ht="15" customHeight="1" x14ac:dyDescent="0.25">
      <c r="B4731" s="51" t="s">
        <v>2195</v>
      </c>
    </row>
    <row r="4732" spans="2:2" ht="15" customHeight="1" x14ac:dyDescent="0.25">
      <c r="B4732" s="53"/>
    </row>
    <row r="4733" spans="2:2" ht="15" customHeight="1" x14ac:dyDescent="0.25">
      <c r="B4733" s="51" t="s">
        <v>2196</v>
      </c>
    </row>
    <row r="4734" spans="2:2" ht="15" customHeight="1" x14ac:dyDescent="0.25">
      <c r="B4734" s="53"/>
    </row>
    <row r="4735" spans="2:2" ht="15" customHeight="1" x14ac:dyDescent="0.25">
      <c r="B4735" s="51" t="s">
        <v>2197</v>
      </c>
    </row>
    <row r="4736" spans="2:2" ht="15" customHeight="1" x14ac:dyDescent="0.25">
      <c r="B4736" s="53"/>
    </row>
    <row r="4737" spans="2:2" ht="15" customHeight="1" x14ac:dyDescent="0.25">
      <c r="B4737" s="51" t="s">
        <v>2198</v>
      </c>
    </row>
    <row r="4738" spans="2:2" ht="15" customHeight="1" x14ac:dyDescent="0.25">
      <c r="B4738" s="53"/>
    </row>
    <row r="4739" spans="2:2" ht="15" customHeight="1" x14ac:dyDescent="0.25">
      <c r="B4739" s="51" t="s">
        <v>2199</v>
      </c>
    </row>
    <row r="4740" spans="2:2" ht="15" customHeight="1" x14ac:dyDescent="0.25">
      <c r="B4740" s="53"/>
    </row>
    <row r="4741" spans="2:2" ht="15" customHeight="1" x14ac:dyDescent="0.25">
      <c r="B4741" s="51" t="s">
        <v>2200</v>
      </c>
    </row>
    <row r="4742" spans="2:2" ht="15" customHeight="1" x14ac:dyDescent="0.25">
      <c r="B4742" s="53"/>
    </row>
    <row r="4743" spans="2:2" ht="15" customHeight="1" x14ac:dyDescent="0.25">
      <c r="B4743" s="51" t="s">
        <v>2201</v>
      </c>
    </row>
    <row r="4744" spans="2:2" ht="15" customHeight="1" x14ac:dyDescent="0.25">
      <c r="B4744" s="53"/>
    </row>
    <row r="4745" spans="2:2" ht="15" customHeight="1" x14ac:dyDescent="0.25">
      <c r="B4745" s="51" t="s">
        <v>2202</v>
      </c>
    </row>
    <row r="4746" spans="2:2" ht="15" customHeight="1" x14ac:dyDescent="0.25">
      <c r="B4746" s="53"/>
    </row>
    <row r="4747" spans="2:2" ht="15" customHeight="1" x14ac:dyDescent="0.25">
      <c r="B4747" s="51" t="s">
        <v>2203</v>
      </c>
    </row>
    <row r="4748" spans="2:2" ht="15" customHeight="1" x14ac:dyDescent="0.25">
      <c r="B4748" s="53"/>
    </row>
    <row r="4749" spans="2:2" ht="15" customHeight="1" x14ac:dyDescent="0.25">
      <c r="B4749" s="51" t="s">
        <v>2204</v>
      </c>
    </row>
    <row r="4750" spans="2:2" ht="15" customHeight="1" x14ac:dyDescent="0.25">
      <c r="B4750" s="53"/>
    </row>
    <row r="4751" spans="2:2" ht="15" customHeight="1" x14ac:dyDescent="0.25">
      <c r="B4751" s="51" t="s">
        <v>2205</v>
      </c>
    </row>
    <row r="4752" spans="2:2" ht="15" customHeight="1" x14ac:dyDescent="0.25">
      <c r="B4752" s="53"/>
    </row>
    <row r="4753" spans="2:2" ht="15" customHeight="1" x14ac:dyDescent="0.25">
      <c r="B4753" s="51" t="s">
        <v>2206</v>
      </c>
    </row>
    <row r="4754" spans="2:2" ht="15" customHeight="1" x14ac:dyDescent="0.25">
      <c r="B4754" s="53"/>
    </row>
    <row r="4755" spans="2:2" ht="15" customHeight="1" x14ac:dyDescent="0.25">
      <c r="B4755" s="51" t="s">
        <v>2207</v>
      </c>
    </row>
    <row r="4756" spans="2:2" ht="15" customHeight="1" x14ac:dyDescent="0.25">
      <c r="B4756" s="53"/>
    </row>
    <row r="4757" spans="2:2" ht="15" customHeight="1" x14ac:dyDescent="0.25">
      <c r="B4757" s="51" t="s">
        <v>2208</v>
      </c>
    </row>
    <row r="4758" spans="2:2" ht="15" customHeight="1" x14ac:dyDescent="0.25">
      <c r="B4758" s="53"/>
    </row>
    <row r="4759" spans="2:2" ht="15" customHeight="1" x14ac:dyDescent="0.25">
      <c r="B4759" s="51" t="s">
        <v>2209</v>
      </c>
    </row>
    <row r="4760" spans="2:2" ht="15" customHeight="1" x14ac:dyDescent="0.25">
      <c r="B4760" s="53"/>
    </row>
    <row r="4761" spans="2:2" ht="15" customHeight="1" x14ac:dyDescent="0.25">
      <c r="B4761" s="51" t="s">
        <v>2210</v>
      </c>
    </row>
    <row r="4762" spans="2:2" ht="15" customHeight="1" x14ac:dyDescent="0.25">
      <c r="B4762" s="53"/>
    </row>
    <row r="4763" spans="2:2" ht="15" customHeight="1" x14ac:dyDescent="0.25">
      <c r="B4763" s="51" t="s">
        <v>2211</v>
      </c>
    </row>
    <row r="4764" spans="2:2" ht="15" customHeight="1" x14ac:dyDescent="0.25">
      <c r="B4764" s="53"/>
    </row>
    <row r="4765" spans="2:2" ht="15" customHeight="1" x14ac:dyDescent="0.25">
      <c r="B4765" s="51" t="s">
        <v>2212</v>
      </c>
    </row>
    <row r="4766" spans="2:2" ht="15" customHeight="1" x14ac:dyDescent="0.25">
      <c r="B4766" s="53"/>
    </row>
    <row r="4767" spans="2:2" ht="15" customHeight="1" x14ac:dyDescent="0.25">
      <c r="B4767" s="51" t="s">
        <v>2213</v>
      </c>
    </row>
    <row r="4768" spans="2:2" ht="15" customHeight="1" x14ac:dyDescent="0.25">
      <c r="B4768" s="53"/>
    </row>
    <row r="4769" spans="2:2" ht="15" customHeight="1" x14ac:dyDescent="0.25">
      <c r="B4769" s="51" t="s">
        <v>2214</v>
      </c>
    </row>
    <row r="4770" spans="2:2" ht="15" customHeight="1" x14ac:dyDescent="0.25">
      <c r="B4770" s="53"/>
    </row>
    <row r="4771" spans="2:2" ht="15" customHeight="1" x14ac:dyDescent="0.25">
      <c r="B4771" s="51" t="s">
        <v>2215</v>
      </c>
    </row>
    <row r="4772" spans="2:2" ht="15" customHeight="1" x14ac:dyDescent="0.25">
      <c r="B4772" s="53"/>
    </row>
    <row r="4773" spans="2:2" ht="15" customHeight="1" x14ac:dyDescent="0.25">
      <c r="B4773" s="51" t="s">
        <v>2216</v>
      </c>
    </row>
    <row r="4774" spans="2:2" ht="15" customHeight="1" x14ac:dyDescent="0.25">
      <c r="B4774" s="53"/>
    </row>
    <row r="4775" spans="2:2" ht="15" customHeight="1" x14ac:dyDescent="0.25">
      <c r="B4775" s="51" t="s">
        <v>2217</v>
      </c>
    </row>
    <row r="4776" spans="2:2" ht="15" customHeight="1" x14ac:dyDescent="0.25">
      <c r="B4776" s="53"/>
    </row>
    <row r="4777" spans="2:2" ht="15" customHeight="1" x14ac:dyDescent="0.25">
      <c r="B4777" s="51" t="s">
        <v>2218</v>
      </c>
    </row>
    <row r="4778" spans="2:2" ht="15" customHeight="1" x14ac:dyDescent="0.25">
      <c r="B4778" s="53"/>
    </row>
    <row r="4779" spans="2:2" ht="15" customHeight="1" x14ac:dyDescent="0.25">
      <c r="B4779" s="51" t="s">
        <v>2219</v>
      </c>
    </row>
    <row r="4780" spans="2:2" ht="15" customHeight="1" x14ac:dyDescent="0.25">
      <c r="B4780" s="53"/>
    </row>
    <row r="4781" spans="2:2" ht="15" customHeight="1" x14ac:dyDescent="0.25">
      <c r="B4781" s="51" t="s">
        <v>2220</v>
      </c>
    </row>
    <row r="4782" spans="2:2" ht="15" customHeight="1" x14ac:dyDescent="0.25">
      <c r="B4782" s="53"/>
    </row>
    <row r="4783" spans="2:2" ht="15" customHeight="1" x14ac:dyDescent="0.25">
      <c r="B4783" s="51" t="s">
        <v>2221</v>
      </c>
    </row>
    <row r="4784" spans="2:2" ht="15" customHeight="1" x14ac:dyDescent="0.25">
      <c r="B4784" s="53"/>
    </row>
    <row r="4785" spans="2:2" ht="15" customHeight="1" x14ac:dyDescent="0.25">
      <c r="B4785" s="51" t="s">
        <v>2222</v>
      </c>
    </row>
    <row r="4786" spans="2:2" ht="15" customHeight="1" x14ac:dyDescent="0.25">
      <c r="B4786" s="53"/>
    </row>
    <row r="4787" spans="2:2" ht="15" customHeight="1" x14ac:dyDescent="0.25">
      <c r="B4787" s="51" t="s">
        <v>2223</v>
      </c>
    </row>
    <row r="4788" spans="2:2" ht="15" customHeight="1" x14ac:dyDescent="0.25">
      <c r="B4788" s="53"/>
    </row>
    <row r="4789" spans="2:2" ht="15" customHeight="1" x14ac:dyDescent="0.25">
      <c r="B4789" s="51" t="s">
        <v>2224</v>
      </c>
    </row>
    <row r="4790" spans="2:2" ht="15" customHeight="1" x14ac:dyDescent="0.25">
      <c r="B4790" s="53"/>
    </row>
    <row r="4791" spans="2:2" ht="15" customHeight="1" x14ac:dyDescent="0.25">
      <c r="B4791" s="51" t="s">
        <v>2225</v>
      </c>
    </row>
    <row r="4792" spans="2:2" ht="15" customHeight="1" x14ac:dyDescent="0.25">
      <c r="B4792" s="53"/>
    </row>
    <row r="4793" spans="2:2" ht="15" customHeight="1" x14ac:dyDescent="0.25">
      <c r="B4793" s="51" t="s">
        <v>2226</v>
      </c>
    </row>
    <row r="4794" spans="2:2" ht="15" customHeight="1" x14ac:dyDescent="0.25">
      <c r="B4794" s="53"/>
    </row>
    <row r="4795" spans="2:2" ht="15" customHeight="1" x14ac:dyDescent="0.25">
      <c r="B4795" s="51" t="s">
        <v>2227</v>
      </c>
    </row>
    <row r="4796" spans="2:2" ht="15" customHeight="1" x14ac:dyDescent="0.25">
      <c r="B4796" s="53"/>
    </row>
    <row r="4797" spans="2:2" ht="15" customHeight="1" x14ac:dyDescent="0.25">
      <c r="B4797" s="51" t="s">
        <v>2228</v>
      </c>
    </row>
    <row r="4798" spans="2:2" ht="15" customHeight="1" x14ac:dyDescent="0.25">
      <c r="B4798" s="53"/>
    </row>
    <row r="4799" spans="2:2" ht="15" customHeight="1" x14ac:dyDescent="0.25">
      <c r="B4799" s="51" t="s">
        <v>2229</v>
      </c>
    </row>
    <row r="4800" spans="2:2" ht="15" customHeight="1" x14ac:dyDescent="0.25">
      <c r="B4800" s="53"/>
    </row>
    <row r="4801" spans="2:2" ht="15" customHeight="1" x14ac:dyDescent="0.25">
      <c r="B4801" s="51" t="s">
        <v>2230</v>
      </c>
    </row>
    <row r="4802" spans="2:2" ht="15" customHeight="1" x14ac:dyDescent="0.25">
      <c r="B4802" s="53"/>
    </row>
    <row r="4803" spans="2:2" ht="15" customHeight="1" x14ac:dyDescent="0.25">
      <c r="B4803" s="51" t="s">
        <v>2231</v>
      </c>
    </row>
    <row r="4804" spans="2:2" ht="15" customHeight="1" x14ac:dyDescent="0.25">
      <c r="B4804" s="53"/>
    </row>
    <row r="4805" spans="2:2" ht="15" customHeight="1" x14ac:dyDescent="0.25">
      <c r="B4805" s="51" t="s">
        <v>2232</v>
      </c>
    </row>
    <row r="4806" spans="2:2" ht="15" customHeight="1" x14ac:dyDescent="0.25">
      <c r="B4806" s="53"/>
    </row>
    <row r="4807" spans="2:2" ht="15" customHeight="1" x14ac:dyDescent="0.25">
      <c r="B4807" s="51" t="s">
        <v>2233</v>
      </c>
    </row>
    <row r="4808" spans="2:2" ht="15" customHeight="1" x14ac:dyDescent="0.25">
      <c r="B4808" s="53"/>
    </row>
    <row r="4809" spans="2:2" ht="15" customHeight="1" x14ac:dyDescent="0.25">
      <c r="B4809" s="51" t="s">
        <v>2234</v>
      </c>
    </row>
    <row r="4810" spans="2:2" ht="15" customHeight="1" x14ac:dyDescent="0.25">
      <c r="B4810" s="53"/>
    </row>
    <row r="4811" spans="2:2" ht="15" customHeight="1" x14ac:dyDescent="0.25">
      <c r="B4811" s="51" t="s">
        <v>2235</v>
      </c>
    </row>
    <row r="4812" spans="2:2" ht="15" customHeight="1" x14ac:dyDescent="0.25">
      <c r="B4812" s="53"/>
    </row>
    <row r="4813" spans="2:2" ht="15" customHeight="1" x14ac:dyDescent="0.25">
      <c r="B4813" s="51" t="s">
        <v>2236</v>
      </c>
    </row>
    <row r="4814" spans="2:2" ht="15" customHeight="1" x14ac:dyDescent="0.25">
      <c r="B4814" s="53"/>
    </row>
    <row r="4815" spans="2:2" ht="15" customHeight="1" x14ac:dyDescent="0.25">
      <c r="B4815" s="51" t="s">
        <v>2237</v>
      </c>
    </row>
    <row r="4816" spans="2:2" ht="15" customHeight="1" x14ac:dyDescent="0.25">
      <c r="B4816" s="53"/>
    </row>
    <row r="4817" spans="2:2" ht="15" customHeight="1" x14ac:dyDescent="0.25">
      <c r="B4817" s="51" t="s">
        <v>2238</v>
      </c>
    </row>
    <row r="4818" spans="2:2" ht="15" customHeight="1" x14ac:dyDescent="0.25">
      <c r="B4818" s="53"/>
    </row>
    <row r="4819" spans="2:2" ht="15" customHeight="1" x14ac:dyDescent="0.25">
      <c r="B4819" s="51" t="s">
        <v>2239</v>
      </c>
    </row>
    <row r="4820" spans="2:2" ht="15" customHeight="1" x14ac:dyDescent="0.25">
      <c r="B4820" s="53"/>
    </row>
    <row r="4821" spans="2:2" ht="15" customHeight="1" x14ac:dyDescent="0.25">
      <c r="B4821" s="51" t="s">
        <v>2240</v>
      </c>
    </row>
    <row r="4822" spans="2:2" ht="15" customHeight="1" x14ac:dyDescent="0.25">
      <c r="B4822" s="53"/>
    </row>
    <row r="4823" spans="2:2" ht="15" customHeight="1" x14ac:dyDescent="0.25">
      <c r="B4823" s="51" t="s">
        <v>2241</v>
      </c>
    </row>
    <row r="4824" spans="2:2" ht="15" customHeight="1" x14ac:dyDescent="0.25">
      <c r="B4824" s="53"/>
    </row>
    <row r="4825" spans="2:2" ht="15" customHeight="1" x14ac:dyDescent="0.25">
      <c r="B4825" s="51" t="s">
        <v>2242</v>
      </c>
    </row>
    <row r="4826" spans="2:2" ht="15" customHeight="1" x14ac:dyDescent="0.25">
      <c r="B4826" s="53"/>
    </row>
    <row r="4827" spans="2:2" ht="15" customHeight="1" x14ac:dyDescent="0.25">
      <c r="B4827" s="51" t="s">
        <v>2243</v>
      </c>
    </row>
    <row r="4828" spans="2:2" ht="15" customHeight="1" x14ac:dyDescent="0.25">
      <c r="B4828" s="53"/>
    </row>
    <row r="4829" spans="2:2" ht="15" customHeight="1" x14ac:dyDescent="0.25">
      <c r="B4829" s="51" t="s">
        <v>2244</v>
      </c>
    </row>
    <row r="4830" spans="2:2" ht="15" customHeight="1" x14ac:dyDescent="0.25">
      <c r="B4830" s="53"/>
    </row>
    <row r="4831" spans="2:2" ht="15" customHeight="1" x14ac:dyDescent="0.25">
      <c r="B4831" s="51" t="s">
        <v>2245</v>
      </c>
    </row>
    <row r="4832" spans="2:2" ht="15" customHeight="1" x14ac:dyDescent="0.25">
      <c r="B4832" s="53"/>
    </row>
    <row r="4833" spans="2:2" ht="15" customHeight="1" x14ac:dyDescent="0.25">
      <c r="B4833" s="51" t="s">
        <v>2246</v>
      </c>
    </row>
    <row r="4834" spans="2:2" ht="15" customHeight="1" x14ac:dyDescent="0.25">
      <c r="B4834" s="53"/>
    </row>
    <row r="4835" spans="2:2" ht="15" customHeight="1" x14ac:dyDescent="0.25">
      <c r="B4835" s="51" t="s">
        <v>2247</v>
      </c>
    </row>
    <row r="4836" spans="2:2" ht="15" customHeight="1" x14ac:dyDescent="0.25">
      <c r="B4836" s="53"/>
    </row>
    <row r="4837" spans="2:2" ht="15" customHeight="1" x14ac:dyDescent="0.25">
      <c r="B4837" s="51" t="s">
        <v>2248</v>
      </c>
    </row>
    <row r="4838" spans="2:2" ht="15" customHeight="1" x14ac:dyDescent="0.25">
      <c r="B4838" s="53"/>
    </row>
    <row r="4839" spans="2:2" ht="15" customHeight="1" x14ac:dyDescent="0.25">
      <c r="B4839" s="51" t="s">
        <v>2249</v>
      </c>
    </row>
    <row r="4840" spans="2:2" ht="15" customHeight="1" x14ac:dyDescent="0.25">
      <c r="B4840" s="53"/>
    </row>
    <row r="4841" spans="2:2" ht="15" customHeight="1" x14ac:dyDescent="0.25">
      <c r="B4841" s="51" t="s">
        <v>2250</v>
      </c>
    </row>
    <row r="4842" spans="2:2" ht="15" customHeight="1" x14ac:dyDescent="0.25">
      <c r="B4842" s="53"/>
    </row>
    <row r="4843" spans="2:2" ht="15" customHeight="1" x14ac:dyDescent="0.25">
      <c r="B4843" s="51" t="s">
        <v>2251</v>
      </c>
    </row>
    <row r="4844" spans="2:2" ht="15" customHeight="1" x14ac:dyDescent="0.25">
      <c r="B4844" s="53"/>
    </row>
    <row r="4845" spans="2:2" ht="15" customHeight="1" x14ac:dyDescent="0.25">
      <c r="B4845" s="51" t="s">
        <v>2252</v>
      </c>
    </row>
    <row r="4846" spans="2:2" ht="15" customHeight="1" x14ac:dyDescent="0.25">
      <c r="B4846" s="53"/>
    </row>
    <row r="4847" spans="2:2" ht="15" customHeight="1" x14ac:dyDescent="0.25">
      <c r="B4847" s="51" t="s">
        <v>2253</v>
      </c>
    </row>
    <row r="4848" spans="2:2" ht="15" customHeight="1" x14ac:dyDescent="0.25">
      <c r="B4848" s="53"/>
    </row>
    <row r="4849" spans="2:2" ht="15" customHeight="1" x14ac:dyDescent="0.25">
      <c r="B4849" s="51" t="s">
        <v>2254</v>
      </c>
    </row>
    <row r="4850" spans="2:2" ht="15" customHeight="1" x14ac:dyDescent="0.25">
      <c r="B4850" s="53"/>
    </row>
    <row r="4851" spans="2:2" ht="15" customHeight="1" x14ac:dyDescent="0.25">
      <c r="B4851" s="51" t="s">
        <v>2255</v>
      </c>
    </row>
    <row r="4852" spans="2:2" ht="15" customHeight="1" x14ac:dyDescent="0.25">
      <c r="B4852" s="53"/>
    </row>
    <row r="4853" spans="2:2" ht="15" customHeight="1" x14ac:dyDescent="0.25">
      <c r="B4853" s="51" t="s">
        <v>2256</v>
      </c>
    </row>
    <row r="4854" spans="2:2" ht="15" customHeight="1" x14ac:dyDescent="0.25">
      <c r="B4854" s="53"/>
    </row>
    <row r="4855" spans="2:2" ht="15" customHeight="1" x14ac:dyDescent="0.25">
      <c r="B4855" s="51" t="s">
        <v>2257</v>
      </c>
    </row>
    <row r="4856" spans="2:2" ht="15" customHeight="1" x14ac:dyDescent="0.25">
      <c r="B4856" s="53"/>
    </row>
    <row r="4857" spans="2:2" ht="15" customHeight="1" x14ac:dyDescent="0.25">
      <c r="B4857" s="51" t="s">
        <v>2258</v>
      </c>
    </row>
    <row r="4858" spans="2:2" ht="15" customHeight="1" x14ac:dyDescent="0.25">
      <c r="B4858" s="53"/>
    </row>
    <row r="4859" spans="2:2" ht="15" customHeight="1" x14ac:dyDescent="0.25">
      <c r="B4859" s="51" t="s">
        <v>2259</v>
      </c>
    </row>
    <row r="4860" spans="2:2" ht="15" customHeight="1" x14ac:dyDescent="0.25">
      <c r="B4860" s="53"/>
    </row>
    <row r="4861" spans="2:2" ht="15" customHeight="1" x14ac:dyDescent="0.25">
      <c r="B4861" s="51" t="s">
        <v>2260</v>
      </c>
    </row>
    <row r="4862" spans="2:2" ht="15" customHeight="1" x14ac:dyDescent="0.25">
      <c r="B4862" s="53"/>
    </row>
    <row r="4863" spans="2:2" ht="15" customHeight="1" x14ac:dyDescent="0.25">
      <c r="B4863" s="51" t="s">
        <v>2261</v>
      </c>
    </row>
    <row r="4864" spans="2:2" ht="15" customHeight="1" x14ac:dyDescent="0.25">
      <c r="B4864" s="53"/>
    </row>
    <row r="4865" spans="2:2" ht="15" customHeight="1" x14ac:dyDescent="0.25">
      <c r="B4865" s="51" t="s">
        <v>2262</v>
      </c>
    </row>
    <row r="4866" spans="2:2" ht="15" customHeight="1" x14ac:dyDescent="0.25">
      <c r="B4866" s="53"/>
    </row>
    <row r="4867" spans="2:2" ht="15" customHeight="1" x14ac:dyDescent="0.25">
      <c r="B4867" s="51" t="s">
        <v>2263</v>
      </c>
    </row>
    <row r="4868" spans="2:2" ht="15" customHeight="1" x14ac:dyDescent="0.25">
      <c r="B4868" s="53"/>
    </row>
    <row r="4869" spans="2:2" ht="15" customHeight="1" x14ac:dyDescent="0.25">
      <c r="B4869" s="51" t="s">
        <v>2264</v>
      </c>
    </row>
    <row r="4870" spans="2:2" ht="15" customHeight="1" x14ac:dyDescent="0.25">
      <c r="B4870" s="53"/>
    </row>
    <row r="4871" spans="2:2" ht="15" customHeight="1" x14ac:dyDescent="0.25">
      <c r="B4871" s="51" t="s">
        <v>2265</v>
      </c>
    </row>
    <row r="4872" spans="2:2" ht="15" customHeight="1" x14ac:dyDescent="0.25">
      <c r="B4872" s="53"/>
    </row>
    <row r="4873" spans="2:2" ht="15" customHeight="1" x14ac:dyDescent="0.25">
      <c r="B4873" s="51" t="s">
        <v>2266</v>
      </c>
    </row>
    <row r="4874" spans="2:2" ht="15" customHeight="1" x14ac:dyDescent="0.25">
      <c r="B4874" s="53"/>
    </row>
    <row r="4875" spans="2:2" ht="15" customHeight="1" x14ac:dyDescent="0.25">
      <c r="B4875" s="51" t="s">
        <v>2267</v>
      </c>
    </row>
    <row r="4876" spans="2:2" ht="15" customHeight="1" x14ac:dyDescent="0.25">
      <c r="B4876" s="53"/>
    </row>
    <row r="4877" spans="2:2" ht="15" customHeight="1" x14ac:dyDescent="0.25">
      <c r="B4877" s="51" t="s">
        <v>2268</v>
      </c>
    </row>
    <row r="4878" spans="2:2" ht="15" customHeight="1" x14ac:dyDescent="0.25">
      <c r="B4878" s="53"/>
    </row>
    <row r="4879" spans="2:2" ht="15" customHeight="1" x14ac:dyDescent="0.25">
      <c r="B4879" s="51" t="s">
        <v>2269</v>
      </c>
    </row>
    <row r="4880" spans="2:2" ht="15" customHeight="1" x14ac:dyDescent="0.25">
      <c r="B4880" s="53"/>
    </row>
    <row r="4881" spans="2:2" ht="15" customHeight="1" x14ac:dyDescent="0.25">
      <c r="B4881" s="51" t="s">
        <v>2270</v>
      </c>
    </row>
    <row r="4882" spans="2:2" ht="15" customHeight="1" x14ac:dyDescent="0.25">
      <c r="B4882" s="53"/>
    </row>
    <row r="4883" spans="2:2" ht="15" customHeight="1" x14ac:dyDescent="0.25">
      <c r="B4883" s="51" t="s">
        <v>2271</v>
      </c>
    </row>
    <row r="4884" spans="2:2" ht="15" customHeight="1" x14ac:dyDescent="0.25">
      <c r="B4884" s="53"/>
    </row>
    <row r="4885" spans="2:2" ht="15" customHeight="1" x14ac:dyDescent="0.25">
      <c r="B4885" s="51" t="s">
        <v>2272</v>
      </c>
    </row>
    <row r="4886" spans="2:2" ht="15" customHeight="1" x14ac:dyDescent="0.25">
      <c r="B4886" s="53"/>
    </row>
    <row r="4887" spans="2:2" ht="15" customHeight="1" x14ac:dyDescent="0.25">
      <c r="B4887" s="51" t="s">
        <v>2273</v>
      </c>
    </row>
    <row r="4888" spans="2:2" ht="15" customHeight="1" x14ac:dyDescent="0.25">
      <c r="B4888" s="53"/>
    </row>
    <row r="4889" spans="2:2" ht="15" customHeight="1" x14ac:dyDescent="0.25">
      <c r="B4889" s="51" t="s">
        <v>2274</v>
      </c>
    </row>
    <row r="4890" spans="2:2" ht="15" customHeight="1" x14ac:dyDescent="0.25">
      <c r="B4890" s="53"/>
    </row>
    <row r="4891" spans="2:2" ht="15" customHeight="1" x14ac:dyDescent="0.25">
      <c r="B4891" s="51" t="s">
        <v>2275</v>
      </c>
    </row>
    <row r="4892" spans="2:2" ht="15" customHeight="1" x14ac:dyDescent="0.25">
      <c r="B4892" s="53"/>
    </row>
    <row r="4893" spans="2:2" ht="15" customHeight="1" x14ac:dyDescent="0.25">
      <c r="B4893" s="51" t="s">
        <v>2276</v>
      </c>
    </row>
    <row r="4894" spans="2:2" ht="15" customHeight="1" x14ac:dyDescent="0.25">
      <c r="B4894" s="53"/>
    </row>
    <row r="4895" spans="2:2" ht="15" customHeight="1" x14ac:dyDescent="0.25">
      <c r="B4895" s="51" t="s">
        <v>2277</v>
      </c>
    </row>
    <row r="4896" spans="2:2" ht="15" customHeight="1" x14ac:dyDescent="0.25">
      <c r="B4896" s="53"/>
    </row>
    <row r="4897" spans="2:2" ht="15" customHeight="1" x14ac:dyDescent="0.25">
      <c r="B4897" s="51" t="s">
        <v>2278</v>
      </c>
    </row>
    <row r="4898" spans="2:2" ht="15" customHeight="1" x14ac:dyDescent="0.25">
      <c r="B4898" s="53"/>
    </row>
    <row r="4899" spans="2:2" ht="15" customHeight="1" x14ac:dyDescent="0.25">
      <c r="B4899" s="51" t="s">
        <v>2279</v>
      </c>
    </row>
    <row r="4900" spans="2:2" ht="15" customHeight="1" x14ac:dyDescent="0.25">
      <c r="B4900" s="53"/>
    </row>
    <row r="4901" spans="2:2" ht="15" customHeight="1" x14ac:dyDescent="0.25">
      <c r="B4901" s="51" t="s">
        <v>2280</v>
      </c>
    </row>
    <row r="4902" spans="2:2" ht="15" customHeight="1" x14ac:dyDescent="0.25">
      <c r="B4902" s="53"/>
    </row>
    <row r="4903" spans="2:2" ht="15" customHeight="1" x14ac:dyDescent="0.25">
      <c r="B4903" s="51" t="s">
        <v>2281</v>
      </c>
    </row>
    <row r="4904" spans="2:2" ht="15" customHeight="1" x14ac:dyDescent="0.25">
      <c r="B4904" s="53"/>
    </row>
    <row r="4905" spans="2:2" ht="15" customHeight="1" x14ac:dyDescent="0.25">
      <c r="B4905" s="51" t="s">
        <v>2282</v>
      </c>
    </row>
    <row r="4906" spans="2:2" ht="15" customHeight="1" x14ac:dyDescent="0.25">
      <c r="B4906" s="53"/>
    </row>
    <row r="4907" spans="2:2" ht="15" customHeight="1" x14ac:dyDescent="0.25">
      <c r="B4907" s="51" t="s">
        <v>2283</v>
      </c>
    </row>
    <row r="4908" spans="2:2" ht="15" customHeight="1" x14ac:dyDescent="0.25">
      <c r="B4908" s="53"/>
    </row>
    <row r="4909" spans="2:2" ht="15" customHeight="1" x14ac:dyDescent="0.25">
      <c r="B4909" s="51" t="s">
        <v>2284</v>
      </c>
    </row>
    <row r="4910" spans="2:2" ht="15" customHeight="1" x14ac:dyDescent="0.25">
      <c r="B4910" s="53"/>
    </row>
    <row r="4911" spans="2:2" ht="15" customHeight="1" x14ac:dyDescent="0.25">
      <c r="B4911" s="51" t="s">
        <v>2285</v>
      </c>
    </row>
    <row r="4912" spans="2:2" ht="15" customHeight="1" x14ac:dyDescent="0.25">
      <c r="B4912" s="53"/>
    </row>
    <row r="4913" spans="2:2" ht="15" customHeight="1" x14ac:dyDescent="0.25">
      <c r="B4913" s="51" t="s">
        <v>2286</v>
      </c>
    </row>
    <row r="4914" spans="2:2" ht="15" customHeight="1" x14ac:dyDescent="0.25">
      <c r="B4914" s="53"/>
    </row>
    <row r="4915" spans="2:2" ht="15" customHeight="1" x14ac:dyDescent="0.25">
      <c r="B4915" s="51" t="s">
        <v>2287</v>
      </c>
    </row>
    <row r="4916" spans="2:2" ht="15" customHeight="1" x14ac:dyDescent="0.25">
      <c r="B4916" s="53"/>
    </row>
    <row r="4917" spans="2:2" ht="15" customHeight="1" x14ac:dyDescent="0.25">
      <c r="B4917" s="51" t="s">
        <v>2288</v>
      </c>
    </row>
    <row r="4918" spans="2:2" ht="15" customHeight="1" x14ac:dyDescent="0.25">
      <c r="B4918" s="53"/>
    </row>
    <row r="4919" spans="2:2" ht="15" customHeight="1" x14ac:dyDescent="0.25">
      <c r="B4919" s="51" t="s">
        <v>2289</v>
      </c>
    </row>
    <row r="4920" spans="2:2" ht="15" customHeight="1" x14ac:dyDescent="0.25">
      <c r="B4920" s="53"/>
    </row>
    <row r="4921" spans="2:2" ht="15" customHeight="1" x14ac:dyDescent="0.25">
      <c r="B4921" s="51" t="s">
        <v>2290</v>
      </c>
    </row>
    <row r="4922" spans="2:2" ht="15" customHeight="1" x14ac:dyDescent="0.25">
      <c r="B4922" s="53"/>
    </row>
    <row r="4923" spans="2:2" ht="15" customHeight="1" x14ac:dyDescent="0.25">
      <c r="B4923" s="51" t="s">
        <v>2291</v>
      </c>
    </row>
  </sheetData>
  <sheetProtection algorithmName="SHA-512" hashValue="zNLpLUlIi2J7gkKf/R0NqOfG3Nd2MnkZYASBmArBwTW3Yx7EsGYmUx5ESEUuwcLrA6nvMn9cRwnMomm57+r0NA==" saltValue="Mm+gau/nCCkDJ/7QhU1HoQ==" spinCount="100000" sheet="1" objects="1" scenarios="1"/>
  <mergeCells count="1">
    <mergeCell ref="A6:B6"/>
  </mergeCells>
  <hyperlinks>
    <hyperlink ref="B1663" r:id="rId1" display="https://actualicese.com/intereses-moratorios-sobre-deudas-tributarias/?referer=L-excel-formato&amp;utm_medium=act_formato_excel&amp;utm_source=act_formato_excel&amp;utm_campaign=act_formato_excel&amp;utm_content=act_formato_excel_link" xr:uid="{058600F3-0151-49FA-A7AE-BBEF971A41A7}"/>
    <hyperlink ref="B1665" r:id="rId2" display="https://actualicese.com/guia-en-excel-para-revisiones-pertinentes-en-la-propiedad-planta-y-equipo-en-el-proceso-de-cierre-contable/?referer=L-excel-formato&amp;utm_medium=act_formato_excel&amp;utm_source=act_formato_excel&amp;utm_campaign=act_formato_excel&amp;utm_content=act_formato_excel_link" xr:uid="{F263E73A-7701-4E21-BDE9-74C6E4E13392}"/>
    <hyperlink ref="B1667" r:id="rId3" display="https://actualicese.com/ejercicio-en-excel-para-el-reconocimiento-del-deterioro-de-inventarios-al-cierre-contable-de-una-pyme/?referer=L-excel-formato&amp;utm_medium=act_formato_excel&amp;utm_source=act_formato_excel&amp;utm_campaign=act_formato_excel&amp;utm_content=act_formato_excel_link" xr:uid="{94990CB0-3AC3-4000-9AC1-2D2042AC3B9B}"/>
    <hyperlink ref="B1669" r:id="rId4" display="https://actualicese.com/formato-de-circularizacion-de-proveedores-automatizado/?referer=L-excel-formato&amp;utm_medium=act_formato_excel&amp;utm_source=act_formato_excel&amp;utm_campaign=act_formato_excel&amp;utm_content=act_formato_excel_link" xr:uid="{2E911802-D242-46B8-8A8C-5130CEF279C3}"/>
    <hyperlink ref="B1671" r:id="rId5" display="https://actualicese.com/liquidador-impuesto-diferido-por-venta-de-bienes-inmuebles-a-largo-plazo-en-2022-caso-practico-en-excel/?referer=L-excel-formato&amp;utm_medium=act_formato_excel&amp;utm_source=act_formato_excel&amp;utm_campaign=act_formato_excel&amp;utm_content=act_formato_excel_link" xr:uid="{F6BC9D93-898C-4E64-A4AA-2BE75C0992EE}"/>
    <hyperlink ref="B1673" r:id="rId6" display="https://actualicese.com/formato-capital-de-trabajo/?referer=L-excel-formato&amp;utm_medium=act_formato_excel&amp;utm_source=act_formato_excel&amp;utm_campaign=act_formato_excel&amp;utm_content=act_formato_excel_link" xr:uid="{158A9635-3848-47BA-AB9E-840B9596E1F7}"/>
    <hyperlink ref="B1675" r:id="rId7" display="https://actualicese.com/impuesto-diferido-ante-deterioro-de-cartera-en-2022-caso-practico-en-excel/?referer=L-excel-formato&amp;utm_medium=act_formato_excel&amp;utm_source=act_formato_excel&amp;utm_campaign=act_formato_excel&amp;utm_content=act_formato_excel_link" xr:uid="{6B7ACB4E-C10B-4085-8C93-854D64FB7A1E}"/>
    <hyperlink ref="B1677" r:id="rId8" display="https://actualicese.com/ejercicio-practico-de-impuesto-diferido-compensacion-de-perdidas-fiscales-y-exceso-de-renta-presuntiva/?referer=L-excel-formato&amp;utm_medium=act_formato_excel&amp;utm_source=act_formato_excel&amp;utm_campaign=act_formato_excel&amp;utm_content=act_formato_excel_link" xr:uid="{D9E80661-D172-44A8-B183-686DDAED62BE}"/>
    <hyperlink ref="B1679" r:id="rId9" display="https://actualicese.com/impuesto-diferido-por-gastos-de-establecimiento-caso-practico-en-excel/?referer=L-excel-formato&amp;utm_medium=act_formato_excel&amp;utm_source=act_formato_excel&amp;utm_campaign=act_formato_excel&amp;utm_content=act_formato_excel_link" xr:uid="{C6749411-1BEA-4096-95CF-A41975E0B2EA}"/>
    <hyperlink ref="B1681" r:id="rId10" display="https://actualicese.com/convenio-de-pago-o-acuerdo-de-pago/?referer=L-excel-formato&amp;utm_medium=act_formato_excel&amp;utm_source=act_formato_excel&amp;utm_campaign=act_formato_excel&amp;utm_content=act_formato_excel_link" xr:uid="{15F42D38-1BE0-4928-B537-D0E7AA151004}"/>
    <hyperlink ref="B1683" r:id="rId11" display="https://actualicese.com/liquidador-de-nomina-para-trabajadora-en-licencia-de-maternidad-caso-practico-en-excel/?referer=L-excel-formato&amp;utm_medium=act_formato_excel&amp;utm_source=act_formato_excel&amp;utm_campaign=act_formato_excel&amp;utm_content=act_formato_excel_link" xr:uid="{55C14532-3C78-46E4-AB16-CBB0F81B9BB7}"/>
    <hyperlink ref="B1685" r:id="rId12" display="https://actualicese.com/guia-modelo-de-presentacion-del-estado-de-resultado-integral-por-enfoques/?referer=L-excel-formato&amp;utm_medium=act_formato_excel&amp;utm_source=act_formato_excel&amp;utm_campaign=act_formato_excel&amp;utm_content=act_formato_excel_link" xr:uid="{5B8EE42E-88C1-405F-8A92-C96D861C4950}"/>
    <hyperlink ref="B1687" r:id="rId13" display="https://actualicese.com/guia-en-excel-para-determinar-el-control-de-una-entidad-sobre-otra/?referer=L-excel-formato&amp;utm_medium=act_formato_excel&amp;utm_source=act_formato_excel&amp;utm_campaign=act_formato_excel&amp;utm_content=act_formato_excel_link" xr:uid="{D1948112-BD21-443F-8C27-08F4EAA43CBC}"/>
    <hyperlink ref="B1689" r:id="rId14" display="https://actualicese.com/modelo-de-informe-de-gestion/?referer=L-excel-formato&amp;utm_medium=act_formato_excel&amp;utm_source=act_formato_excel&amp;utm_campaign=act_formato_excel&amp;utm_content=act_formato_excel_link" xr:uid="{F72BE165-A977-4D36-AD7B-6D62FA7D4021}"/>
    <hyperlink ref="B1691" r:id="rId15" display="https://actualicese.com/listado-de-actividades-economicas-codigos-ciiu/?referer=L-excel-formato&amp;utm_medium=act_formato_excel&amp;utm_source=act_formato_excel&amp;utm_campaign=act_formato_excel&amp;utm_content=act_formato_excel_link" xr:uid="{5F9D6D69-35F5-46AD-9F16-8F6F22F4BB74}"/>
    <hyperlink ref="B1693" r:id="rId16" display="https://actualicese.com/certificacion-del-contador-sobre-los-ingresos-percibidos-por-una-persona-natural/?referer=L-excel-formato&amp;utm_medium=act_formato_excel&amp;utm_source=act_formato_excel&amp;utm_campaign=act_formato_excel&amp;utm_content=act_formato_excel_link" xr:uid="{72946514-B6A2-46A3-B57B-E75DDF7E7C88}"/>
    <hyperlink ref="B1695" r:id="rId17" display="https://actualicese.com/formato-de-control-de-clientes-de-declaracion-de-renta-de-persona-natural/?referer=L-excel-formato&amp;utm_medium=act_formato_excel&amp;utm_source=act_formato_excel&amp;utm_campaign=act_formato_excel&amp;utm_content=act_formato_excel_link" xr:uid="{ACF7FF26-6840-41C2-A246-D653801D4BD5}"/>
    <hyperlink ref="B1697" r:id="rId18" display="https://actualicese.com/caso-practico-en-excel-impuesto-diferido-por-deterioro-de-inventario/?referer=L-excel-formato&amp;utm_medium=act_formato_excel&amp;utm_source=act_formato_excel&amp;utm_campaign=act_formato_excel&amp;utm_content=act_formato_excel_link" xr:uid="{C9608CF0-4D6B-496E-B65B-E32463C4F642}"/>
    <hyperlink ref="B1699" r:id="rId19" display="https://actualicese.com/impuesto-diferido-por-diferencia-en-cambio-caso-practico-en-excel/?referer=L-excel-formato&amp;utm_medium=act_formato_excel&amp;utm_source=act_formato_excel&amp;utm_campaign=act_formato_excel&amp;utm_content=act_formato_excel_link" xr:uid="{89F9B6B5-C206-472E-8C73-36E0EE889D96}"/>
    <hyperlink ref="B1701" r:id="rId20" display="https://actualicese.com/impuesto-diferido-en-la-depreciacion-de-propiedad-planta-y-equipo-caso-practico-en-excel/?referer=L-excel-formato&amp;utm_medium=act_formato_excel&amp;utm_source=act_formato_excel&amp;utm_campaign=act_formato_excel&amp;utm_content=act_formato_excel_link" xr:uid="{0D33318D-A0B0-4E66-BF02-B4FA1B7075FC}"/>
    <hyperlink ref="B1703" r:id="rId21" display="https://actualicese.com/caso-practico-en-excel-contabilizacion-de-sobrantes-y-faltantes-de-caja/?referer=L-excel-formato&amp;utm_medium=act_formato_excel&amp;utm_source=act_formato_excel&amp;utm_campaign=act_formato_excel&amp;utm_content=act_formato_excel_link" xr:uid="{7FA335F9-F7BD-4638-8266-1AC3464A461D}"/>
    <hyperlink ref="B1705" r:id="rId22" display="https://actualicese.com/caso-practico-en-excel-de-evaluacion-de-diferencias-temporarias-temporales-y-permanentes/?referer=L-excel-formato&amp;utm_medium=act_formato_excel&amp;utm_source=act_formato_excel&amp;utm_campaign=act_formato_excel&amp;utm_content=act_formato_excel_link" xr:uid="{BDE8F41D-3461-4B88-9B17-7F0FF3E8AC0D}"/>
    <hyperlink ref="B1707" r:id="rId23" display="https://actualicese.com/caso-practico-en-excel-impuesto-diferido-por-valoracion-de-propiedades-de-inversion/?referer=L-excel-formato&amp;utm_medium=act_formato_excel&amp;utm_source=act_formato_excel&amp;utm_campaign=act_formato_excel&amp;utm_content=act_formato_excel_link" xr:uid="{2BEE483C-D3BA-499D-9045-9D798E7E6475}"/>
    <hyperlink ref="B1709" r:id="rId24" display="https://actualicese.com/modelo-de-contrato-de-prestacion-de-servicios/?referer=L-excel-formato&amp;utm_medium=act_formato_excel&amp;utm_source=act_formato_excel&amp;utm_campaign=act_formato_excel&amp;utm_content=act_formato_excel_link" xr:uid="{F4431622-7181-4DFB-9C84-9745A69B649F}"/>
    <hyperlink ref="B1711" r:id="rId25" display="https://actualicese.com/carta-de-finalizacion-de-un-contrato-de-prestacion-de-servicios/?referer=L-excel-formato&amp;utm_medium=act_formato_excel&amp;utm_source=act_formato_excel&amp;utm_campaign=act_formato_excel&amp;utm_content=act_formato_excel_link" xr:uid="{88982AB6-A125-43C2-BB47-944726900505}"/>
    <hyperlink ref="B1713" r:id="rId26" display="https://actualicese.com/modelo-en-excel-de-solicitud-de-permiso-laboral/?referer=L-excel-formato&amp;utm_medium=act_formato_excel&amp;utm_source=act_formato_excel&amp;utm_campaign=act_formato_excel&amp;utm_content=act_formato_excel_link" xr:uid="{449255B9-E093-4329-B180-373876688406}"/>
    <hyperlink ref="B1715" r:id="rId27" display="https://actualicese.com/ejemplos-sobre-hechos-posteriores-al-cierre-que-implican-o-no-ajustes/?referer=L-excel-formato&amp;utm_medium=act_formato_excel&amp;utm_source=act_formato_excel&amp;utm_campaign=act_formato_excel&amp;utm_content=act_formato_excel_link" xr:uid="{79EE439F-1CBB-46F2-902F-32EA5E9BC7BE}"/>
    <hyperlink ref="B1717" r:id="rId28" display="https://actualicese.com/modelo-de-estructura-del-estado-de-resultados-y-ganancias-acumuladas/?referer=L-excel-formato&amp;utm_medium=act_formato_excel&amp;utm_source=act_formato_excel&amp;utm_campaign=act_formato_excel&amp;utm_content=act_formato_excel_link" xr:uid="{E8637542-339F-4295-A651-1C88713749E2}"/>
    <hyperlink ref="B1719" r:id="rId29" display="https://actualicese.com/liquidador-caso-practico-en-excel-de-impuesto-diferido-por-acciones-medidas-a-valor-razonable/?referer=L-excel-formato&amp;utm_medium=act_formato_excel&amp;utm_source=act_formato_excel&amp;utm_campaign=act_formato_excel&amp;utm_content=act_formato_excel_link" xr:uid="{C5CE4E3F-E3BF-4E68-8B77-D6EFDE9FC064}"/>
    <hyperlink ref="B1721" r:id="rId30" display="https://actualicese.com/liquidador-caso-practico-en-excel-impuesto-diferido-por-valorizacion-de-activos-intangibles/?referer=L-excel-formato&amp;utm_medium=act_formato_excel&amp;utm_source=act_formato_excel&amp;utm_campaign=act_formato_excel&amp;utm_content=act_formato_excel_link" xr:uid="{2279D14E-9401-4776-AFD4-40CCE7466D14}"/>
    <hyperlink ref="B1723" r:id="rId31" display="https://actualicese.com/liquidador-caso-practico-en-excel-impuesto-diferido-por-provisiones-no-aceptadas-fiscalmente/?referer=L-excel-formato&amp;utm_medium=act_formato_excel&amp;utm_source=act_formato_excel&amp;utm_campaign=act_formato_excel&amp;utm_content=act_formato_excel_link" xr:uid="{BB3C5E51-BABB-40E1-914F-7C2F28E1085D}"/>
    <hyperlink ref="B1725" r:id="rId32" display="https://actualicese.com/liquidador-impuesto-diferido-por-activos-biologicos-caso-practico-en-excel/?referer=L-excel-formato&amp;utm_medium=act_formato_excel&amp;utm_source=act_formato_excel&amp;utm_campaign=act_formato_excel&amp;utm_content=act_formato_excel_link" xr:uid="{C978222D-0DD4-4FBE-B3AA-233E1EF4E6E6}"/>
    <hyperlink ref="B1727" r:id="rId33" display="https://actualicese.com/medicion-de-inversiones-segun-estandar-internacional-para-grupo-1-y-pymes/?referer=L-excel-formato&amp;utm_medium=act_formato_excel&amp;utm_source=act_formato_excel&amp;utm_campaign=act_formato_excel&amp;utm_content=act_formato_excel_link" xr:uid="{1D61D5D3-E327-4A79-B53E-1F24DDA63B83}"/>
    <hyperlink ref="B1729" r:id="rId34" display="https://actualicese.com/liquidador-modelos-de-conciliacion-bancaria-individual-y-conjunta-en-excel/?referer=L-excel-formato&amp;utm_medium=act_formato_excel&amp;utm_source=act_formato_excel&amp;utm_campaign=act_formato_excel&amp;utm_content=act_formato_excel_link" xr:uid="{35A340C2-FA4E-4802-8D86-EC7567C640A9}"/>
    <hyperlink ref="B1731" r:id="rId35" display="https://actualicese.com/liquidador-caso-practico-en-excel-contabilizacion-de-ajustes-por-conciliacion-bancaria/?referer=L-excel-formato&amp;utm_medium=act_formato_excel&amp;utm_source=act_formato_excel&amp;utm_campaign=act_formato_excel&amp;utm_content=act_formato_excel_link" xr:uid="{223501EA-6D50-42E5-98B1-AFC430CD53DF}"/>
    <hyperlink ref="B1733" r:id="rId36" display="https://actualicese.com/word-aviso-a-empleados-para-la-escogencia-de-fondo-de-cesantias/?referer=L-excel-formato&amp;utm_medium=act_formato_excel&amp;utm_source=act_formato_excel&amp;utm_campaign=act_formato_excel&amp;utm_content=act_formato_excel_link" xr:uid="{BD72ED46-9F14-4B2F-9EBE-233D03D049A1}"/>
    <hyperlink ref="B1735" r:id="rId37" display="https://actualicese.com/calculo-de-la-tir-y-tecnica-del-costo-amortizado-en-el-analisis-financiero/?referer=L-excel-formato&amp;utm_medium=act_formato_excel&amp;utm_source=act_formato_excel&amp;utm_campaign=act_formato_excel&amp;utm_content=act_formato_excel_link" xr:uid="{52F5A326-1A98-4B5F-A6A6-5AC59608F223}"/>
    <hyperlink ref="B1737" r:id="rId38" display="https://actualicese.com/clasificacion-de-arrendamientos-segun-la-seccion-20-del-estandar-para-pymes-casos-practicos-en-excel/?referer=L-excel-formato&amp;utm_medium=act_formato_excel&amp;utm_source=act_formato_excel&amp;utm_campaign=act_formato_excel&amp;utm_content=act_formato_excel_link" xr:uid="{6BF2EE89-61AD-4B85-83E3-C65CFA5452C0}"/>
    <hyperlink ref="B1739" r:id="rId39" display="https://actualicese.com/liquidador-de-aportes-a-arl-para-trabajadores-independientes/?referer=L-excel-formato&amp;utm_medium=act_formato_excel&amp;utm_source=act_formato_excel&amp;utm_campaign=act_formato_excel&amp;utm_content=act_formato_excel_link" xr:uid="{313EEF55-2A2D-4B73-AAA6-FEF4DF0500FD}"/>
    <hyperlink ref="B1741" r:id="rId40" display="https://actualicese.com/modelo-para-solicitud-de-reembolso-de-caja-menor/?referer=L-excel-formato&amp;utm_medium=act_formato_excel&amp;utm_source=act_formato_excel&amp;utm_campaign=act_formato_excel&amp;utm_content=act_formato_excel_link" xr:uid="{B1871166-A089-4F44-9E4F-DA173E5A207F}"/>
    <hyperlink ref="B1743" r:id="rId41" display="https://actualicese.com/orden-de-compra/?referer=L-excel-formato&amp;utm_medium=act_formato_excel&amp;utm_source=act_formato_excel&amp;utm_campaign=act_formato_excel&amp;utm_content=act_formato_excel_link" xr:uid="{58007547-BCB1-49F2-BC3F-83259E80408D}"/>
    <hyperlink ref="B1745" r:id="rId42" display="https://actualicese.com/modelo-de-un-proyecto-de-distribucion-de-utilidades-en-una-sociedad-comercial/?referer=L-excel-formato&amp;utm_medium=act_formato_excel&amp;utm_source=act_formato_excel&amp;utm_campaign=act_formato_excel&amp;utm_content=act_formato_excel_link" xr:uid="{7AFB45E5-FF28-4A1B-B06B-F78EF58CBE7C}"/>
    <hyperlink ref="B1747" r:id="rId43" display="https://actualicese.com/efecto-del-calculo-del-valor-residual-en-el-estado-de-resultados/?referer=L-excel-formato&amp;utm_medium=act_formato_excel&amp;utm_source=act_formato_excel&amp;utm_campaign=act_formato_excel&amp;utm_content=act_formato_excel_link" xr:uid="{03D5EACA-65D5-4840-80FE-46C0E9023C39}"/>
    <hyperlink ref="B1749" r:id="rId44" display="https://actualicese.com/pack-de-formatos-paso-a-paso-para-gestionar-tus-finanzas-personales/?referer=L-excel-formato&amp;utm_medium=act_formato_excel&amp;utm_source=act_formato_excel&amp;utm_campaign=act_formato_excel&amp;utm_content=act_formato_excel_link" xr:uid="{B84731F2-2991-44CD-8DF3-9BFD7750F882}"/>
    <hyperlink ref="B1751" r:id="rId45" display="https://actualicese.com/ejemplos-de-reconocimiento-de-provisiones-y-pasivos-contingentes-segun-el-estandar-para-pymes/?referer=L-excel-formato&amp;utm_medium=act_formato_excel&amp;utm_source=act_formato_excel&amp;utm_campaign=act_formato_excel&amp;utm_content=act_formato_excel_link" xr:uid="{9611DC3A-360C-481F-9FC9-B740FA20D0F9}"/>
    <hyperlink ref="B1753" r:id="rId46" display="https://actualicese.com/contabilizacion-de-depreciacion-bajo-estandares-internacionales-casos-practicos-en-excel/?referer=L-excel-formato&amp;utm_medium=act_formato_excel&amp;utm_source=act_formato_excel&amp;utm_campaign=act_formato_excel&amp;utm_content=act_formato_excel_link" xr:uid="{05375B95-D889-41DD-8D67-3F7F893BB420}"/>
    <hyperlink ref="B1755" r:id="rId47" display="https://actualicese.com/estado-de-flujos-de-efectivo-por-el-metodo-directo-ejercicio-practico-y-plantilla-en-excel/?referer=L-excel-formato&amp;utm_medium=act_formato_excel&amp;utm_source=act_formato_excel&amp;utm_campaign=act_formato_excel&amp;utm_content=act_formato_excel_link" xr:uid="{4BB739F3-CD34-43B2-85F2-78DE2823FF46}"/>
    <hyperlink ref="B1757" r:id="rId48" display="https://actualicese.com/estado-de-flujos-de-efectivo-por-el-metodo-indirecto-ejercicio-practico-y-plantilla-en-excel/?referer=L-excel-formato&amp;utm_medium=act_formato_excel&amp;utm_source=act_formato_excel&amp;utm_campaign=act_formato_excel&amp;utm_content=act_formato_excel_link" xr:uid="{226C5C45-C56D-4B3A-A0E9-E72A2D0964F1}"/>
    <hyperlink ref="B1759" r:id="rId49" display="https://actualicese.com/modelo-para-la-elaboracion-del-estado-de-cambios-en-el-patrimonio/?referer=L-excel-formato&amp;utm_medium=act_formato_excel&amp;utm_source=act_formato_excel&amp;utm_campaign=act_formato_excel&amp;utm_content=act_formato_excel_link" xr:uid="{273FBB5C-1DF6-4920-B4F3-ACC4F4B06E7E}"/>
    <hyperlink ref="B1761" r:id="rId50" display="https://actualicese.com/carta-de-renuncia/?referer=L-excel-formato&amp;utm_medium=act_formato_excel&amp;utm_source=act_formato_excel&amp;utm_campaign=act_formato_excel&amp;utm_content=act_formato_excel_link" xr:uid="{B331BE95-A5E2-440E-8ADB-E2F0D3B104C1}"/>
    <hyperlink ref="B1763" r:id="rId51" display="https://actualicese.com/estado-de-resultados-con-enfoque-de-gastos-por-naturaleza-o-por-funcion/?referer=L-excel-formato&amp;utm_medium=act_formato_excel&amp;utm_source=act_formato_excel&amp;utm_campaign=act_formato_excel&amp;utm_content=act_formato_excel_link" xr:uid="{E4CD683E-64FB-4BC3-A7E9-D1626EB9B3B9}"/>
    <hyperlink ref="B1765" r:id="rId52" display="https://actualicese.com/planeador-en-excel-para-contadores-publicos/?referer=L-excel-formato&amp;utm_medium=act_formato_excel&amp;utm_source=act_formato_excel&amp;utm_campaign=act_formato_excel&amp;utm_content=act_formato_excel_link" xr:uid="{A0F176C5-CF7B-454F-804D-7E77FB47F16B}"/>
    <hyperlink ref="B1767" r:id="rId53" display="https://actualicese.com/liquidador-en-excel-para-calcular-la-contribucion-2022-a-la-supersociedades/?referer=L-excel-formato&amp;utm_medium=act_formato_excel&amp;utm_source=act_formato_excel&amp;utm_campaign=act_formato_excel&amp;utm_content=act_formato_excel_link" xr:uid="{C93B864F-BC6C-4EDD-995F-905438B9C9AF}"/>
    <hyperlink ref="B1769" r:id="rId54" display="https://actualicese.com/liquidador-caso-practico-en-excel-contabilizacion-de-reembolso-de-caja-menor/?referer=L-excel-formato&amp;utm_medium=act_formato_excel&amp;utm_source=act_formato_excel&amp;utm_campaign=act_formato_excel&amp;utm_content=act_formato_excel_link" xr:uid="{665F1B41-4AC2-4A41-8EFA-CEA0ED72241C}"/>
    <hyperlink ref="B1771" r:id="rId55" display="https://actualicese.com/modelo-de-llamado-de-atencion/?referer=L-excel-formato&amp;utm_medium=act_formato_excel&amp;utm_source=act_formato_excel&amp;utm_campaign=act_formato_excel&amp;utm_content=act_formato_excel_link" xr:uid="{2A493907-B906-42AE-8273-F2CE594BB46D}"/>
    <hyperlink ref="B1773" r:id="rId56" display="https://actualicese.com/modelo-de-politica-base-para-la-preparacion-de-estados-financieros-bajo-estandar-internacional-para-pymes/?referer=L-excel-formato&amp;utm_medium=act_formato_excel&amp;utm_source=act_formato_excel&amp;utm_campaign=act_formato_excel&amp;utm_content=act_formato_excel_link" xr:uid="{78193D17-5992-4965-BDEE-308295C595DB}"/>
    <hyperlink ref="B1775" r:id="rId57" display="https://actualicese.com/modelo-de-certificacion-de-estados-financieros-version-simplificada/?referer=L-excel-formato&amp;utm_medium=act_formato_excel&amp;utm_source=act_formato_excel&amp;utm_campaign=act_formato_excel&amp;utm_content=act_formato_excel_link" xr:uid="{22AED966-86C9-4393-95B0-54397603A400}"/>
    <hyperlink ref="B1777" r:id="rId58" display="https://actualicese.com/respuesta-a-solicitud-de-un-servicio/?referer=L-excel-formato&amp;utm_medium=act_formato_excel&amp;utm_source=act_formato_excel&amp;utm_campaign=act_formato_excel&amp;utm_content=act_formato_excel_link" xr:uid="{E898C6DB-4F8C-4093-BBA3-D2D560C48606}"/>
    <hyperlink ref="B1779" r:id="rId59" display="https://actualicese.com/modelo-de-certificacion-de-estados-financieros-consolidados/?referer=L-excel-formato&amp;utm_medium=act_formato_excel&amp;utm_source=act_formato_excel&amp;utm_campaign=act_formato_excel&amp;utm_content=act_formato_excel_link" xr:uid="{DE2A32EF-4BB3-4D22-83B9-CCEF4EE776E4}"/>
    <hyperlink ref="B1781" r:id="rId60" display="https://actualicese.com/simulador-de-casos-para-clasificar-instrumentos-financieros-como-pasivos-o-patrimonio/?referer=L-excel-formato&amp;utm_medium=act_formato_excel&amp;utm_source=act_formato_excel&amp;utm_campaign=act_formato_excel&amp;utm_content=act_formato_excel_link" xr:uid="{479AA41C-F908-44A4-BC4F-2DB0DA16074C}"/>
    <hyperlink ref="B1783" r:id="rId61" display="https://actualicese.com/informe-de-entrega-de-soportes-de-declaracion-de-renta-de-persona-natural/?referer=L-excel-formato&amp;utm_medium=act_formato_excel&amp;utm_source=act_formato_excel&amp;utm_campaign=act_formato_excel&amp;utm_content=act_formato_excel_link" xr:uid="{25FDC6D5-DB28-44C3-BEA7-BF8C4F30673C}"/>
    <hyperlink ref="B1785" r:id="rId62" display="https://actualicese.com/simulador-en-excel-de-firmeza-de-las-declaraciones-de-renta-del-ano-gravable-2021/?referer=L-excel-formato&amp;utm_medium=act_formato_excel&amp;utm_source=act_formato_excel&amp;utm_campaign=act_formato_excel&amp;utm_content=act_formato_excel_link" xr:uid="{A7107F6A-FB58-4000-ABA0-B499F5213CBC}"/>
    <hyperlink ref="B1787" r:id="rId63" display="https://actualicese.com/modelo-aceptacion-de-renuncia/?referer=L-excel-formato&amp;utm_medium=act_formato_excel&amp;utm_source=act_formato_excel&amp;utm_campaign=act_formato_excel&amp;utm_content=act_formato_excel_link" xr:uid="{5B48D2A8-E9B0-40E8-A3F9-9A106A611201}"/>
    <hyperlink ref="B1789" r:id="rId64" display="https://actualicese.com/nota-1-a-los-estados-financieros-bajo-el-estandar-internacional-para-pymes/?referer=L-excel-formato&amp;utm_medium=act_formato_excel&amp;utm_source=act_formato_excel&amp;utm_campaign=act_formato_excel&amp;utm_content=act_formato_excel_link" xr:uid="{C36B17BA-C547-40D4-A7A1-6F589423B2D9}"/>
    <hyperlink ref="B1791" r:id="rId65" display="https://actualicese.com/determinacion-de-diferencias-temporarias-e-impuesto-diferido/?referer=L-excel-formato&amp;utm_medium=act_formato_excel&amp;utm_source=act_formato_excel&amp;utm_campaign=act_formato_excel&amp;utm_content=act_formato_excel_link" xr:uid="{61C888BA-0918-4C6D-9981-6236F38DF8F2}"/>
    <hyperlink ref="B1793" r:id="rId66" display="https://actualicese.com/lista-de-chequeo-para-efectuar-el-cierre-contable-y-fiscal-de-una-entidad/?referer=L-excel-formato&amp;utm_medium=act_formato_excel&amp;utm_source=act_formato_excel&amp;utm_campaign=act_formato_excel&amp;utm_content=act_formato_excel_link" xr:uid="{FF1E2B5F-7CBC-4D9F-AF11-4B8B65F7B25A}"/>
    <hyperlink ref="B1795" r:id="rId67" display="https://actualicese.com/plantilla-para-el-control-de-entrega-de-dotacion-a-empleados/?referer=L-excel-formato&amp;utm_medium=act_formato_excel&amp;utm_source=act_formato_excel&amp;utm_campaign=act_formato_excel&amp;utm_content=act_formato_excel_link" xr:uid="{C8E0FB5D-BC2C-4D36-A065-D5BA3A7BD06C}"/>
    <hyperlink ref="B1797" r:id="rId68" display="https://actualicese.com/modelo-calculo-intereses-de-mora-y-su-iva-en-cuentas-por-cobrar-vencidas/?referer=L-excel-formato&amp;utm_medium=act_formato_excel&amp;utm_source=act_formato_excel&amp;utm_campaign=act_formato_excel&amp;utm_content=act_formato_excel_link" xr:uid="{0BA47A62-2C2A-4D8C-AB7A-BFA606DB4515}"/>
    <hyperlink ref="B1799" r:id="rId69" display="https://actualicese.com/casos-practicos-de-contabilizacion-de-utilidades-y-dividendos/?referer=L-excel-formato&amp;utm_medium=act_formato_excel&amp;utm_source=act_formato_excel&amp;utm_campaign=act_formato_excel&amp;utm_content=act_formato_excel_link" xr:uid="{CBDB6579-C924-4A14-ADE2-74C451162A8D}"/>
    <hyperlink ref="B1801" r:id="rId70" display="https://actualicese.com/casos-practicos-de-contabilizacion-de-aportes-a-capital-social/?referer=L-excel-formato&amp;utm_medium=act_formato_excel&amp;utm_source=act_formato_excel&amp;utm_campaign=act_formato_excel&amp;utm_content=act_formato_excel_link" xr:uid="{CD23EE13-93EB-4C25-91DD-C4D13DDDD1B9}"/>
    <hyperlink ref="B1803" r:id="rId71" display="https://actualicese.com/formulario-210-declaracion-de-renta-de-personas-naturales-residentes-que-no-llevan-contabilidad-ag-2021/?referer=L-excel-formato&amp;utm_medium=act_formato_excel&amp;utm_source=act_formato_excel&amp;utm_campaign=act_formato_excel&amp;utm_content=act_formato_excel_link" xr:uid="{D1E055E2-ED6C-44AE-BD20-A930D0568C33}"/>
    <hyperlink ref="B1805" r:id="rId72" display="https://actualicese.com/formato-de-calculo-de-horas-extra-y-recargos-mensuales-o-quincenales/?referer=L-excel-formato&amp;utm_medium=act_formato_excel&amp;utm_source=act_formato_excel&amp;utm_campaign=act_formato_excel&amp;utm_content=act_formato_excel_link" xr:uid="{AA9627BF-1248-4B60-ABBA-6A353A5C3645}"/>
    <hyperlink ref="B1807" r:id="rId73" display="https://actualicese.com/casos-practicos-de-contabilizacion-de-inversiones-en-criptomonedas/?referer=L-excel-formato&amp;utm_medium=act_formato_excel&amp;utm_source=act_formato_excel&amp;utm_campaign=act_formato_excel&amp;utm_content=act_formato_excel_link" xr:uid="{922465D7-1C65-4B58-9DE9-CDA62168AF53}"/>
    <hyperlink ref="B1809" r:id="rId74" display="https://actualicese.com/casos-practicos-de-contabilizacion-de-inversiones-en-cdt/?referer=L-excel-formato&amp;utm_medium=act_formato_excel&amp;utm_source=act_formato_excel&amp;utm_campaign=act_formato_excel&amp;utm_content=act_formato_excel_link" xr:uid="{F3F5916B-F406-4C26-A01F-AA3A5AB2B67D}"/>
    <hyperlink ref="B1811" r:id="rId75" display="https://actualicese.com/modelo-de-citacion-a-descargos/?referer=L-excel-formato&amp;utm_medium=act_formato_excel&amp;utm_source=act_formato_excel&amp;utm_campaign=act_formato_excel&amp;utm_content=act_formato_excel_link" xr:uid="{0D8E2044-B3CD-4AFF-8BE0-7A21CC17099E}"/>
    <hyperlink ref="B1813" r:id="rId76" display="https://actualicese.com/peticion-al-banco-por-desacuerdo-en-estado-de-cuenta-o-extracto/?referer=L-excel-formato&amp;utm_medium=act_formato_excel&amp;utm_source=act_formato_excel&amp;utm_campaign=act_formato_excel&amp;utm_content=act_formato_excel_link" xr:uid="{567649C7-FD80-4413-8959-40A5575F4E48}"/>
    <hyperlink ref="B1815" r:id="rId77" display="https://actualicese.com/politica-de-pago-a-proveedores-y-plantilla-de-control-de-cuentas-por-pagar/?referer=L-excel-formato&amp;utm_medium=act_formato_excel&amp;utm_source=act_formato_excel&amp;utm_campaign=act_formato_excel&amp;utm_content=act_formato_excel_link" xr:uid="{E7959048-BDE3-4827-8E7E-2384871E9124}"/>
    <hyperlink ref="B1817" r:id="rId78" display="https://actualicese.com/casos-practicos-de-contabilizacion-de-arrendamientos-financiero-y-operativo/?referer=L-excel-formato&amp;utm_medium=act_formato_excel&amp;utm_source=act_formato_excel&amp;utm_campaign=act_formato_excel&amp;utm_content=act_formato_excel_link" xr:uid="{387D6478-C4D8-4225-99C0-01A2759EA1DB}"/>
    <hyperlink ref="B1819" r:id="rId79" display="https://actualicese.com/casos-practicos-de-contabilizacion-de-venta-de-activos-fijos/?referer=L-excel-formato&amp;utm_medium=act_formato_excel&amp;utm_source=act_formato_excel&amp;utm_campaign=act_formato_excel&amp;utm_content=act_formato_excel_link" xr:uid="{0D32A264-B386-40EA-9154-EE7B94E9380C}"/>
    <hyperlink ref="B1821" r:id="rId80" display="https://actualicese.com/arqueo-caja-menor/?referer=L-excel-formato&amp;utm_medium=act_formato_excel&amp;utm_source=act_formato_excel&amp;utm_campaign=act_formato_excel&amp;utm_content=act_formato_excel_link" xr:uid="{9BD388DA-1AE5-472E-A2EB-93779E476ECC}"/>
    <hyperlink ref="B1823" r:id="rId81" display="https://actualicese.com/formato-de-arqueo-de-caja-general/?referer=L-excel-formato&amp;utm_medium=act_formato_excel&amp;utm_source=act_formato_excel&amp;utm_campaign=act_formato_excel&amp;utm_content=act_formato_excel_link" xr:uid="{A1BDCCF1-C996-4200-A25C-0CF15BCF592A}"/>
    <hyperlink ref="B1825" r:id="rId82" display="https://actualicese.com/liquidador-de-aportes-a-seguridad-social-de-independientes-por-cuenta-propia-y-rentistas-de-capital/?referer=L-excel-formato&amp;utm_medium=act_formato_excel&amp;utm_source=act_formato_excel&amp;utm_campaign=act_formato_excel&amp;utm_content=act_formato_excel_link" xr:uid="{A5EA09DE-94EE-407E-B6B0-20F4E7DE8A32}"/>
    <hyperlink ref="B1827" r:id="rId83" display="https://actualicese.com/cancelacion-cuenta-bancaria/?referer=L-excel-formato&amp;utm_medium=act_formato_excel&amp;utm_source=act_formato_excel&amp;utm_campaign=act_formato_excel&amp;utm_content=act_formato_excel_link" xr:uid="{AE8CAEEB-9A8E-44D4-9013-D4E0B037BCC3}"/>
    <hyperlink ref="B1829" r:id="rId84" display="https://actualicese.com/aportes-a-seguridad-social-para-trabajadores-independientes/?referer=L-excel-formato&amp;utm_medium=act_formato_excel&amp;utm_source=act_formato_excel&amp;utm_campaign=act_formato_excel&amp;utm_content=act_formato_excel_link" xr:uid="{334F645D-5A0B-4766-A91B-9362A2ACF256}"/>
    <hyperlink ref="B1831" r:id="rId85" display="https://actualicese.com/liquidador-de-politica-de-recaudo-a-clientes-y-plantilla-de-control-de-cuentas-por-cobrar/?referer=L-excel-formato&amp;utm_medium=act_formato_excel&amp;utm_source=act_formato_excel&amp;utm_campaign=act_formato_excel&amp;utm_content=act_formato_excel_link" xr:uid="{BA20181A-7E5B-43E6-9C45-7E4103560D29}"/>
    <hyperlink ref="B1833" r:id="rId86" display="https://actualicese.com/caso-practico-de-baja-de-cuentas-por-cobrar/?referer=L-excel-formato&amp;utm_medium=act_formato_excel&amp;utm_source=act_formato_excel&amp;utm_campaign=act_formato_excel&amp;utm_content=act_formato_excel_link" xr:uid="{A4B422C8-3FBF-45D4-8BA6-7AF68E3B4F88}"/>
    <hyperlink ref="B1835" r:id="rId87" display="https://actualicese.com/caso-practico-de-contabilizacion-de-cheques-devueltos/?referer=L-excel-formato&amp;utm_medium=act_formato_excel&amp;utm_source=act_formato_excel&amp;utm_campaign=act_formato_excel&amp;utm_content=act_formato_excel_link" xr:uid="{784C9606-4944-462A-BA35-A5BCE8610ABA}"/>
    <hyperlink ref="B1837" r:id="rId88" display="https://actualicese.com/proyecto-de-reforma-tributaria-de-petro-cuadro-tematico-de-las-normas-que-se-modificarian/?referer=L-excel-formato&amp;utm_medium=act_formato_excel&amp;utm_source=act_formato_excel&amp;utm_campaign=act_formato_excel&amp;utm_content=act_formato_excel_link" xr:uid="{98A07CCA-1DE2-4F88-9103-497CC8B48A42}"/>
    <hyperlink ref="B1839" r:id="rId89" display="https://actualicese.com/certificacion-de-deuda-o-constitucion-de-titulo-ejecutivo-para-cobro-judicial-en-ph/?referer=L-excel-formato&amp;utm_medium=act_formato_excel&amp;utm_source=act_formato_excel&amp;utm_campaign=act_formato_excel&amp;utm_content=act_formato_excel_link" xr:uid="{A220ECED-5DDC-46EE-85A4-41A304B07980}"/>
    <hyperlink ref="B1841" r:id="rId90" display="https://actualicese.com/casos-practicos-de-contabilizacion-de-compras-con-tarjetas-de-credito/?referer=L-excel-formato&amp;utm_medium=act_formato_excel&amp;utm_source=act_formato_excel&amp;utm_campaign=act_formato_excel&amp;utm_content=act_formato_excel_link" xr:uid="{62913C3D-FA9A-48A1-A73E-FD85EBB40516}"/>
    <hyperlink ref="B1843" r:id="rId91" display="https://actualicese.com/comparativo-de-pagos-a-trabajador-contrato-de-trabajo-vs-contrato-de-prestacion-de-servicios/?referer=L-excel-formato&amp;utm_medium=act_formato_excel&amp;utm_source=act_formato_excel&amp;utm_campaign=act_formato_excel&amp;utm_content=act_formato_excel_link" xr:uid="{68585D18-4844-4075-A99E-F44B4FA8D910}"/>
    <hyperlink ref="B1845" r:id="rId92" display="https://actualicese.com/solicitud-de-retiro-de-cesantias-para-estudio/?referer=L-excel-formato&amp;utm_medium=act_formato_excel&amp;utm_source=act_formato_excel&amp;utm_campaign=act_formato_excel&amp;utm_content=act_formato_excel_link" xr:uid="{9C9EA840-1084-4CA7-B6E7-33AC71F47273}"/>
    <hyperlink ref="B1847" r:id="rId93" display="https://actualicese.com/lista-de-convenios-internacionales-para-evitar-la-doble-tributacion-ano-gravable-2021/?referer=L-excel-formato&amp;utm_medium=act_formato_excel&amp;utm_source=act_formato_excel&amp;utm_campaign=act_formato_excel&amp;utm_content=act_formato_excel_link" xr:uid="{37A9B287-4ADE-466E-9D6E-1FF5B4D1194E}"/>
    <hyperlink ref="B1849" r:id="rId94" display="https://actualicese.com/casos-practicos-de-deterioro-de-cartera-fiscal-provision-individual-y-general/?referer=L-excel-formato&amp;utm_medium=act_formato_excel&amp;utm_source=act_formato_excel&amp;utm_campaign=act_formato_excel&amp;utm_content=act_formato_excel_link" xr:uid="{7EC4EC88-A7F2-4CF1-A8CF-6A51BA49332D}"/>
    <hyperlink ref="B1851" r:id="rId95" display="https://actualicese.com/caso-practico-de-contabilizacion-de-compras-a-credito/?referer=L-excel-formato&amp;utm_medium=act_formato_excel&amp;utm_source=act_formato_excel&amp;utm_campaign=act_formato_excel&amp;utm_content=act_formato_excel_link" xr:uid="{541D15C2-38BF-4133-8F87-DF9415AF6B93}"/>
    <hyperlink ref="B1853" r:id="rId96" display="https://actualicese.com/caso-practico-de-contabilizacion-de-compras-de-contado/?referer=L-excel-formato&amp;utm_medium=act_formato_excel&amp;utm_source=act_formato_excel&amp;utm_campaign=act_formato_excel&amp;utm_content=act_formato_excel_link" xr:uid="{156D560B-C425-4FFF-870D-E1FB3D7D5C0A}"/>
    <hyperlink ref="B1855" r:id="rId97" display="https://actualicese.com/calculos-de-operaciones-de-refinanciacion-de-deuda-metodo-ecuacion-de-valor-equivalente/?referer=L-excel-formato&amp;utm_medium=act_formato_excel&amp;utm_source=act_formato_excel&amp;utm_campaign=act_formato_excel&amp;utm_content=act_formato_excel_link" xr:uid="{E8D4F8A3-ACBF-496F-A7C4-318C5FD8B39B}"/>
    <hyperlink ref="B1857" r:id="rId98" display="https://actualicese.com/derecho-de-peticion-para-solicitar-informacion-a-entidad-financiera/?referer=L-excel-formato&amp;utm_medium=act_formato_excel&amp;utm_source=act_formato_excel&amp;utm_campaign=act_formato_excel&amp;utm_content=act_formato_excel_link" xr:uid="{D56BD713-36CF-4203-85EB-A327E322FD79}"/>
    <hyperlink ref="B1859" r:id="rId99" display="https://actualicese.com/nivel-de-endeudamiento/?referer=L-excel-formato&amp;utm_medium=act_formato_excel&amp;utm_source=act_formato_excel&amp;utm_campaign=act_formato_excel&amp;utm_content=act_formato_excel_link" xr:uid="{85F89317-2EB7-48CD-A982-D47C4D8A0689}"/>
    <hyperlink ref="B1861" r:id="rId100" display="https://actualicese.com/solicitud-de-inversion-de-capital/?referer=L-excel-formato&amp;utm_medium=act_formato_excel&amp;utm_source=act_formato_excel&amp;utm_campaign=act_formato_excel&amp;utm_content=act_formato_excel_link" xr:uid="{83F83509-1D56-4ECC-A598-3DC864C58453}"/>
    <hyperlink ref="B1863" r:id="rId101" display="https://actualicese.com/simulador-de-cdt-con-una-periodicidad-de-pago-de-intereses-mensual-o-al-vencimiento/?referer=L-excel-formato&amp;utm_medium=act_formato_excel&amp;utm_source=act_formato_excel&amp;utm_campaign=act_formato_excel&amp;utm_content=act_formato_excel_link" xr:uid="{1767A364-4270-4F20-8183-13BF464A0CA9}"/>
    <hyperlink ref="B1865" r:id="rId102" display="https://actualicese.com/caso-practico-de-contabilizacion-de-impuestos-asumidos/?referer=L-excel-formato&amp;utm_medium=act_formato_excel&amp;utm_source=act_formato_excel&amp;utm_campaign=act_formato_excel&amp;utm_content=act_formato_excel_link" xr:uid="{AF255AAE-1E10-41DF-B024-5DDA9D82294F}"/>
    <hyperlink ref="B1867" r:id="rId103" display="https://actualicese.com/casos-practicos-de-contabilizacion-de-ventas-de-contado-y-a-credito/?referer=L-excel-formato&amp;utm_medium=act_formato_excel&amp;utm_source=act_formato_excel&amp;utm_campaign=act_formato_excel&amp;utm_content=act_formato_excel_link" xr:uid="{C7FEAF07-CE46-46F3-87C2-2C2EDA591913}"/>
    <hyperlink ref="B1869" r:id="rId104" display="https://actualicese.com/modelo-para-proyectar-el-presupuesto-personal-del-contador/?referer=L-excel-formato&amp;utm_medium=act_formato_excel&amp;utm_source=act_formato_excel&amp;utm_campaign=act_formato_excel&amp;utm_content=act_formato_excel_link" xr:uid="{EC06F773-965A-44B9-8F98-9E48FADCF412}"/>
    <hyperlink ref="B1871" r:id="rId105" display="https://actualicese.com/solicitud-de-inversiones-realizadas/?referer=L-excel-formato&amp;utm_medium=act_formato_excel&amp;utm_source=act_formato_excel&amp;utm_campaign=act_formato_excel&amp;utm_content=act_formato_excel_link" xr:uid="{6122E6FD-0A77-4500-9C2F-11349F0CDD27}"/>
    <hyperlink ref="B1873" r:id="rId106" display="https://actualicese.com/propuesta-para-desarrollar-un-proyecto-o-proceso-empresarial/?referer=L-excel-formato&amp;utm_medium=act_formato_excel&amp;utm_source=act_formato_excel&amp;utm_campaign=act_formato_excel&amp;utm_content=act_formato_excel_link" xr:uid="{0F588AEA-7F36-4530-8911-74A689F35E20}"/>
    <hyperlink ref="B1875" r:id="rId107" display="https://actualicese.com/caso-practico-de-contabilizacion-de-incapacidades-laborales/?referer=L-excel-formato&amp;utm_medium=act_formato_excel&amp;utm_source=act_formato_excel&amp;utm_campaign=act_formato_excel&amp;utm_content=act_formato_excel_link" xr:uid="{536496F5-4138-41F3-BFD4-E50ACBE9A693}"/>
    <hyperlink ref="B1877" r:id="rId108" display="https://actualicese.com/modelo-de-autorizacion-para-el-tratamiento-y-la-proteccion-de-datos-personales/?referer=L-excel-formato&amp;utm_medium=act_formato_excel&amp;utm_source=act_formato_excel&amp;utm_campaign=act_formato_excel&amp;utm_content=act_formato_excel_link" xr:uid="{F8CC6B72-47C3-4C9A-9281-5DF5DA9C97F9}"/>
    <hyperlink ref="B1879" r:id="rId109" display="https://actualicese.com/modelo-de-carta-de-solicitud-de-correccion-de-informacion-exogena/?referer=L-excel-formato&amp;utm_medium=act_formato_excel&amp;utm_source=act_formato_excel&amp;utm_campaign=act_formato_excel&amp;utm_content=act_formato_excel_link" xr:uid="{9D1DBBD0-F045-4489-B274-E858456055A6}"/>
    <hyperlink ref="B1881" r:id="rId110" display="https://actualicese.com/caso-practico-de-declaracion-de-renta-a-partir-de-informacion-reportada-por-terceros/?referer=L-excel-formato&amp;utm_medium=act_formato_excel&amp;utm_source=act_formato_excel&amp;utm_campaign=act_formato_excel&amp;utm_content=act_formato_excel_link" xr:uid="{AF62A25D-B0BA-415E-A848-65400EB88C98}"/>
    <hyperlink ref="B1883" r:id="rId111" display="https://actualicese.com/contrato-modelo-contrato-de-trabajo-modalidad-teletrabajo/?referer=L-excel-formato&amp;utm_medium=act_formato_excel&amp;utm_source=act_formato_excel&amp;utm_campaign=act_formato_excel&amp;utm_content=act_formato_excel_link" xr:uid="{E23B5C0C-DA00-4208-94BB-84735F9B4DD8}"/>
    <hyperlink ref="B1885" r:id="rId112" display="https://actualicese.com/comparativo-de-normas-del-dut-1625-de-2016-sobre-el-beneficio-de-obras-por-impuestos-afectadas-con-el-decreto-1208-de-2022/?referer=L-excel-formato&amp;utm_medium=act_formato_excel&amp;utm_source=act_formato_excel&amp;utm_campaign=act_formato_excel&amp;utm_content=act_formato_excel_link" xr:uid="{B1F207C5-65F1-4BA5-A5A1-5150F181917D}"/>
    <hyperlink ref="B1887" r:id="rId113" display="https://actualicese.com/20-liquidadores-de-sanciones-y-procedimiento-tributario-2022/?referer=L-excel-formato&amp;utm_medium=act_formato_excel&amp;utm_source=act_formato_excel&amp;utm_campaign=act_formato_excel&amp;utm_content=act_formato_excel_link" xr:uid="{67591C14-B200-44AB-8E63-E97CBF0D1B33}"/>
    <hyperlink ref="B1889" r:id="rId114" display="https://actualicese.com/caso-practico-de-contabilizacion-de-prestaciones-sociales-y-vacaciones/?referer=L-excel-formato&amp;utm_medium=act_formato_excel&amp;utm_source=act_formato_excel&amp;utm_campaign=act_formato_excel&amp;utm_content=act_formato_excel_link" xr:uid="{C0223C7B-2598-42B7-A42F-07B35B5788B2}"/>
    <hyperlink ref="B1891" r:id="rId115" display="https://actualicese.com/sancion-por-extemporaneidad-antes-del-emplazamiento/?referer=L-excel-formato&amp;utm_medium=act_formato_excel&amp;utm_source=act_formato_excel&amp;utm_campaign=act_formato_excel&amp;utm_content=act_formato_excel_link" xr:uid="{2261B35F-96F5-4F1B-B722-39F033B31CB0}"/>
    <hyperlink ref="B1893" r:id="rId116" display="https://actualicese.com/sancion-por-extemporaneidad-despues-del-emplazamiento/?referer=L-excel-formato&amp;utm_medium=act_formato_excel&amp;utm_source=act_formato_excel&amp;utm_campaign=act_formato_excel&amp;utm_content=act_formato_excel_link" xr:uid="{C69E1771-DCB8-4318-A4AD-0B27A6153275}"/>
    <hyperlink ref="B1895" r:id="rId117" display="https://actualicese.com/beneficio-de-auditoria-para-personas-naturales-ag-2021-casos-practicos-en-excel/?referer=L-excel-formato&amp;utm_medium=act_formato_excel&amp;utm_source=act_formato_excel&amp;utm_campaign=act_formato_excel&amp;utm_content=act_formato_excel_link" xr:uid="{0F23D6AA-D298-48FC-8AB2-02133176AF9F}"/>
    <hyperlink ref="B1897" r:id="rId118" display="https://actualicese.com/casos-practicos-del-calculo-de-la-materialidad-en-auditoria/?referer=L-excel-formato&amp;utm_medium=act_formato_excel&amp;utm_source=act_formato_excel&amp;utm_campaign=act_formato_excel&amp;utm_content=act_formato_excel_link" xr:uid="{3093F478-183E-4FD7-8ACC-757E42402C5E}"/>
    <hyperlink ref="B1899" r:id="rId119" display="https://actualicese.com/formato-de-circularizacion-de-clientes-automatizado/?referer=L-excel-formato&amp;utm_medium=act_formato_excel&amp;utm_source=act_formato_excel&amp;utm_campaign=act_formato_excel&amp;utm_content=act_formato_excel_link" xr:uid="{D2ACFB36-1AE5-4D40-B4F3-4CD62F93AB6B}"/>
    <hyperlink ref="B1901" r:id="rId120" display="https://actualicese.com/contabilizacion-de-sobregiros-bancarios-caso-practico/?referer=L-excel-formato&amp;utm_medium=act_formato_excel&amp;utm_source=act_formato_excel&amp;utm_campaign=act_formato_excel&amp;utm_content=act_formato_excel_link" xr:uid="{80B3BAD2-36D9-48C1-990B-DF18D6FDD622}"/>
    <hyperlink ref="B1903" r:id="rId121" display="https://actualicese.com/calculo-del-anticipo-de-impuesto-de-renta-casos-practicos/?referer=L-excel-formato&amp;utm_medium=act_formato_excel&amp;utm_source=act_formato_excel&amp;utm_campaign=act_formato_excel&amp;utm_content=act_formato_excel_link" xr:uid="{FF633D7D-D3C9-4B81-9F20-A26A6B02C2C5}"/>
    <hyperlink ref="B1905" r:id="rId122" display="https://actualicese.com/solicitud-de-inmovilizacion-de-cesantias-para-adquisicion-de-vivienda/?referer=L-excel-formato&amp;utm_medium=act_formato_excel&amp;utm_source=act_formato_excel&amp;utm_campaign=act_formato_excel&amp;utm_content=act_formato_excel_link" xr:uid="{1849E437-AC57-4E65-A641-BB00CCC55EE0}"/>
    <hyperlink ref="B1907" r:id="rId123" display="https://actualicese.com/formato-de-control-de-vacaciones-de-empleados/?referer=L-excel-formato&amp;utm_medium=act_formato_excel&amp;utm_source=act_formato_excel&amp;utm_campaign=act_formato_excel&amp;utm_content=act_formato_excel_link" xr:uid="{4217B63B-196B-47EE-8234-24E246FFD323}"/>
    <hyperlink ref="B1909" r:id="rId124" display="https://actualicese.com/modelo-para-tramitar-una-queja-ante-la-superintendencia-financiera-de-colombia/?referer=L-excel-formato&amp;utm_medium=act_formato_excel&amp;utm_source=act_formato_excel&amp;utm_campaign=act_formato_excel&amp;utm_content=act_formato_excel_link" xr:uid="{B18E3A89-B095-4403-92E5-5C25305B5304}"/>
    <hyperlink ref="B1911" r:id="rId125" display="https://actualicese.com/modelo-para-calcular-cuota-variable-de-un-credito-con-abonos-a-capital-iguales/?referer=L-excel-formato&amp;utm_medium=act_formato_excel&amp;utm_source=act_formato_excel&amp;utm_campaign=act_formato_excel&amp;utm_content=act_formato_excel_link" xr:uid="{182EC72A-74E0-4013-B60F-02F14A29DC01}"/>
    <hyperlink ref="B1913" r:id="rId126" display="https://actualicese.com/abonos-a-capital-realizados-a-un-prestamo-en-un-rango-de-tiempo/?referer=L-excel-formato&amp;utm_medium=act_formato_excel&amp;utm_source=act_formato_excel&amp;utm_campaign=act_formato_excel&amp;utm_content=act_formato_excel_link" xr:uid="{646097E0-5991-4EFF-A5B1-42DF5188775F}"/>
    <hyperlink ref="B1915" r:id="rId127" display="https://actualicese.com/calculo-de-intereses-pagados-por-un-prestamo-en-un-rango-de-tiempo-determinado/?referer=L-excel-formato&amp;utm_medium=act_formato_excel&amp;utm_source=act_formato_excel&amp;utm_campaign=act_formato_excel&amp;utm_content=act_formato_excel_link" xr:uid="{31741F5B-1878-4953-934F-4F7869BD6037}"/>
    <hyperlink ref="B1917" r:id="rId128" display="https://actualicese.com/numero-de-cuotas-o-pagos-de-un-proyecto-de-financiacion-o-inversion/?referer=L-excel-formato&amp;utm_medium=act_formato_excel&amp;utm_source=act_formato_excel&amp;utm_campaign=act_formato_excel&amp;utm_content=act_formato_excel_link" xr:uid="{77C6D53C-3EED-42D1-AD48-EF0326DC2D69}"/>
    <hyperlink ref="B1919" r:id="rId129" display="https://actualicese.com/modelo-para-calcular-cuota-variable-de-un-credito-con-abonos-a-capital-iguales/?referer=L-excel-formato&amp;utm_medium=act_formato_excel&amp;utm_source=act_formato_excel&amp;utm_campaign=act_formato_excel&amp;utm_content=act_formato_excel_link" xr:uid="{AF036798-602A-4427-8706-8F292056AED6}"/>
    <hyperlink ref="B1921" r:id="rId130" display="https://actualicese.com/calculadora-de-fechas/?referer=L-excel-formato&amp;utm_medium=act_formato_excel&amp;utm_source=act_formato_excel&amp;utm_campaign=act_formato_excel&amp;utm_content=act_formato_excel_link" xr:uid="{2553DF97-8EC8-4C88-9E67-EF5EB83AD02B}"/>
    <hyperlink ref="B1923" r:id="rId131" display="https://actualicese.com/solicitud-acuerdo-de-pago-para-saldar-obligacion-financiera/?referer=L-excel-formato&amp;utm_medium=act_formato_excel&amp;utm_source=act_formato_excel&amp;utm_campaign=act_formato_excel&amp;utm_content=act_formato_excel_link" xr:uid="{6294FC16-D723-4967-9E97-FD444EFFF6F9}"/>
    <hyperlink ref="B1925" r:id="rId132" display="https://actualicese.com/prestamo-para-vivienda-modalidad-de-cuota-fija-en-pesos/?referer=L-excel-formato&amp;utm_medium=act_formato_excel&amp;utm_source=act_formato_excel&amp;utm_campaign=act_formato_excel&amp;utm_content=act_formato_excel_link" xr:uid="{8090C68E-D20D-433D-B0A0-C196BBF5E9AB}"/>
    <hyperlink ref="B1927" r:id="rId133" display="https://actualicese.com/prestamo-para-vivienda-modalidad-de-cuota-fija-en-pesos/?referer=L-excel-formato&amp;utm_medium=act_formato_excel&amp;utm_source=act_formato_excel&amp;utm_campaign=act_formato_excel&amp;utm_content=act_formato_excel_link" xr:uid="{9D2BF74D-CA67-48B9-B565-619A1A465788}"/>
    <hyperlink ref="B1929" r:id="rId134" display="https://actualicese.com/formato-de-flujo-de-caja-real-y-presupuestado/?referer=L-excel-formato&amp;utm_medium=act_formato_excel&amp;utm_source=act_formato_excel&amp;utm_campaign=act_formato_excel&amp;utm_content=act_formato_excel_link" xr:uid="{AB6A70EA-066E-4280-B604-D8CB1E485A22}"/>
    <hyperlink ref="B1931" r:id="rId135" display="https://actualicese.com/casos-practicos-del-valor-patrimonial-de-los-vehiculos-en-la-declaracion-de-renta-de-personas-naturales/?referer=L-excel-formato&amp;utm_medium=act_formato_excel&amp;utm_source=act_formato_excel&amp;utm_campaign=act_formato_excel&amp;utm_content=act_formato_excel_link" xr:uid="{B4980B96-F875-4352-B536-67133C476C70}"/>
    <hyperlink ref="B1933" r:id="rId136" display="https://actualicese.com/modelo-para-elaborar-el-presupuesto-de-consumo-o-de-uso-de-materiales-costos-variables/?referer=L-excel-formato&amp;utm_medium=act_formato_excel&amp;utm_source=act_formato_excel&amp;utm_campaign=act_formato_excel&amp;utm_content=act_formato_excel_link" xr:uid="{E4395A3F-180E-42D1-8792-7119003B6309}"/>
    <hyperlink ref="B1935" r:id="rId137" display="https://actualicese.com/ejercicios-para-determinar-si-una-persona-natural-esta-obligada-a-presentar-renta-por-el-ag-2021/?referer=L-excel-formato&amp;utm_medium=act_formato_excel&amp;utm_source=act_formato_excel&amp;utm_campaign=act_formato_excel&amp;utm_content=act_formato_excel_link" xr:uid="{ED2132D9-9860-44CC-8CEE-74543EFACD38}"/>
    <hyperlink ref="B1937" r:id="rId138" display="https://actualicese.com/caso-practico-del-tratamiento-de-las-cesantias-en-la-declaracion-de-renta/?referer=L-excel-formato&amp;utm_medium=act_formato_excel&amp;utm_source=act_formato_excel&amp;utm_campaign=act_formato_excel&amp;utm_content=act_formato_excel_link" xr:uid="{CF2ED562-07EB-4ED9-B7BA-5C7A9579E157}"/>
    <hyperlink ref="B1939" r:id="rId139" display="https://actualicese.com/formato-de-quejas-y-reclamos/?referer=L-excel-formato&amp;utm_medium=act_formato_excel&amp;utm_source=act_formato_excel&amp;utm_campaign=act_formato_excel&amp;utm_content=act_formato_excel_link" xr:uid="{573A01EC-0B26-4463-BF18-A402A5E4338F}"/>
    <hyperlink ref="B1941" r:id="rId140" display="https://actualicese.com/formulario-160-ag-2022-para-la-declaracion-de-activos-en-el-exterior/?referer=L-excel-formato&amp;utm_medium=act_formato_excel&amp;utm_source=act_formato_excel&amp;utm_campaign=act_formato_excel&amp;utm_content=act_formato_excel_link" xr:uid="{3C6F964C-86F5-416A-B283-317BCB2B1A9F}"/>
    <hyperlink ref="B1943" r:id="rId141" display="https://actualicese.com/modelo-de-carta-para-notificar-vacaciones-a-empleados/?referer=L-excel-formato&amp;utm_medium=act_formato_excel&amp;utm_source=act_formato_excel&amp;utm_campaign=act_formato_excel&amp;utm_content=act_formato_excel_link" xr:uid="{C4AFF948-26BB-4D6E-991B-A1AEF573E6CB}"/>
    <hyperlink ref="B1945" r:id="rId142" display="https://actualicese.com/liquidador-de-sanciones-por-incumplir-con-la-obligacion-de-inscribirse-al-rut/?referer=L-excel-formato&amp;utm_medium=act_formato_excel&amp;utm_source=act_formato_excel&amp;utm_campaign=act_formato_excel&amp;utm_content=act_formato_excel_link" xr:uid="{A55F81C2-59B6-4103-975E-4671A22B6D80}"/>
    <hyperlink ref="B1947" r:id="rId143" display="https://actualicese.com/liquidador-de-sancion-por-inexactitud/?referer=L-excel-formato&amp;utm_medium=act_formato_excel&amp;utm_source=act_formato_excel&amp;utm_campaign=act_formato_excel&amp;utm_content=act_formato_excel_link" xr:uid="{882C3D63-87D5-4D7C-8537-59D98085F65B}"/>
    <hyperlink ref="B1949" r:id="rId144" display="https://actualicese.com/sancion-por-inexactitud-para-declarantes-de-ingresos-y-patrimonio-liquidador-en-excel/?referer=L-excel-formato&amp;utm_medium=act_formato_excel&amp;utm_source=act_formato_excel&amp;utm_campaign=act_formato_excel&amp;utm_content=act_formato_excel_link" xr:uid="{F15111E6-CB03-4D59-99A8-883936DE6BA4}"/>
    <hyperlink ref="B1951" r:id="rId145" display="https://actualicese.com/simulador-para-comparar-creditos-bancarios-con-tabla-de-amortizacion/?referer=L-excel-formato&amp;utm_medium=act_formato_excel&amp;utm_source=act_formato_excel&amp;utm_campaign=act_formato_excel&amp;utm_content=act_formato_excel_link" xr:uid="{C059B2BC-B405-4111-B9F3-E1905C6B3AF9}"/>
    <hyperlink ref="B1953" r:id="rId146" display="https://actualicese.com/casos-practicos-de-contabilizacion-de-sanciones-e-intereses-tributarios-a-la-dian/?referer=L-excel-formato&amp;utm_medium=act_formato_excel&amp;utm_source=act_formato_excel&amp;utm_campaign=act_formato_excel&amp;utm_content=act_formato_excel_link" xr:uid="{74FCA58A-0C23-4E5B-A8F9-02A955D78190}"/>
    <hyperlink ref="B1955" r:id="rId147" display="https://actualicese.com/liquidador-de-actualizacion-de-sanciones-tributarias/?referer=L-excel-formato&amp;utm_medium=act_formato_excel&amp;utm_source=act_formato_excel&amp;utm_campaign=act_formato_excel&amp;utm_content=act_formato_excel_link" xr:uid="{1E61E272-9BB5-4D5F-BC2D-E3A36B66653B}"/>
    <hyperlink ref="B1957" r:id="rId148" display="https://actualicese.com/caso-practico-de-impuesto-diferido-por-mejoras-en-propiedades-ajenas/?referer=L-excel-formato&amp;utm_medium=act_formato_excel&amp;utm_source=act_formato_excel&amp;utm_campaign=act_formato_excel&amp;utm_content=act_formato_excel_link" xr:uid="{CBF0AA38-0BC8-4BED-B2CD-BCCB8ED2C03C}"/>
    <hyperlink ref="B1959" r:id="rId149" display="https://actualicese.com/caso-practico-sobre-liquidacion-de-sucesion-iliquida-e-impuesto-de-ganancia-ocasional/?referer=L-excel-formato&amp;utm_medium=act_formato_excel&amp;utm_source=act_formato_excel&amp;utm_campaign=act_formato_excel&amp;utm_content=act_formato_excel_link" xr:uid="{D4456372-8EFD-490E-B150-44E873B09A82}"/>
    <hyperlink ref="B1961" r:id="rId150" display="https://actualicese.com/caso-practico-aportes-del-paef-en-la-declaracion-de-renta-de-personas-naturales/?referer=L-excel-formato&amp;utm_medium=act_formato_excel&amp;utm_source=act_formato_excel&amp;utm_campaign=act_formato_excel&amp;utm_content=act_formato_excel_link" xr:uid="{83AB18F0-A812-4D78-9747-38460E65B480}"/>
    <hyperlink ref="B1963" r:id="rId151" display="https://actualicese.com/liquidador-y-desprendible-de-nomina-basico-en-excel/?referer=L-excel-formato&amp;utm_medium=act_formato_excel&amp;utm_source=act_formato_excel&amp;utm_campaign=act_formato_excel&amp;utm_content=act_formato_excel_link" xr:uid="{A7442A34-D799-4DC8-B6AD-08920C784C0C}"/>
    <hyperlink ref="B1965" r:id="rId152" display="https://actualicese.com/casos-practicos-de-sancion-por-extemporaneidad-despues-de-emplazamiento/?referer=L-excel-formato&amp;utm_medium=act_formato_excel&amp;utm_source=act_formato_excel&amp;utm_campaign=act_formato_excel&amp;utm_content=act_formato_excel_link" xr:uid="{08C397FA-3048-4980-91EA-9BB5E1E7589D}"/>
    <hyperlink ref="B1967" r:id="rId153" display="https://actualicese.com/casos-practicos-de-contabilizacion-de-inventarios-en-pymes/?referer=L-excel-formato&amp;utm_medium=act_formato_excel&amp;utm_source=act_formato_excel&amp;utm_campaign=act_formato_excel&amp;utm_content=act_formato_excel_link" xr:uid="{7649F346-56D8-49C1-9AB4-ED2F82A845C2}"/>
    <hyperlink ref="B1969" r:id="rId154" display="https://actualicese.com/formato-en-excel-para-la-toma-de-inventario-fisico-con-macros/?referer=L-excel-formato&amp;utm_medium=act_formato_excel&amp;utm_source=act_formato_excel&amp;utm_campaign=act_formato_excel&amp;utm_content=act_formato_excel_link" xr:uid="{75BB7731-BD31-4852-A0FE-E397143535D8}"/>
    <hyperlink ref="B1971" r:id="rId155" display="https://actualicese.com/ejercicios-sobre-la-determinacion-de-la-renta-liquida-de-trabajo-cuando-hay-rentas-laborales-y-honorarios/?referer=L-excel-formato&amp;utm_medium=act_formato_excel&amp;utm_source=act_formato_excel&amp;utm_campaign=act_formato_excel&amp;utm_content=act_formato_excel_link" xr:uid="{CF11118B-01A8-4CF5-9581-E52031E13796}"/>
    <hyperlink ref="B1973" r:id="rId156" display="https://actualicese.com/formato-de-solicitud-de-permiso-compensatorio-por-votaciones/?referer=L-excel-formato&amp;utm_medium=act_formato_excel&amp;utm_source=act_formato_excel&amp;utm_campaign=act_formato_excel&amp;utm_content=act_formato_excel_link" xr:uid="{D560CF4B-A2BA-4345-B975-3F6A697D5E01}"/>
    <hyperlink ref="B1975" r:id="rId157" display="https://actualicese.com/plantilla-para-el-control-del-incremento-de-salario-de-empleados/?referer=L-excel-formato&amp;utm_medium=act_formato_excel&amp;utm_source=act_formato_excel&amp;utm_campaign=act_formato_excel&amp;utm_content=act_formato_excel_link" xr:uid="{8C251B6D-36E6-4037-BF1D-1A0B5325D413}"/>
    <hyperlink ref="B1977" r:id="rId158" display="https://actualicese.com/guias-laborales-para-notificaciones-por-parte-del-empleador/?referer=L-excel-formato&amp;utm_medium=act_formato_excel&amp;utm_source=act_formato_excel&amp;utm_campaign=act_formato_excel&amp;utm_content=act_formato_excel_link" xr:uid="{2774921A-CF25-47FD-9412-47545D64C30B}"/>
    <hyperlink ref="B1979" r:id="rId159" display="https://actualicese.com/plantilla-para-el-control-y-auditoria-del-gasto-de-servicios-publicos/?referer=L-excel-formato&amp;utm_medium=act_formato_excel&amp;utm_source=act_formato_excel&amp;utm_campaign=act_formato_excel&amp;utm_content=act_formato_excel_link" xr:uid="{CCEA51A9-46B0-4956-8797-A5495826F8CE}"/>
    <hyperlink ref="B1981" r:id="rId160" display="https://actualicese.com/casos-practicos-de-sancion-por-extemporaneidad-antes-de-emplazamiento/?referer=L-excel-formato&amp;utm_medium=act_formato_excel&amp;utm_source=act_formato_excel&amp;utm_campaign=act_formato_excel&amp;utm_content=act_formato_excel_link" xr:uid="{03B05008-EB5F-4F02-B0A9-8196A43D7C2C}"/>
    <hyperlink ref="B1983" r:id="rId161" display="https://actualicese.com/valor-patrimonial-de-acciones-y-aportes-en-la-declaracion-de-renta-de-personas-naturales-ag-2021/?referer=L-excel-formato&amp;utm_medium=act_formato_excel&amp;utm_source=act_formato_excel&amp;utm_campaign=act_formato_excel&amp;utm_content=act_formato_excel_link" xr:uid="{087B3B40-C013-4C38-B290-FEC4F4491338}"/>
    <hyperlink ref="B1985" r:id="rId162" display="https://actualicese.com/modelo-de-politica-de-desconexion-laboral/?referer=L-excel-formato&amp;utm_medium=act_formato_excel&amp;utm_source=act_formato_excel&amp;utm_campaign=act_formato_excel&amp;utm_content=act_formato_excel_link" xr:uid="{AA9F2BB9-1310-46DD-BF98-7DAB213FDA74}"/>
    <hyperlink ref="B1987" r:id="rId163" display="https://actualicese.com/acta-de-diligencia-de-descargos/?referer=L-excel-formato&amp;utm_medium=act_formato_excel&amp;utm_source=act_formato_excel&amp;utm_campaign=act_formato_excel&amp;utm_content=act_formato_excel_link" xr:uid="{4EC7939D-DA4C-47D8-8CEA-E57B45789A5A}"/>
    <hyperlink ref="B1989" r:id="rId164" display="https://actualicese.com/carta-de-recomendacion/?referer=L-excel-formato&amp;utm_medium=act_formato_excel&amp;utm_source=act_formato_excel&amp;utm_campaign=act_formato_excel&amp;utm_content=act_formato_excel_link" xr:uid="{0E209C64-FF23-4E3C-B94E-75B67711D26E}"/>
    <hyperlink ref="B1991" r:id="rId165" display="https://actualicese.com/carta-de-terminacion-del-contrato-por-dificultades-economicas-del-empleador/?referer=L-excel-formato&amp;utm_medium=act_formato_excel&amp;utm_source=act_formato_excel&amp;utm_campaign=act_formato_excel&amp;utm_content=act_formato_excel_link" xr:uid="{278EE9F7-90C0-4144-877C-15FFDD77E4EC}"/>
    <hyperlink ref="B1993" r:id="rId166" display="https://actualicese.com/notificacion-vacaciones-colectivas/?referer=L-excel-formato&amp;utm_medium=act_formato_excel&amp;utm_source=act_formato_excel&amp;utm_campaign=act_formato_excel&amp;utm_content=act_formato_excel_link" xr:uid="{431C7318-1886-410B-9F65-B166D8CD4FAF}"/>
    <hyperlink ref="B1995" r:id="rId167" display="https://actualicese.com/certificacion-para-notificar-al-empleado-examenes-medicos-de-egreso/?referer=L-excel-formato&amp;utm_medium=act_formato_excel&amp;utm_source=act_formato_excel&amp;utm_campaign=act_formato_excel&amp;utm_content=act_formato_excel_link" xr:uid="{D1F2A34A-B701-4A8A-B121-0CC3A4BF3A73}"/>
    <hyperlink ref="B1997" r:id="rId168" display="https://actualicese.com/certificado-de-practicas-realizadas-por-el-estudiante-o-pasante/?referer=L-excel-formato&amp;utm_medium=act_formato_excel&amp;utm_source=act_formato_excel&amp;utm_campaign=act_formato_excel&amp;utm_content=act_formato_excel_link" xr:uid="{55765EA2-58DA-4F18-8F34-D3E7DD3374BB}"/>
    <hyperlink ref="B1999" r:id="rId169" display="https://actualicese.com/carta-para-retiro-de-cesantias-por-terminacion-del-contrato-laboral/?referer=L-excel-formato&amp;utm_medium=act_formato_excel&amp;utm_source=act_formato_excel&amp;utm_campaign=act_formato_excel&amp;utm_content=act_formato_excel_link" xr:uid="{D7E556F5-81EB-48BB-83B0-0AA8AB7993B8}"/>
    <hyperlink ref="B2001" r:id="rId170" display="https://actualicese.com/casos-practicos-de-contabilizacion-de-ingresos-en-pymes-bajo-estandares-internacionales/?referer=L-excel-formato&amp;utm_medium=act_formato_excel&amp;utm_source=act_formato_excel&amp;utm_campaign=act_formato_excel&amp;utm_content=act_formato_excel_link" xr:uid="{F4E98599-4462-4AC1-A2CB-86231875A607}"/>
    <hyperlink ref="B2003" r:id="rId171" display="https://actualicese.com/diferencias-principales-en-el-impuesto-de-renta-ag-2021-para-personas-naturales-obligadas-y-no-obligadas-a-llevar-contabilidad/?referer=L-excel-formato&amp;utm_medium=act_formato_excel&amp;utm_source=act_formato_excel&amp;utm_campaign=act_formato_excel&amp;utm_content=act_formato_excel_link" xr:uid="{CE1C5E20-E80C-4E08-80A5-583D8A1E4AEE}"/>
    <hyperlink ref="B2005" r:id="rId172" display="https://actualicese.com/acuerdo-para-pago-de-auxilios-extralegales-o-no-salariales/?referer=L-excel-formato&amp;utm_medium=act_formato_excel&amp;utm_source=act_formato_excel&amp;utm_campaign=act_formato_excel&amp;utm_content=act_formato_excel_link" xr:uid="{845A0593-C34E-4942-AFA7-2E21DE3E412D}"/>
    <hyperlink ref="B2007" r:id="rId173" display="https://actualicese.com/carta-de-bienvenida-para-un-nuevo-trabajador/?referer=L-excel-formato&amp;utm_medium=act_formato_excel&amp;utm_source=act_formato_excel&amp;utm_campaign=act_formato_excel&amp;utm_content=act_formato_excel_link" xr:uid="{EBAE9C52-CFDE-4D31-9AE1-C8067121E6AE}"/>
    <hyperlink ref="B2009" r:id="rId174" display="https://actualicese.com/carta-deseando-felices-fiestas-a-empleados/?referer=L-excel-formato&amp;utm_medium=act_formato_excel&amp;utm_source=act_formato_excel&amp;utm_campaign=act_formato_excel&amp;utm_content=act_formato_excel_link" xr:uid="{CB575A96-C6DD-4E5D-8993-D46DAE40FA8D}"/>
    <hyperlink ref="B2011" r:id="rId175" display="https://actualicese.com/carta-para-invitar-al-empleado-a-disfrutar-del-dia-de-la-familia/?referer=L-excel-formato&amp;utm_medium=act_formato_excel&amp;utm_source=act_formato_excel&amp;utm_campaign=act_formato_excel&amp;utm_content=act_formato_excel_link" xr:uid="{4F2D73CC-5F8C-44B7-91B1-F34126D5E264}"/>
    <hyperlink ref="B2013" r:id="rId176" display="https://actualicese.com/control-de-disfrute-del-dia-de-la-familia-planilla-en-excel/?referer=L-excel-formato&amp;utm_medium=act_formato_excel&amp;utm_source=act_formato_excel&amp;utm_campaign=act_formato_excel&amp;utm_content=act_formato_excel_link" xr:uid="{6C5888E5-4410-446B-B16E-FA39A750E8DC}"/>
    <hyperlink ref="B2015" r:id="rId177" display="https://actualicese.com/guia-en-excel-sobre-tributacion-en-el-impuesto-de-renta-de-los-dividendos-y-participaciones-ag-2021/?referer=L-excel-formato&amp;utm_medium=act_formato_excel&amp;utm_source=act_formato_excel&amp;utm_campaign=act_formato_excel&amp;utm_content=act_formato_excel_link" xr:uid="{03F48782-D523-4AC5-8C6F-AE8707EC7DAC}"/>
    <hyperlink ref="B2017" r:id="rId178" display="https://actualicese.com/notificacion-a-empleado-de-la-reduccion-de-la-jornada-laboral/?referer=L-excel-formato&amp;utm_medium=act_formato_excel&amp;utm_source=act_formato_excel&amp;utm_campaign=act_formato_excel&amp;utm_content=act_formato_excel_link" xr:uid="{AFE316C6-04C7-49F6-98EB-3CF81AA7EE8F}"/>
    <hyperlink ref="B2019" r:id="rId179" display="https://actualicese.com/casos-practicos-de-liquidacion-de-intereses-moratorios-de-obligaciones-tributarias/?referer=L-excel-formato&amp;utm_medium=act_formato_excel&amp;utm_source=act_formato_excel&amp;utm_campaign=act_formato_excel&amp;utm_content=act_formato_excel_link" xr:uid="{974DBD5B-85DE-44A5-9361-88D26C239657}"/>
    <hyperlink ref="B2021" r:id="rId180" display="https://actualicese.com/utilidad-por-venta-de-activo-fijo-depreciable-que-sera-renta-por-recuperacion-de-deducciones/?referer=L-excel-formato&amp;utm_medium=act_formato_excel&amp;utm_source=act_formato_excel&amp;utm_campaign=act_formato_excel&amp;utm_content=act_formato_excel_link" xr:uid="{12BCA1FF-4BDB-4970-A88A-77B961A9FCE4}"/>
    <hyperlink ref="B2023" r:id="rId181" display="https://actualicese.com/caso-practico-de-liquidacion-de-nomina-en-junio-de-trabajador-que-devenga-el-salario-minimo-2022/?referer=L-excel-formato&amp;utm_medium=act_formato_excel&amp;utm_source=act_formato_excel&amp;utm_campaign=act_formato_excel&amp;utm_content=act_formato_excel_link" xr:uid="{DC5DB2DB-BA3F-4604-80ED-DEFEF7C364E3}"/>
    <hyperlink ref="B2025" r:id="rId182" display="https://actualicese.com/liquidador-de-sancion-por-no-presentar-la-conciliacion-fiscal/?referer=L-excel-formato&amp;utm_medium=act_formato_excel&amp;utm_source=act_formato_excel&amp;utm_campaign=act_formato_excel&amp;utm_content=act_formato_excel_link" xr:uid="{D3AA6C11-B88C-430A-9456-52C59D269E56}"/>
    <hyperlink ref="B2027" r:id="rId183" display="https://actualicese.com/retencion-en-la-fuente-sobre-prima-de-servicios-caso-practico/?referer=L-excel-formato&amp;utm_medium=act_formato_excel&amp;utm_source=act_formato_excel&amp;utm_campaign=act_formato_excel&amp;utm_content=act_formato_excel_link" xr:uid="{222CFD78-1E29-4FE1-A72D-EB5669C63F0D}"/>
    <hyperlink ref="B2029" r:id="rId184" display="https://actualicese.com/liquidador-casos-practicos-de-contabilizacion-de-donaciones/?referer=L-excel-formato&amp;utm_medium=act_formato_excel&amp;utm_source=act_formato_excel&amp;utm_campaign=act_formato_excel&amp;utm_content=act_formato_excel_link" xr:uid="{3DD7ACD6-E668-4ABC-93A0-509949EBB2AC}"/>
    <hyperlink ref="B2031" r:id="rId185" display="https://actualicese.com/liquidador-de-aportes-a-seguridad-social-durante-la-licencia-de-maternidad/?referer=L-excel-formato&amp;utm_medium=act_formato_excel&amp;utm_source=act_formato_excel&amp;utm_campaign=act_formato_excel&amp;utm_content=act_formato_excel_link" xr:uid="{3F61B29A-B240-44BB-9CEB-950B47C02CD8}"/>
    <hyperlink ref="B2033" r:id="rId186" display="https://actualicese.com/matriz-y-ejemplos-sobre-la-determinacion-de-la-residencia-fiscal-de-las-personas-naturales/?referer=L-excel-formato&amp;utm_medium=act_formato_excel&amp;utm_source=act_formato_excel&amp;utm_campaign=act_formato_excel&amp;utm_content=act_formato_excel_link" xr:uid="{3CBE7057-F4C6-4904-88D6-94CA7DBC307E}"/>
    <hyperlink ref="B2035" r:id="rId187" display="https://actualicese.com/liquidador-automatizado-de-la-prima-de-servicios-con-comprobante-de-pago/?referer=L-excel-formato&amp;utm_medium=act_formato_excel&amp;utm_source=act_formato_excel&amp;utm_campaign=act_formato_excel&amp;utm_content=act_formato_excel_link" xr:uid="{16C1CF6C-C125-422E-90B5-1B8E7FA24535}"/>
    <hyperlink ref="B2037" r:id="rId188" display="https://actualicese.com/sanciones-relacionadas-con-la-documentacion-comprobatoria/?referer=L-excel-formato&amp;utm_medium=act_formato_excel&amp;utm_source=act_formato_excel&amp;utm_campaign=act_formato_excel&amp;utm_content=act_formato_excel_link" xr:uid="{ABDE47C3-1479-45B0-85F9-FBB8A4298AB4}"/>
    <hyperlink ref="B2039" r:id="rId189" display="https://actualicese.com/sanciones-relacionadas-con-la-declaracion-informativa/?referer=L-excel-formato&amp;utm_medium=act_formato_excel&amp;utm_source=act_formato_excel&amp;utm_campaign=act_formato_excel&amp;utm_content=act_formato_excel_link" xr:uid="{E9A77449-9250-4A90-8451-F9FB102FD60C}"/>
    <hyperlink ref="B2041" r:id="rId190" display="https://actualicese.com/solicitud-de-acuerdo-de-pago-para-obligaciones-vencidas-ante-la-dian/?referer=L-excel-formato&amp;utm_medium=act_formato_excel&amp;utm_source=act_formato_excel&amp;utm_campaign=act_formato_excel&amp;utm_content=act_formato_excel_link" xr:uid="{3F7D2DC8-0662-403C-AC12-4768DA368247}"/>
    <hyperlink ref="B2043" r:id="rId191" display="https://actualicese.com/carta-para-solicitar-un-desembargo-de-bienes-ante-la-dian/?referer=L-excel-formato&amp;utm_medium=act_formato_excel&amp;utm_source=act_formato_excel&amp;utm_campaign=act_formato_excel&amp;utm_content=act_formato_excel_link" xr:uid="{E0977E44-91FB-4225-B162-10712426534A}"/>
    <hyperlink ref="B2045" r:id="rId192" display="https://actualicese.com/liquidador-de-nomina-de-empleados-de-servicio-domestico-que-laboran-por-dias/?referer=L-excel-formato&amp;utm_medium=act_formato_excel&amp;utm_source=act_formato_excel&amp;utm_campaign=act_formato_excel&amp;utm_content=act_formato_excel_link" xr:uid="{D7C1206C-EE96-4D87-8AE7-1F342D53B17B}"/>
    <hyperlink ref="B2047" r:id="rId193" display="https://actualicese.com/formato-de-estado-de-flujos-de-efectivo/?referer=L-excel-formato&amp;utm_medium=act_formato_excel&amp;utm_source=act_formato_excel&amp;utm_campaign=act_formato_excel&amp;utm_content=act_formato_excel_link" xr:uid="{109EEDB5-2BE1-45AF-830B-B5CAD478560F}"/>
    <hyperlink ref="B2049" r:id="rId194" display="https://actualicese.com/formato-de-cotizacion-comercial/?referer=L-excel-formato&amp;utm_medium=act_formato_excel&amp;utm_source=act_formato_excel&amp;utm_campaign=act_formato_excel&amp;utm_content=act_formato_excel_link" xr:uid="{F35D575C-DDB1-4617-9C36-480D41D34BAA}"/>
    <hyperlink ref="B2051" r:id="rId195" display="https://actualicese.com/caso-practico-de-contabilizacion-de-un-prestamo-bancario-en-pymes-y-microempresas/?referer=L-excel-formato&amp;utm_medium=act_formato_excel&amp;utm_source=act_formato_excel&amp;utm_campaign=act_formato_excel&amp;utm_content=act_formato_excel_link" xr:uid="{A538BDEE-7447-4CDB-BA6B-C291562ACF32}"/>
    <hyperlink ref="B2053" r:id="rId196" display="https://actualicese.com/casos-practicos-de-determinacion-del-valor-patrimonial-de-los-bienes-inmuebles-de-personas-naturales/?referer=L-excel-formato&amp;utm_medium=act_formato_excel&amp;utm_source=act_formato_excel&amp;utm_campaign=act_formato_excel&amp;utm_content=act_formato_excel_link" xr:uid="{1686C5C3-FCDB-40B8-A8DE-0A1E61F14208}"/>
    <hyperlink ref="B2055" r:id="rId197" display="https://actualicese.com/formatos-para-la-declaracion-de-renta-de-personas-naturales-2021/?referer=L-excel-formato&amp;utm_medium=act_formato_excel&amp;utm_source=act_formato_excel&amp;utm_campaign=act_formato_excel&amp;utm_content=act_formato_excel_link" xr:uid="{502EDAEE-5AFC-4FE5-9227-328DFE91D235}"/>
    <hyperlink ref="B2057" r:id="rId198" display="https://actualicese.com/carta-de-renuncia-de-revisor-fiscal/?referer=L-excel-formato&amp;utm_medium=act_formato_excel&amp;utm_source=act_formato_excel&amp;utm_campaign=act_formato_excel&amp;utm_content=act_formato_excel_link" xr:uid="{27B46427-E553-47D3-BF4E-D6DF99534FF6}"/>
    <hyperlink ref="B2059" r:id="rId199" display="https://actualicese.com/guia-de-muestra-de-auditoria-simple-y-aleatoria/?referer=L-excel-formato&amp;utm_medium=act_formato_excel&amp;utm_source=act_formato_excel&amp;utm_campaign=act_formato_excel&amp;utm_content=act_formato_excel_link" xr:uid="{2A8F3CAE-991F-4244-A97F-0AB767BE2CFC}"/>
    <hyperlink ref="B2061" r:id="rId200" display="https://actualicese.com/certificacion-revisor-fiscal-sobre-pagos-a-seguridad-social/?referer=L-excel-formato&amp;utm_medium=act_formato_excel&amp;utm_source=act_formato_excel&amp;utm_campaign=act_formato_excel&amp;utm_content=act_formato_excel_link" xr:uid="{73B17F1C-C646-4473-8D4E-DB61A772173D}"/>
    <hyperlink ref="B2063" r:id="rId201" display="https://actualicese.com/calendario-tributario-2022-version-para-imprimir/?referer=L-excel-formato&amp;utm_medium=act_formato_excel&amp;utm_source=act_formato_excel&amp;utm_campaign=act_formato_excel&amp;utm_content=act_formato_excel_link" xr:uid="{2AD26198-D983-4076-947E-2AAA01022BE7}"/>
    <hyperlink ref="B2065" r:id="rId202" display="https://actualicese.com/calendario-tributario-2022-version-en-excel/?referer=L-excel-formato&amp;utm_medium=act_formato_excel&amp;utm_source=act_formato_excel&amp;utm_campaign=act_formato_excel&amp;utm_content=act_formato_excel_link" xr:uid="{72FD14F9-3907-4D7C-BFEB-AE4488F8F916}"/>
    <hyperlink ref="B2067" r:id="rId203" display="https://actualicese.com/liquidador-de-topes-de-ingresos-para-presentar-formatos-de-conciliacion-fiscal-2516-y-2517/?referer=L-excel-formato&amp;utm_medium=act_formato_excel&amp;utm_source=act_formato_excel&amp;utm_campaign=act_formato_excel&amp;utm_content=act_formato_excel_link" xr:uid="{B309F380-1901-4045-A514-838BB096C0A9}"/>
    <hyperlink ref="B2069" r:id="rId204" display="https://actualicese.com/casos-practicos-sobre-aiu-calculo-del-iva-y-retencion-en-la-fuente-en-esta-figura/?referer=L-excel-formato&amp;utm_medium=act_formato_excel&amp;utm_source=act_formato_excel&amp;utm_campaign=act_formato_excel&amp;utm_content=act_formato_excel_link" xr:uid="{03BE77E3-E02F-4609-929F-D93DCC2336CF}"/>
    <hyperlink ref="B2071" r:id="rId205" display="https://actualicese.com/modelo-de-certificacion-del-tamano-de-una-empresa-en-colombia/?referer=L-excel-formato&amp;utm_medium=act_formato_excel&amp;utm_source=act_formato_excel&amp;utm_campaign=act_formato_excel&amp;utm_content=act_formato_excel_link" xr:uid="{3954AEF4-5447-4F69-9D6C-4A89BC8C0F9A}"/>
    <hyperlink ref="B2073" r:id="rId206" display="https://actualicese.com/renta-liquida-gravable-por-comparacion-patrimonial-calculos-para-su-determinacion/?referer=L-excel-formato&amp;utm_medium=act_formato_excel&amp;utm_source=act_formato_excel&amp;utm_campaign=act_formato_excel&amp;utm_content=act_formato_excel_link" xr:uid="{31F19EC7-00AA-4699-BF22-406959BA3899}"/>
    <hyperlink ref="B2075" r:id="rId207" display="https://actualicese.com/simulador-de-impuesto-de-renta-de-personas-naturales-honorarios-o-compensacion-de-servicios-personales/?referer=L-excel-formato&amp;utm_medium=act_formato_excel&amp;utm_source=act_formato_excel&amp;utm_campaign=act_formato_excel&amp;utm_content=act_formato_excel_link" xr:uid="{C4DDB8BC-80F4-49A4-9985-B84384E4BE6A}"/>
    <hyperlink ref="B2077" r:id="rId208" display="https://actualicese.com/modelo-de-convenio-de-practicas-estudiantiles-profesionales/?referer=L-excel-formato&amp;utm_medium=act_formato_excel&amp;utm_source=act_formato_excel&amp;utm_campaign=act_formato_excel&amp;utm_content=act_formato_excel_link" xr:uid="{5200CD82-5439-4444-B65A-1051A1ED9D54}"/>
    <hyperlink ref="B2079" r:id="rId209" display="https://actualicese.com/acta-de-reunion-de-junta-directiva/?referer=L-excel-formato&amp;utm_medium=act_formato_excel&amp;utm_source=act_formato_excel&amp;utm_campaign=act_formato_excel&amp;utm_content=act_formato_excel_link" xr:uid="{6AC06FCF-7DC7-44CA-8433-3F28D558665B}"/>
    <hyperlink ref="B2081" r:id="rId210" display="https://actualicese.com/modelo-de-contrato-de-prestacion-de-servicios-de-revisoria-fiscal/?referer=L-excel-formato&amp;utm_medium=act_formato_excel&amp;utm_source=act_formato_excel&amp;utm_campaign=act_formato_excel&amp;utm_content=act_formato_excel_link" xr:uid="{195458CA-8839-4E00-AB80-8388943C9CB7}"/>
    <hyperlink ref="B2083" r:id="rId211" display="https://actualicese.com/implicaciones-basicas-de-ser-residente-fiscal-frente-al-impuesto-de-renta-de-personas-naturales-ag-2021/?referer=L-excel-formato&amp;utm_medium=act_formato_excel&amp;utm_source=act_formato_excel&amp;utm_campaign=act_formato_excel&amp;utm_content=act_formato_excel_link" xr:uid="{E37EC5FC-FF27-45FB-98D7-020CEC366186}"/>
    <hyperlink ref="B2085" r:id="rId212" display="https://actualicese.com/listado-de-contribuyentes-inscritos-en-el-regimen-simple/?referer=L-excel-formato&amp;utm_medium=act_formato_excel&amp;utm_source=act_formato_excel&amp;utm_campaign=act_formato_excel&amp;utm_content=act_formato_excel_link" xr:uid="{B5B3D3D4-4541-40AA-82C1-85ED22E58B30}"/>
    <hyperlink ref="B2087" r:id="rId213" display="https://actualicese.com/plantilla-para-el-control-y-auditoria-del-gasto-de-celulares/?referer=L-excel-formato&amp;utm_medium=act_formato_excel&amp;utm_source=act_formato_excel&amp;utm_campaign=act_formato_excel&amp;utm_content=act_formato_excel_link" xr:uid="{D0D2AEBD-CD9F-4D16-AA1D-9D16FA0BC40B}"/>
    <hyperlink ref="B2089" r:id="rId214" display="https://actualicese.com/modelo-en-excel-del-documento-soporte-para-operaciones-con-no-obligados-a-facturar/?referer=L-excel-formato&amp;utm_medium=act_formato_excel&amp;utm_source=act_formato_excel&amp;utm_campaign=act_formato_excel&amp;utm_content=act_formato_excel_link" xr:uid="{F8339FBE-C780-4E71-9098-1AB80C61AC93}"/>
    <hyperlink ref="B2091" r:id="rId215" display="https://actualicese.com/casos-practicos-de-retencion-en-la-fuente-por-compras-servicios-y-honorarios/?referer=L-excel-formato&amp;utm_medium=act_formato_excel&amp;utm_source=act_formato_excel&amp;utm_campaign=act_formato_excel&amp;utm_content=act_formato_excel_link" xr:uid="{94C70E7C-CCCE-436F-87DE-0C3EF8C6BEAE}"/>
    <hyperlink ref="B2093" r:id="rId216" display="https://actualicese.com/liquidador-de-porcentaje-fijo-de-retencion-en-la-fuente-sobre-salarios-en-junio-de-2022-procedimiento-2/?referer=L-excel-formato&amp;utm_medium=act_formato_excel&amp;utm_source=act_formato_excel&amp;utm_campaign=act_formato_excel&amp;utm_content=act_formato_excel_link" xr:uid="{8EDE83E4-7FB7-4765-B1C3-1361F621B599}"/>
    <hyperlink ref="B2095" r:id="rId217" display="https://actualicese.com/formatos-para-elaborar-contratos-de-trabajo/?referer=L-excel-formato&amp;utm_medium=act_formato_excel&amp;utm_source=act_formato_excel&amp;utm_campaign=act_formato_excel&amp;utm_content=act_formato_excel_link" xr:uid="{2C98C015-8102-4266-AE97-B9AF4C99AFEF}"/>
    <hyperlink ref="B2097" r:id="rId218" display="https://actualicese.com/modelo-de-solicitud-de-permiso-para-autorizar-el-trabajo-en-horas-extra/?referer=L-excel-formato&amp;utm_medium=act_formato_excel&amp;utm_source=act_formato_excel&amp;utm_campaign=act_formato_excel&amp;utm_content=act_formato_excel_link" xr:uid="{848B11A4-B3A1-4B7B-B525-422CDF682E71}"/>
    <hyperlink ref="B2099" r:id="rId219" display="https://actualicese.com/contrato-de-aprendizaje/?referer=L-excel-formato&amp;utm_medium=act_formato_excel&amp;utm_source=act_formato_excel&amp;utm_campaign=act_formato_excel&amp;utm_content=act_formato_excel_link" xr:uid="{AC9BAF1C-33E5-45D8-9BEA-4293510C8F8F}"/>
    <hyperlink ref="B2101" r:id="rId220" display="https://actualicese.com/modelos-y-formatos-acuerdo-de-confidencialidad/?referer=L-excel-formato&amp;utm_medium=act_formato_excel&amp;utm_source=act_formato_excel&amp;utm_campaign=act_formato_excel&amp;utm_content=act_formato_excel_link" xr:uid="{B64CFFB7-BFEC-415D-AA71-F9BD61B01FF4}"/>
    <hyperlink ref="B2103" r:id="rId221" display="https://actualicese.com/contrato-de-trabajo-de-servicio-domestico-al-dia/?referer=L-excel-formato&amp;utm_medium=act_formato_excel&amp;utm_source=act_formato_excel&amp;utm_campaign=act_formato_excel&amp;utm_content=act_formato_excel_link" xr:uid="{06791EDE-F3FC-4316-8042-623B1CFC2479}"/>
    <hyperlink ref="B2105" r:id="rId222" display="https://actualicese.com/carta-de-terminacion-del-contrato-a-termino-fijo-por-vencimiento-de-terminos/?referer=L-excel-formato&amp;utm_medium=act_formato_excel&amp;utm_source=act_formato_excel&amp;utm_campaign=act_formato_excel&amp;utm_content=act_formato_excel_link" xr:uid="{FB61BC09-1BAF-4C43-95F8-D56E5AD4E730}"/>
    <hyperlink ref="B2107" r:id="rId223" display="https://actualicese.com/contrato-individual-de-trabajo-con-salario-integral-termino-fijo-e-indefinido/?referer=L-excel-formato&amp;utm_medium=act_formato_excel&amp;utm_source=act_formato_excel&amp;utm_campaign=act_formato_excel&amp;utm_content=act_formato_excel_link" xr:uid="{9FCB06FC-FC09-470D-8D42-6F449C55EDC6}"/>
    <hyperlink ref="B2109" r:id="rId224" display="https://actualicese.com/contrato-individual-de-obra/?referer=L-excel-formato&amp;utm_medium=act_formato_excel&amp;utm_source=act_formato_excel&amp;utm_campaign=act_formato_excel&amp;utm_content=act_formato_excel_link" xr:uid="{37C6FDF6-DAAC-4314-A8D1-A45349A601DB}"/>
    <hyperlink ref="B2111" r:id="rId225" display="https://actualicese.com/acuerdo-de-suspension-temporal-de-contrato/?referer=L-excel-formato&amp;utm_medium=act_formato_excel&amp;utm_source=act_formato_excel&amp;utm_campaign=act_formato_excel&amp;utm_content=act_formato_excel_link" xr:uid="{69F19B30-9915-4658-BAFF-D743E5349082}"/>
    <hyperlink ref="B2113" r:id="rId226" display="https://actualicese.com/contrato-de-trabajo-a-termino-indefinido-con-menor-de-edad/?referer=L-excel-formato&amp;utm_medium=act_formato_excel&amp;utm_source=act_formato_excel&amp;utm_campaign=act_formato_excel&amp;utm_content=act_formato_excel_link" xr:uid="{6354E600-3164-4A73-A152-5F273CCC3574}"/>
    <hyperlink ref="B2115" r:id="rId227" display="https://actualicese.com/depuracion-del-impuesto-de-ganancias-ocasionales-bajo-los-4-escenarios-posibles-casos-practicos-en-excel/?referer=L-excel-formato&amp;utm_medium=act_formato_excel&amp;utm_source=act_formato_excel&amp;utm_campaign=act_formato_excel&amp;utm_content=act_formato_excel_link" xr:uid="{8D4721B7-F30C-415A-ADBC-FBEBAECC58F9}"/>
    <hyperlink ref="B2117" r:id="rId228" display="https://actualicese.com/simulador-del-beneficio-de-auditoria-para-2021-2022-y-2023-con-las-novedades-de-la-ley-de-inversion-social/?referer=L-excel-formato&amp;utm_medium=act_formato_excel&amp;utm_source=act_formato_excel&amp;utm_campaign=act_formato_excel&amp;utm_content=act_formato_excel_link" xr:uid="{D2433B85-114E-4C01-87D8-35375C47B448}"/>
    <hyperlink ref="B2119" r:id="rId229" display="https://actualicese.com/formulario-110-y-formato-2516-ag-2021-declaracion-de-renta-de-personas-naturales-no-residentes-que-llevan-contabilidad/?referer=L-excel-formato&amp;utm_medium=act_formato_excel&amp;utm_source=act_formato_excel&amp;utm_campaign=act_formato_excel&amp;utm_content=act_formato_excel_link" xr:uid="{54A878DC-84B7-43AA-A590-F5FE30D6769D}"/>
    <hyperlink ref="B2121" r:id="rId230" display="https://actualicese.com/liquidador-del-componente-inflacionario-de-los-rendimientos-o-costos-financieros/?referer=L-excel-formato&amp;utm_medium=act_formato_excel&amp;utm_source=act_formato_excel&amp;utm_campaign=act_formato_excel&amp;utm_content=act_formato_excel_link" xr:uid="{D979D00E-DA76-4049-B5A5-2C6D0C059110}"/>
    <hyperlink ref="B2123" r:id="rId231" display="https://actualicese.com/caso-practico-de-descuento-por-pronto-pago-en-pymes-y-microempresas/?referer=L-excel-formato&amp;utm_medium=act_formato_excel&amp;utm_source=act_formato_excel&amp;utm_campaign=act_formato_excel&amp;utm_content=act_formato_excel_link" xr:uid="{EE550A95-06B2-411D-A8E7-B7EAE6ABAC94}"/>
    <hyperlink ref="B2125" r:id="rId232" display="https://actualicese.com/declaracion-de-renta-de-personas-naturales-documentos-necesarios-para-su-elaboracion/?referer=L-excel-formato&amp;utm_medium=act_formato_excel&amp;utm_source=act_formato_excel&amp;utm_campaign=act_formato_excel&amp;utm_content=act_formato_excel_link" xr:uid="{C710D422-C047-4109-836E-C3564141A7CB}"/>
    <hyperlink ref="B2127" r:id="rId233" display="https://actualicese.com/cuestionario-de-excel-para-definir-si-una-persona-natural-es-residente-fiscal-en-colombia/?referer=L-excel-formato&amp;utm_medium=act_formato_excel&amp;utm_source=act_formato_excel&amp;utm_campaign=act_formato_excel&amp;utm_content=act_formato_excel_link" xr:uid="{3502907C-6715-4D8E-8DFF-45DD8B43F29E}"/>
    <hyperlink ref="B2129" r:id="rId234" display="https://actualicese.com/normas-del-impuesto-de-renta-de-personas-naturales-que-sufrieron-cambios-para-el-ag-2021/?referer=L-excel-formato&amp;utm_medium=act_formato_excel&amp;utm_source=act_formato_excel&amp;utm_campaign=act_formato_excel&amp;utm_content=act_formato_excel_link" xr:uid="{5B86862C-FF97-4B33-A243-45014B497342}"/>
    <hyperlink ref="B2131" r:id="rId235" display="https://actualicese.com/lista-de-documentos-para-la-terminacion-laboral-cuando-el-trabajador-se-retira/?referer=L-excel-formato&amp;utm_medium=act_formato_excel&amp;utm_source=act_formato_excel&amp;utm_campaign=act_formato_excel&amp;utm_content=act_formato_excel_link" xr:uid="{A3796658-01BD-4FF0-886B-AD8A513E9D6C}"/>
    <hyperlink ref="B2133" r:id="rId236" display="https://actualicese.com/modelo-de-comunicacion-para-la-habilitacion-del-trabajo-en-casa/?referer=L-excel-formato&amp;utm_medium=act_formato_excel&amp;utm_source=act_formato_excel&amp;utm_campaign=act_formato_excel&amp;utm_content=act_formato_excel_link" xr:uid="{19A6BE15-A0AF-42A5-BEC3-8C5DFA841EB1}"/>
    <hyperlink ref="B2135" r:id="rId237" display="https://actualicese.com/formulario-110-ag-2021-declaracion-de-renta-de-personas-naturales-no-residentes-que-no-llevan-contabilidad/?referer=L-excel-formato&amp;utm_medium=act_formato_excel&amp;utm_source=act_formato_excel&amp;utm_campaign=act_formato_excel&amp;utm_content=act_formato_excel_link" xr:uid="{CB10D825-A792-4757-8ECB-E85D272F3E66}"/>
    <hyperlink ref="B2137" r:id="rId238" display="https://actualicese.com/modelo-de-contrato-laboral-de-servicio-domestico/?referer=L-excel-formato&amp;utm_medium=act_formato_excel&amp;utm_source=act_formato_excel&amp;utm_campaign=act_formato_excel&amp;utm_content=act_formato_excel_link" xr:uid="{A1E3F837-2721-4755-8E25-4DDA79319EEB}"/>
    <hyperlink ref="B2139" r:id="rId239" display="https://actualicese.com/contrato-de-trabajo-a-termino-indefinido-de-auxiliar-contable/?referer=L-excel-formato&amp;utm_medium=act_formato_excel&amp;utm_source=act_formato_excel&amp;utm_campaign=act_formato_excel&amp;utm_content=act_formato_excel_link" xr:uid="{D2178E6D-1040-48EA-85BC-40F817F5547D}"/>
    <hyperlink ref="B2141" r:id="rId240" display="https://actualicese.com/formulario-210-y-formato-2517-para-la-declaracion-de-renta-ag-2021-residentes-que-llevan-contabilidad/?referer=L-excel-formato&amp;utm_medium=act_formato_excel&amp;utm_source=act_formato_excel&amp;utm_campaign=act_formato_excel&amp;utm_content=act_formato_excel_link" xr:uid="{25A00BC7-0B09-483F-ACEA-EC1C863DD2B8}"/>
    <hyperlink ref="B2143" r:id="rId241" display="https://actualicese.com/liquidador-para-la-clasificacion-de-empresas-en-colombia-segun-sus-ingresos-y-sector-economico/?referer=L-excel-formato&amp;utm_medium=act_formato_excel&amp;utm_source=act_formato_excel&amp;utm_campaign=act_formato_excel&amp;utm_content=act_formato_excel_link" xr:uid="{0BBE7D43-B09C-476E-BDD1-DF4AE8B666E9}"/>
    <hyperlink ref="B2145" r:id="rId242" display="https://actualicese.com/liquidador-de-sancion-por-correccion-presentada-por-el-contribuyente/?referer=L-excel-formato&amp;utm_medium=act_formato_excel&amp;utm_source=act_formato_excel&amp;utm_campaign=act_formato_excel&amp;utm_content=act_formato_excel_link" xr:uid="{9E3C7CE5-A437-4A3F-8E55-73A0DA5A8504}"/>
    <hyperlink ref="B2147" r:id="rId243" display="https://actualicese.com/10-simuladores-de-sanciones-por-no-declarar/?referer=L-excel-formato&amp;utm_medium=act_formato_excel&amp;utm_source=act_formato_excel&amp;utm_campaign=act_formato_excel&amp;utm_content=act_formato_excel_link" xr:uid="{32C33DF5-A26B-4A7A-8E6B-043EEFA5F6A8}"/>
    <hyperlink ref="B2149" r:id="rId244" display="https://actualicese.com/caso-practico-de-criptoactivos-de-una-persona-natural-en-la-declaracion-de-renta-ag-2021/?referer=L-excel-formato&amp;utm_medium=act_formato_excel&amp;utm_source=act_formato_excel&amp;utm_campaign=act_formato_excel&amp;utm_content=act_formato_excel_link" xr:uid="{ED49C8FF-8709-4355-88C0-DAF9A34326BC}"/>
    <hyperlink ref="B2151" r:id="rId245" display="https://actualicese.com/comparativo-de-normas-del-dut-1625-de-2016-relacionadas-con-el-rut-y-afectadas-por-el-decreto-678-de-2022/?referer=L-excel-formato&amp;utm_medium=act_formato_excel&amp;utm_source=act_formato_excel&amp;utm_campaign=act_formato_excel&amp;utm_content=act_formato_excel_link" xr:uid="{DB7A9582-0200-4D52-86BB-2EAF5A521520}"/>
    <hyperlink ref="B2153" r:id="rId246" display="https://actualicese.com/modelo-de-contrato-de-trabajo-remoto/?referer=L-excel-formato&amp;utm_medium=act_formato_excel&amp;utm_source=act_formato_excel&amp;utm_campaign=act_formato_excel&amp;utm_content=act_formato_excel_link" xr:uid="{B3CBC9F8-211D-4C61-B8D7-97150E6FD0F7}"/>
    <hyperlink ref="B2155" r:id="rId247" display="https://actualicese.com/simulador-para-el-calculo-del-limite-del-descuento-por-impuestos-pagados-en-el-exterior-en-el-formulario-210/?referer=L-excel-formato&amp;utm_medium=act_formato_excel&amp;utm_source=act_formato_excel&amp;utm_campaign=act_formato_excel&amp;utm_content=act_formato_excel_link" xr:uid="{379BD722-6916-49C9-BBB6-A6BF0D20EEFB}"/>
    <hyperlink ref="B2157" r:id="rId248" display="https://actualicese.com/caso-practico-de-liquidacion-de-un-trabajador-domestico-que-devenga-el-salario-minimo-en-2022/?referer=L-excel-formato&amp;utm_medium=act_formato_excel&amp;utm_source=act_formato_excel&amp;utm_campaign=act_formato_excel&amp;utm_content=act_formato_excel_link" xr:uid="{0FAB3AD8-1808-47C5-B388-142F9A243C1B}"/>
    <hyperlink ref="B2159" r:id="rId249" display="https://actualicese.com/simulador-del-impuesto-para-dividendos-y-participaciones-gravados-de-2016-y-anteriores/?referer=L-excel-formato&amp;utm_medium=act_formato_excel&amp;utm_source=act_formato_excel&amp;utm_campaign=act_formato_excel&amp;utm_content=act_formato_excel_link" xr:uid="{7FDC6D9B-86A3-4EEB-A575-7EBA30521127}"/>
    <hyperlink ref="B2161" r:id="rId250" display="https://actualicese.com/ejercicio-en-excel-de-depreciacion-en-linea-recta-segun-la-limitacion-del-articulo-137-del-et/?referer=L-excel-formato&amp;utm_medium=act_formato_excel&amp;utm_source=act_formato_excel&amp;utm_campaign=act_formato_excel&amp;utm_content=act_formato_excel_link" xr:uid="{1CC1DFF9-BB0F-49A7-BA4F-36642569A510}"/>
    <hyperlink ref="B2163" r:id="rId251" display="https://actualicese.com/excel-del-formulario-2593-ag-2022-declaracion-de-anticipos-bimestrales-regimen-simple/?referer=L-excel-formato&amp;utm_medium=act_formato_excel&amp;utm_source=act_formato_excel&amp;utm_campaign=act_formato_excel&amp;utm_content=act_formato_excel_link" xr:uid="{396FEDD3-1EF9-47B4-AA5E-1F79CD7D095C}"/>
    <hyperlink ref="B2165" r:id="rId252" display="https://actualicese.com/citacion-a-descargos-en-la-propiedad-horizontal/?referer=L-excel-formato&amp;utm_medium=act_formato_excel&amp;utm_source=act_formato_excel&amp;utm_campaign=act_formato_excel&amp;utm_content=act_formato_excel_link" xr:uid="{EEA37363-105B-4C96-B1A4-6487F0C730F1}"/>
    <hyperlink ref="B2167" r:id="rId253" display="https://actualicese.com/notificacion-de-sancion-disciplinaria/?referer=L-excel-formato&amp;utm_medium=act_formato_excel&amp;utm_source=act_formato_excel&amp;utm_campaign=act_formato_excel&amp;utm_content=act_formato_excel_link" xr:uid="{7F65EF84-94CA-4A37-B327-7103293D66E4}"/>
    <hyperlink ref="B2169" r:id="rId254" display="https://actualicese.com/lista-de-chequeo-de-documentos-para-contratacion-laboral-a-solicitar-al-trabajador/?referer=L-excel-formato&amp;utm_medium=act_formato_excel&amp;utm_source=act_formato_excel&amp;utm_campaign=act_formato_excel&amp;utm_content=act_formato_excel_link" xr:uid="{E3809E90-24E9-409C-8D05-C93CA655AC9B}"/>
    <hyperlink ref="B2171" r:id="rId255" display="https://actualicese.com/prestacion-del-servicio-de-auditoria-externa/?referer=L-excel-formato&amp;utm_medium=act_formato_excel&amp;utm_source=act_formato_excel&amp;utm_campaign=act_formato_excel&amp;utm_content=act_formato_excel_link" xr:uid="{DF5B28C1-37A1-41AE-A4D1-C9629C69FDBE}"/>
    <hyperlink ref="B2173" r:id="rId256" display="https://actualicese.com/matriz-de-caracteristicas-basicas-de-la-depuracion-de-las-3-cedulas-del-formulario-210-ag-2021/?referer=L-excel-formato&amp;utm_medium=act_formato_excel&amp;utm_source=act_formato_excel&amp;utm_campaign=act_formato_excel&amp;utm_content=act_formato_excel_link" xr:uid="{F0141C82-153A-4216-A054-E648FFF659FE}"/>
    <hyperlink ref="B2175" r:id="rId257" display="https://actualicese.com/modelo-para-el-incremento-anual-del-arrendamiento-comercial/?referer=L-excel-formato&amp;utm_medium=act_formato_excel&amp;utm_source=act_formato_excel&amp;utm_campaign=act_formato_excel&amp;utm_content=act_formato_excel_link" xr:uid="{96F94968-9AA8-438D-B78F-8902AF14329A}"/>
    <hyperlink ref="B2177" r:id="rId258" display="https://actualicese.com/liquidador-para-determinar-la-periodicidad-del-iva/?referer=L-excel-formato&amp;utm_medium=act_formato_excel&amp;utm_source=act_formato_excel&amp;utm_campaign=act_formato_excel&amp;utm_content=act_formato_excel_link" xr:uid="{79F25C49-EF48-4A6C-9823-7D4A54969006}"/>
    <hyperlink ref="B2179" r:id="rId259" display="https://actualicese.com/simulador-renta-liquida-de-la-cedula-general-y-distribucion-de-rentas-exentas-y-deducciones-limitadas/?referer=L-excel-formato&amp;utm_medium=act_formato_excel&amp;utm_source=act_formato_excel&amp;utm_campaign=act_formato_excel&amp;utm_content=act_formato_excel_link" xr:uid="{AD50DA07-25D1-4391-92C6-D00EBDE4AD50}"/>
    <hyperlink ref="B2181" r:id="rId260" display="https://actualicese.com/simulador-del-impuesto-para-dividendos-y-participaciones-no-gravados-de-2017-y-siguientes/?referer=L-excel-formato&amp;utm_medium=act_formato_excel&amp;utm_source=act_formato_excel&amp;utm_campaign=act_formato_excel&amp;utm_content=act_formato_excel_link" xr:uid="{13A7546F-0C21-44F1-BDB4-027ADDF74A4A}"/>
    <hyperlink ref="B2183" r:id="rId261" display="https://actualicese.com/simulador-para-que-independientes-decidan-si-restan-costos-o-gastos-o-renta-exenta-del-25/?referer=L-excel-formato&amp;utm_medium=act_formato_excel&amp;utm_source=act_formato_excel&amp;utm_campaign=act_formato_excel&amp;utm_content=act_formato_excel_link" xr:uid="{518E8C04-0FB0-4A0C-857A-5F7EB05DAD96}"/>
    <hyperlink ref="B2185" r:id="rId262" display="https://actualicese.com/caso-practico-de-contabilizacion-de-devoluciones-en-ventas/?referer=L-excel-formato&amp;utm_medium=act_formato_excel&amp;utm_source=act_formato_excel&amp;utm_campaign=act_formato_excel&amp;utm_content=act_formato_excel_link" xr:uid="{A29BE9C4-1B31-49D4-8749-6C8C13446000}"/>
    <hyperlink ref="B2187" r:id="rId263" display="https://actualicese.com/certificado-de-dependientes-para-efectos-de-deduccion-en-la-declaracion-de-renta/?referer=L-excel-formato&amp;utm_medium=act_formato_excel&amp;utm_source=act_formato_excel&amp;utm_campaign=act_formato_excel&amp;utm_content=act_formato_excel_link" xr:uid="{03BA9B82-D486-441F-9A59-E6D4F969F2C0}"/>
    <hyperlink ref="B2189" r:id="rId264" display="https://actualicese.com/ejemplo-de-la-depuracion-de-la-seccion-de-rentas-de-capital-del-formulario-210/?referer=L-excel-formato&amp;utm_medium=act_formato_excel&amp;utm_source=act_formato_excel&amp;utm_campaign=act_formato_excel&amp;utm_content=act_formato_excel_link" xr:uid="{3766379A-7E7F-4F8D-8E86-F747F642A09A}"/>
    <hyperlink ref="B2191" r:id="rId265" display="https://actualicese.com/carta-para-autorizar-descuento-en-salario-por-libranza/?referer=L-excel-formato&amp;utm_medium=act_formato_excel&amp;utm_source=act_formato_excel&amp;utm_campaign=act_formato_excel&amp;utm_content=act_formato_excel_link" xr:uid="{623BD8D0-BDDC-492C-8C80-F83EEFCE34BA}"/>
    <hyperlink ref="B2193" r:id="rId266" display="https://actualicese.com/derecho-de-peticion-para-solicitar-certificado-laboral/?referer=L-excel-formato&amp;utm_medium=act_formato_excel&amp;utm_source=act_formato_excel&amp;utm_campaign=act_formato_excel&amp;utm_content=act_formato_excel_link" xr:uid="{72D96BFD-2B8C-4B71-9AA7-9754CD14C085}"/>
    <hyperlink ref="B2195" r:id="rId267" display="https://actualicese.com/simulador-del-impuesto-para-dividendos-y-participaciones-gravados-de-2017-y-siguientes/?referer=L-excel-formato&amp;utm_medium=act_formato_excel&amp;utm_source=act_formato_excel&amp;utm_campaign=act_formato_excel&amp;utm_content=act_formato_excel_link" xr:uid="{53731BDE-F8DC-4AF8-B879-2BE85C543B0F}"/>
    <hyperlink ref="B2197" r:id="rId268" display="https://actualicese.com/determinacion-de-ganancia-ocasional-gravable-de-una-persona-natural-residente-caso-practico-en-excel/?referer=L-excel-formato&amp;utm_medium=act_formato_excel&amp;utm_source=act_formato_excel&amp;utm_campaign=act_formato_excel&amp;utm_content=act_formato_excel_link" xr:uid="{E685F133-00C3-4659-9610-204145642C5B}"/>
    <hyperlink ref="B2199" r:id="rId269" display="https://actualicese.com/aplicacion-del-impuesto-a-los-dividendos-recibidos-por-personas-naturales-caso-practico-en-excel/?referer=L-excel-formato&amp;utm_medium=act_formato_excel&amp;utm_source=act_formato_excel&amp;utm_campaign=act_formato_excel&amp;utm_content=act_formato_excel_link" xr:uid="{0FEDC02C-1C26-4215-A566-CBB8D7BD74EB}"/>
    <hyperlink ref="B2201" r:id="rId270" display="https://actualicese.com/caso-practico-de-determinacion-de-la-renta-liquida-cedular-por-pensiones-del-exterior/?referer=L-excel-formato&amp;utm_medium=act_formato_excel&amp;utm_source=act_formato_excel&amp;utm_campaign=act_formato_excel&amp;utm_content=act_formato_excel_link" xr:uid="{330E560E-4988-45F7-83D4-7D1A650AA744}"/>
    <hyperlink ref="B2203" r:id="rId271" display="https://actualicese.com/depuracion-de-la-seccion-de-rentas-no-laborales-del-formulario-210-caso-practico-en-excel/?referer=L-excel-formato&amp;utm_medium=act_formato_excel&amp;utm_source=act_formato_excel&amp;utm_campaign=act_formato_excel&amp;utm_content=act_formato_excel_link" xr:uid="{B4D881EF-E9BF-41B7-A604-C391FF2D468B}"/>
    <hyperlink ref="B2205" r:id="rId272" display="https://actualicese.com/contrato-modelo-contrato-a-termino-indefinido-de-trabajo/?referer=L-excel-formato&amp;utm_medium=act_formato_excel&amp;utm_source=act_formato_excel&amp;utm_campaign=act_formato_excel&amp;utm_content=act_formato_excel_link" xr:uid="{C52D9FDD-352D-48A8-80A5-0543A18BAC4A}"/>
    <hyperlink ref="B2207" r:id="rId273" display="https://actualicese.com/contrato-individual-de-trabajo-a-termino-fijo/?referer=L-excel-formato&amp;utm_medium=act_formato_excel&amp;utm_source=act_formato_excel&amp;utm_campaign=act_formato_excel&amp;utm_content=act_formato_excel_link" xr:uid="{94BBE473-9595-423E-87AC-B90348A7E9E4}"/>
    <hyperlink ref="B2209" r:id="rId274" display="https://actualicese.com/tratamiento-del-ica-como-descuento-o-deduccion-para-personas-naturales-caso-practico-en-excel/?referer=L-excel-formato&amp;utm_medium=act_formato_excel&amp;utm_source=act_formato_excel&amp;utm_campaign=act_formato_excel&amp;utm_content=act_formato_excel_link" xr:uid="{EE89C9AB-33CF-47C9-9B5A-20C75F6632CB}"/>
    <hyperlink ref="B2211" r:id="rId275" display="https://actualicese.com/formulario-260-ag-2021-declaracion-anual-del-regimen-simple-personas-naturales-que-no-llevan-contabilidad/?referer=L-excel-formato&amp;utm_medium=act_formato_excel&amp;utm_source=act_formato_excel&amp;utm_campaign=act_formato_excel&amp;utm_content=act_formato_excel_link" xr:uid="{AE4B7E48-5038-4EE6-98B0-B2C7F86EDBEA}"/>
    <hyperlink ref="B2213" r:id="rId276" display="https://actualicese.com/formulario-260-ag-2021-declaracion-anual-regimen-simple-personas-naturales-y-juridicas-que-llevan-contabilidad/?referer=L-excel-formato&amp;utm_medium=act_formato_excel&amp;utm_source=act_formato_excel&amp;utm_campaign=act_formato_excel&amp;utm_content=act_formato_excel_link" xr:uid="{123F20A5-E022-465A-BECB-AF2F85104E40}"/>
    <hyperlink ref="B2215" r:id="rId277" display="https://actualicese.com/certificado-de-no-declarante-del-impuesto-de-renta-y-complementario-2021/?referer=L-excel-formato&amp;utm_medium=act_formato_excel&amp;utm_source=act_formato_excel&amp;utm_campaign=act_formato_excel&amp;utm_content=act_formato_excel_link" xr:uid="{2755F537-D765-4917-A534-BB83FA8C345C}"/>
    <hyperlink ref="B2217" r:id="rId278" display="https://actualicese.com/pack-de-formatos-formatos-para-elaborar-la-declaracion-de-renta-de-personas-juridicas/?referer=L-excel-formato&amp;utm_medium=act_formato_excel&amp;utm_source=act_formato_excel&amp;utm_campaign=act_formato_excel&amp;utm_content=act_formato_excel_link" xr:uid="{9BAB36C8-9563-41CB-B267-5E62B74BEA03}"/>
    <hyperlink ref="B2219" r:id="rId279" display="https://actualicese.com/matriz-de-categorias-para-el-reporte-de-informacion-exogena-y-los-formatos-para-el-ano-gravable-2021/?referer=L-excel-formato&amp;utm_medium=act_formato_excel&amp;utm_source=act_formato_excel&amp;utm_campaign=act_formato_excel&amp;utm_content=act_formato_excel_link" xr:uid="{9D8703E4-D343-4EBC-B079-B9BF25610703}"/>
    <hyperlink ref="B2221" r:id="rId280" display="https://actualicese.com/plantilla-del-formato-1001-por-el-ano-gravable-2021-reporte-de-exogena-de-pagos-o-abonos-en-cuenta/?referer=L-excel-formato&amp;utm_medium=act_formato_excel&amp;utm_source=act_formato_excel&amp;utm_campaign=act_formato_excel&amp;utm_content=act_formato_excel_link" xr:uid="{9B46FC03-CECC-4530-9408-2DD1CBBC5814}"/>
    <hyperlink ref="B2223" r:id="rId281" display="https://actualicese.com/plantilla-del-formato-2276-y-del-2280-para-el-reporte-de-informacion-exogena-de-2021/?referer=L-excel-formato&amp;utm_medium=act_formato_excel&amp;utm_source=act_formato_excel&amp;utm_campaign=act_formato_excel&amp;utm_content=act_formato_excel_link" xr:uid="{CFF39FBB-6554-4A09-85FC-4549CA0272D8}"/>
    <hyperlink ref="B2225" r:id="rId282" display="https://actualicese.com/plantilla-de-los-formatos-1005-y-1006-para-el-reporte-de-exogena-2021-reportes-de-iva-generados-y-descontables/?referer=L-excel-formato&amp;utm_medium=act_formato_excel&amp;utm_source=act_formato_excel&amp;utm_campaign=act_formato_excel&amp;utm_content=act_formato_excel_link" xr:uid="{8F4A87F5-82D5-4D97-8A05-65AE64AB5651}"/>
    <hyperlink ref="B2227" r:id="rId283" display="https://actualicese.com/plantilla-del-formato-1003-para-el-reporte-de-exogena-2021-retenciones-que-le-practicaron-al-informante/?referer=L-excel-formato&amp;utm_medium=act_formato_excel&amp;utm_source=act_formato_excel&amp;utm_campaign=act_formato_excel&amp;utm_content=act_formato_excel_link" xr:uid="{E46E374C-17AB-4723-8B3F-18CB95195D8B}"/>
    <hyperlink ref="B2229" r:id="rId284" display="https://actualicese.com/plantilla-de-formatos-1011-1012-y-2275-de-exogena-reporte-de-otros-datos-en-renta-e-iva-en-2021/?referer=L-excel-formato&amp;utm_medium=act_formato_excel&amp;utm_source=act_formato_excel&amp;utm_campaign=act_formato_excel&amp;utm_content=act_formato_excel_link" xr:uid="{ECAB0A32-5862-4BD2-9F86-5526FC4D3002}"/>
    <hyperlink ref="B2231" r:id="rId285" display="https://actualicese.com/plantilla-del-formato-1009-para-el-reporte-de-exogena-2021-informacion-de-cuentas-por-pagar/?referer=L-excel-formato&amp;utm_medium=act_formato_excel&amp;utm_source=act_formato_excel&amp;utm_campaign=act_formato_excel&amp;utm_content=act_formato_excel_link" xr:uid="{64374A12-C73F-48DD-BEEE-C9279DCC1F24}"/>
    <hyperlink ref="B2233" r:id="rId286" display="https://actualicese.com/plantilla-de-los-formatos-de-exogena-por-el-ano-gravable-2021-reportes-de-los-mandatarios/?referer=L-excel-formato&amp;utm_medium=act_formato_excel&amp;utm_source=act_formato_excel&amp;utm_campaign=act_formato_excel&amp;utm_content=act_formato_excel_link" xr:uid="{C42F6C2D-5FDF-4F5D-97FC-45D7CBBFCC0D}"/>
    <hyperlink ref="B2235" r:id="rId287" display="https://actualicese.com/plantilla-del-formato-1008-para-el-reporte-de-exogena-2021-informacion-de-cuentas-por-cobrar/?referer=L-excel-formato&amp;utm_medium=act_formato_excel&amp;utm_source=act_formato_excel&amp;utm_campaign=act_formato_excel&amp;utm_content=act_formato_excel_link" xr:uid="{FECA9C71-EF93-4A47-9AFB-D4F15B12CF67}"/>
    <hyperlink ref="B2237" r:id="rId288" display="https://actualicese.com/plantilla-del-formato-1010-para-reporte-de-exogena-2021-informacion-de-socios-cooperados-o-comuneros/?referer=L-excel-formato&amp;utm_medium=act_formato_excel&amp;utm_source=act_formato_excel&amp;utm_campaign=act_formato_excel&amp;utm_content=act_formato_excel_link" xr:uid="{8B070B1C-051C-4E89-94FD-7E41E19DD144}"/>
    <hyperlink ref="B2239" r:id="rId289" display="https://actualicese.com/plantilla-del-formato-1007-para-el-reporte-de-exogena-2021-informacion-de-ingresos-propios/?referer=L-excel-formato&amp;utm_medium=act_formato_excel&amp;utm_source=act_formato_excel&amp;utm_campaign=act_formato_excel&amp;utm_content=act_formato_excel_link" xr:uid="{48BC3794-1AEF-44F3-9274-3D472E8FA5AB}"/>
    <hyperlink ref="B2241" r:id="rId290" display="https://actualicese.com/plantilla-del-formato-1647-para-el-reporte-de-ingresos-recibidos-para-terceros-exogena-2021/?referer=L-excel-formato&amp;utm_medium=act_formato_excel&amp;utm_source=act_formato_excel&amp;utm_campaign=act_formato_excel&amp;utm_content=act_formato_excel_link" xr:uid="{084CF54D-1E9C-41E6-97D0-142CF434426D}"/>
    <hyperlink ref="B2243" r:id="rId291" display="https://actualicese.com/plantilla-del-formato-1004-de-exogena-de-2021-reporte-de-descuentos-al-impuesto-de-renta-y-el-simple/?referer=L-excel-formato&amp;utm_medium=act_formato_excel&amp;utm_source=act_formato_excel&amp;utm_campaign=act_formato_excel&amp;utm_content=act_formato_excel_link" xr:uid="{933EFEFB-B891-4F26-A398-2B49718EBFD5}"/>
    <hyperlink ref="B2245" r:id="rId292" display="https://actualicese.com/pack-de-formatos-guias-para-el-reporte-de-informacion-exogena-2021-descargalas-ya/?referer=L-excel-formato&amp;utm_medium=act_formato_excel&amp;utm_source=act_formato_excel&amp;utm_campaign=act_formato_excel&amp;utm_content=act_formato_excel_link" xr:uid="{BBB13E22-2C4E-4AA8-9EE5-0A633961FAE5}"/>
    <hyperlink ref="B2247" r:id="rId293" display="https://actualicese.com/caso-practico-de-determinacion-de-la-renta-liquida-cedular-por-pensiones-recibidas-en-colombia/?referer=L-excel-formato&amp;utm_medium=act_formato_excel&amp;utm_source=act_formato_excel&amp;utm_campaign=act_formato_excel&amp;utm_content=act_formato_excel_link" xr:uid="{3F298CB2-B4A4-4A4F-A5D8-1AC550C7272F}"/>
    <hyperlink ref="B2249" r:id="rId294" display="https://actualicese.com/liquidador-del-impuesto-sobre-la-renta-liquida-de-las-cedulas-general-y-de-pensiones/?referer=L-excel-formato&amp;utm_medium=act_formato_excel&amp;utm_source=act_formato_excel&amp;utm_campaign=act_formato_excel&amp;utm_content=act_formato_excel_link" xr:uid="{FAF4502B-5635-4F26-9CF9-9235D95BE4FD}"/>
    <hyperlink ref="B2251" r:id="rId295" display="https://actualicese.com/simulador-de-los-efectos-del-rechazo-de-costos-y-gastos-en-efectivo-a-partir-de-2018/?referer=L-excel-formato&amp;utm_medium=act_formato_excel&amp;utm_source=act_formato_excel&amp;utm_campaign=act_formato_excel&amp;utm_content=act_formato_excel_link" xr:uid="{9320C2C7-087E-4867-926E-594848ACF7C4}"/>
    <hyperlink ref="B2253" r:id="rId296" display="https://actualicese.com/modelo-de-certificacion-laboral-para-deduccion-del-primer-empleo/?referer=L-excel-formato&amp;utm_medium=act_formato_excel&amp;utm_source=act_formato_excel&amp;utm_campaign=act_formato_excel&amp;utm_content=act_formato_excel_link" xr:uid="{60F88232-9EEA-498A-8592-702D00C30208}"/>
    <hyperlink ref="B2255" r:id="rId297" display="https://actualicese.com/31-casos-practicos-sobre-el-reporte-de-informacion-exogena-por-el-ano-gravable-2021/?referer=L-excel-formato&amp;utm_medium=act_formato_excel&amp;utm_source=act_formato_excel&amp;utm_campaign=act_formato_excel&amp;utm_content=act_formato_excel_link" xr:uid="{D2779663-59E0-4FC6-9A95-D11AEE2CCF4D}"/>
    <hyperlink ref="B2257" r:id="rId298" display="https://actualicese.com/guia-en-excel-para-evitar-errores-en-la-presentacion-de-informacion-exogena/?referer=L-excel-formato&amp;utm_medium=act_formato_excel&amp;utm_source=act_formato_excel&amp;utm_campaign=act_formato_excel&amp;utm_content=act_formato_excel_link" xr:uid="{0E94A5B0-88D9-4259-8AD2-E01BC9D45C4F}"/>
    <hyperlink ref="B2259" r:id="rId299" display="https://actualicese.com/liquidador-del-costo-de-renovacion-de-matricula-mercantil-y-de-establecimientos-de-comercio-2022/?referer=L-excel-formato&amp;utm_medium=act_formato_excel&amp;utm_source=act_formato_excel&amp;utm_campaign=act_formato_excel&amp;utm_content=act_formato_excel_link" xr:uid="{E9D1A9F6-0F90-4E0E-B321-495E3991DE7B}"/>
    <hyperlink ref="B2261" r:id="rId300" display="https://actualicese.com/historico-de-la-trm-en-2021/?referer=L-excel-formato&amp;utm_medium=act_formato_excel&amp;utm_source=act_formato_excel&amp;utm_campaign=act_formato_excel&amp;utm_content=act_formato_excel_link" xr:uid="{7DF6D110-E447-4CFE-92AD-BBD3D705ED03}"/>
    <hyperlink ref="B2263" r:id="rId301" display="https://actualicese.com/formulario-310-ag-2022-declaracion-del-impuesto-nacional-al-consumo-plantilla-para-borrador/?referer=L-excel-formato&amp;utm_medium=act_formato_excel&amp;utm_source=act_formato_excel&amp;utm_campaign=act_formato_excel&amp;utm_content=act_formato_excel_link" xr:uid="{D013D002-B82C-4291-986A-FD706B89DBB3}"/>
    <hyperlink ref="B2265" r:id="rId302" display="https://actualicese.com/historico-de-indice-de-precios-al-consumidor-ipc/?referer=L-excel-formato&amp;utm_medium=act_formato_excel&amp;utm_source=act_formato_excel&amp;utm_campaign=act_formato_excel&amp;utm_content=act_formato_excel_link" xr:uid="{294D4E94-405F-4192-A14B-8020F8933AF9}"/>
    <hyperlink ref="B2267" r:id="rId303" display="https://actualicese.com/listado-de-codigos-de-usuario-aduanero-para-diligenciar-la-casilla-54-del-rut/?referer=L-excel-formato&amp;utm_medium=act_formato_excel&amp;utm_source=act_formato_excel&amp;utm_campaign=act_formato_excel&amp;utm_content=act_formato_excel_link" xr:uid="{70F3748C-684E-454A-B9CA-CA6801BE1293}"/>
    <hyperlink ref="B2269" r:id="rId304" display="https://actualicese.com/2022-historico-de-salario-minimo-y-auxilio-de-transporte/?referer=L-excel-formato&amp;utm_medium=act_formato_excel&amp;utm_source=act_formato_excel&amp;utm_campaign=act_formato_excel&amp;utm_content=act_formato_excel_link" xr:uid="{E73F6A09-0A13-4296-BFFB-DD00B554EAF3}"/>
    <hyperlink ref="B2271" r:id="rId305" display="https://actualicese.com/2022-historico-de-la-variacion-nominal-del-salario-minimo-vs-la-inflacion-1993-2021/?referer=L-excel-formato&amp;utm_medium=act_formato_excel&amp;utm_source=act_formato_excel&amp;utm_campaign=act_formato_excel&amp;utm_content=act_formato_excel_link" xr:uid="{0FCB78A5-76D8-4D86-B22D-7D69636E3021}"/>
    <hyperlink ref="B2273" r:id="rId306" display="https://actualicese.com/guia-para-auditar-el-formato-2516-ag-2021-conciliacion-fiscal-de-las-personas-juridicas/?referer=L-excel-formato&amp;utm_medium=act_formato_excel&amp;utm_source=act_formato_excel&amp;utm_campaign=act_formato_excel&amp;utm_content=act_formato_excel_link" xr:uid="{4626B1CD-504E-4048-8130-0FB431A0DC22}"/>
    <hyperlink ref="B2275" r:id="rId307" display="https://actualicese.com/modelo-de-certificado-de-retencion-en-la-fuente-por-conceptos-diferentes-a-rentas-laborales/?referer=L-excel-formato&amp;utm_medium=act_formato_excel&amp;utm_source=act_formato_excel&amp;utm_campaign=act_formato_excel&amp;utm_content=act_formato_excel_link" xr:uid="{3D85401E-D01C-4BB6-8A83-8ECB78B7116B}"/>
    <hyperlink ref="B2277" r:id="rId308" display="https://actualicese.com/herramienta-en-excel-para-la-consulta-automatica-de-terceros-en-la-dian/?referer=L-excel-formato&amp;utm_medium=act_formato_excel&amp;utm_source=act_formato_excel&amp;utm_campaign=act_formato_excel&amp;utm_content=act_formato_excel_link" xr:uid="{5F179FF4-0705-4190-A5A5-7DE21FB0FA7C}"/>
    <hyperlink ref="B2279" r:id="rId309" display="https://actualicese.com/liquidador-del-anticipo-del-impuesto-de-renta-2022-para-personas-juridicas-y-naturales/?referer=L-excel-formato&amp;utm_medium=act_formato_excel&amp;utm_source=act_formato_excel&amp;utm_campaign=act_formato_excel&amp;utm_content=act_formato_excel_link" xr:uid="{632A9B58-693B-4DEF-B662-9788A32F0893}"/>
    <hyperlink ref="B2281" r:id="rId310" display="https://actualicese.com/liquidador-del-formulario-110-y-formato-2516-declaracion-de-renta-de-personas-juridicas-ag-2021/?referer=L-excel-formato&amp;utm_medium=act_formato_excel&amp;utm_source=act_formato_excel&amp;utm_campaign=act_formato_excel&amp;utm_content=act_formato_excel_link" xr:uid="{CA9A70A2-04F2-4C13-8FEA-C7A7DEF677A0}"/>
    <hyperlink ref="B2283" r:id="rId311" display="https://actualicese.com/contabilizacion-de-los-ingresos-del-paef-y-otros-beneficios-laborales-ejercicio-en-excel/?referer=L-excel-formato&amp;utm_medium=act_formato_excel&amp;utm_source=act_formato_excel&amp;utm_campaign=act_formato_excel&amp;utm_content=act_formato_excel_link" xr:uid="{96B0E7CC-03F1-4176-8993-2ED232850D57}"/>
    <hyperlink ref="B2285" r:id="rId312" display="https://actualicese.com/calculo-del-limite-de-subcapitalizacion-casos-practicos-en-excel/?referer=L-excel-formato&amp;utm_medium=act_formato_excel&amp;utm_source=act_formato_excel&amp;utm_campaign=act_formato_excel&amp;utm_content=act_formato_excel_link" xr:uid="{BF09DCC1-7A24-4A4A-B9BC-3EC3E99A0C64}"/>
    <hyperlink ref="B2287" r:id="rId313" display="https://actualicese.com/casos-practicos-en-excel-sobre-ventas-en-los-dias-sin-iva-en-2022/?referer=L-excel-formato&amp;utm_medium=act_formato_excel&amp;utm_source=act_formato_excel&amp;utm_campaign=act_formato_excel&amp;utm_content=act_formato_excel_link" xr:uid="{CDC416AD-FD8C-4EFC-9379-55D2D6FDCD61}"/>
    <hyperlink ref="B2289" r:id="rId314" display="https://actualicese.com/certificado-de-ingresos-y-retenciones-plantilla-del-formulario-220-y-del-formato-2276-ag-2021/?referer=L-excel-formato&amp;utm_medium=act_formato_excel&amp;utm_source=act_formato_excel&amp;utm_campaign=act_formato_excel&amp;utm_content=act_formato_excel_link" xr:uid="{5973571F-2BA0-46B3-8B0C-360802D2D3EB}"/>
    <hyperlink ref="B2291" r:id="rId315" display="https://actualicese.com/modelo-certificacion-para-que-proceda-descuento-tributario-por-donacion-realizada/?referer=L-excel-formato&amp;utm_medium=act_formato_excel&amp;utm_source=act_formato_excel&amp;utm_campaign=act_formato_excel&amp;utm_content=act_formato_excel_link" xr:uid="{52D3848A-37C1-4CBC-8397-CFE787CFC0AA}"/>
    <hyperlink ref="B2293" r:id="rId316" display="https://actualicese.com/modelo-certificacion-de-disminucion-de-inventarios-por-obsolescencia/?referer=L-excel-formato&amp;utm_medium=act_formato_excel&amp;utm_source=act_formato_excel&amp;utm_campaign=act_formato_excel&amp;utm_content=act_formato_excel_link" xr:uid="{26E2AE2E-DFC0-46D2-900B-553CDB3704AD}"/>
    <hyperlink ref="B2295" r:id="rId317" display="https://actualicese.com/modelo-de-certificado-laboral/?referer=L-excel-formato&amp;utm_medium=act_formato_excel&amp;utm_source=act_formato_excel&amp;utm_campaign=act_formato_excel&amp;utm_content=act_formato_excel_link" xr:uid="{7ED19CCA-CB6C-46A5-A045-37058635366C}"/>
    <hyperlink ref="B2297" r:id="rId318" display="https://actualicese.com/solicitud-de-licencia-no-remunerada/?referer=L-excel-formato&amp;utm_medium=act_formato_excel&amp;utm_source=act_formato_excel&amp;utm_campaign=act_formato_excel&amp;utm_content=act_formato_excel_link" xr:uid="{FC264071-04BD-4385-9933-3F7644AFC8FE}"/>
    <hyperlink ref="B2299" r:id="rId319" display="https://actualicese.com/carta-para-notificar-un-incremento-de-salario/?referer=L-excel-formato&amp;utm_medium=act_formato_excel&amp;utm_source=act_formato_excel&amp;utm_campaign=act_formato_excel&amp;utm_content=act_formato_excel_link" xr:uid="{65B9E5C7-674C-49B8-9AFE-BF1EFC40E005}"/>
    <hyperlink ref="B2301" r:id="rId320" display="https://actualicese.com/calendario-de-implementacion-del-documento-soporte-de-pago-de-nomina-electronica/?referer=L-excel-formato&amp;utm_medium=act_formato_excel&amp;utm_source=act_formato_excel&amp;utm_campaign=act_formato_excel&amp;utm_content=act_formato_excel_link" xr:uid="{761DE440-3040-4937-A529-FF5EAD78A08B}"/>
    <hyperlink ref="B2303" r:id="rId321" display="https://actualicese.com/dictamenes-e-informes-del-revisor-fiscal-actualizados-al-2022/?referer=L-excel-formato&amp;utm_medium=act_formato_excel&amp;utm_source=act_formato_excel&amp;utm_campaign=act_formato_excel&amp;utm_content=act_formato_excel_link" xr:uid="{A1515D33-C50A-4217-AB8E-922B4B92C825}"/>
    <hyperlink ref="B2305" r:id="rId322" display="https://actualicese.com/caso-practico-de-liquidacion-de-nomina-cuando-hay-salario-integral/?referer=L-excel-formato&amp;utm_medium=act_formato_excel&amp;utm_source=act_formato_excel&amp;utm_campaign=act_formato_excel&amp;utm_content=act_formato_excel_link" xr:uid="{482C2289-1231-44A8-837D-6AE23F0CF3F7}"/>
    <hyperlink ref="B2307" r:id="rId323" display="https://actualicese.com/informe-de-verificacion-del-cumplimiento-del-sistema-de-facturacion-y-de-nomina-electronica/?referer=L-excel-formato&amp;utm_medium=act_formato_excel&amp;utm_source=act_formato_excel&amp;utm_campaign=act_formato_excel&amp;utm_content=act_formato_excel_link" xr:uid="{A293268F-529E-4C46-8C82-D9DA3E21C13A}"/>
    <hyperlink ref="B2309" r:id="rId324" display="https://actualicese.com/codigos-de-responsabilidades-tributarias-rut-casilla-53/?referer=L-excel-formato&amp;utm_medium=act_formato_excel&amp;utm_source=act_formato_excel&amp;utm_campaign=act_formato_excel&amp;utm_content=act_formato_excel_link" xr:uid="{1F71C7B2-ADBA-4A88-8994-24AF0CA4D095}"/>
    <hyperlink ref="B2311" r:id="rId325" display="https://actualicese.com/informe-nisr-4400-para-revision-de-requerimientos-del-programa-de-incentivo-por-creacion-de-nuevos-empleos/?referer=L-excel-formato&amp;utm_medium=act_formato_excel&amp;utm_source=act_formato_excel&amp;utm_campaign=act_formato_excel&amp;utm_content=act_formato_excel_link" xr:uid="{92EEE24E-41E4-4E0F-AC1E-AAF9520C791C}"/>
    <hyperlink ref="B2313" r:id="rId326" display="https://actualicese.com/informe-del-revisor-fiscal-al-finalizar-el-encargo/?referer=L-excel-formato&amp;utm_medium=act_formato_excel&amp;utm_source=act_formato_excel&amp;utm_campaign=act_formato_excel&amp;utm_content=act_formato_excel_link" xr:uid="{8FABA07F-8552-46D1-B9F5-394DE4B14DCD}"/>
    <hyperlink ref="B2315" r:id="rId327" display="https://actualicese.com/informe-de-verificacion-del-cumplimiento-de-los-requerimientos-del-paef-segun-la-nisr-4400/?referer=L-excel-formato&amp;utm_medium=act_formato_excel&amp;utm_source=act_formato_excel&amp;utm_campaign=act_formato_excel&amp;utm_content=act_formato_excel_link" xr:uid="{06118E69-86E1-406E-91F8-1DF13E2BB54C}"/>
    <hyperlink ref="B2317" r:id="rId328" display="https://actualicese.com/informe-del-revisor-fiscal-sobre-irregularidades-y-deficiencias-en-el-control-interno/?referer=L-excel-formato&amp;utm_medium=act_formato_excel&amp;utm_source=act_formato_excel&amp;utm_campaign=act_formato_excel&amp;utm_content=act_formato_excel_link" xr:uid="{57AE65EF-E3B8-448A-AFA8-7FCA5C3B6660}"/>
    <hyperlink ref="B2319" r:id="rId329" display="https://actualicese.com/informe-del-revisor-fiscal-sobre-irregularidades-y-deficiencias-en-el-control-interno-2/?referer=L-excel-formato&amp;utm_medium=act_formato_excel&amp;utm_source=act_formato_excel&amp;utm_campaign=act_formato_excel&amp;utm_content=act_formato_excel_link" xr:uid="{9F830F16-1A17-4498-BB5B-DA8E3B896D1F}"/>
    <hyperlink ref="B2321" r:id="rId330" display="https://actualicese.com/propuesta-de-servicios-de-revisoria-fiscal-en-una-copropiedad/?referer=L-excel-formato&amp;utm_medium=act_formato_excel&amp;utm_source=act_formato_excel&amp;utm_campaign=act_formato_excel&amp;utm_content=act_formato_excel_link" xr:uid="{10AEF10E-EFF5-48F6-8381-63C0C3DB0FF5}"/>
    <hyperlink ref="B2323" r:id="rId331" display="https://actualicese.com/tabla-de-retencion-en-la-fuente-2022/?referer=L-excel-formato&amp;utm_medium=act_formato_excel&amp;utm_source=act_formato_excel&amp;utm_campaign=act_formato_excel&amp;utm_content=act_formato_excel_link" xr:uid="{698DBFE1-6844-4840-B181-126941BDFB52}"/>
    <hyperlink ref="B2325" r:id="rId332" display="https://actualicese.com/informe-nisr-4400-de-revision-de-ingresos-para-acceder-al-apoyo-a-empresas-afectadas-por-el-paro-nacional/?referer=L-excel-formato&amp;utm_medium=act_formato_excel&amp;utm_source=act_formato_excel&amp;utm_campaign=act_formato_excel&amp;utm_content=act_formato_excel_link" xr:uid="{5F7E6939-D737-4E97-B8DA-8FE5D6A798C8}"/>
    <hyperlink ref="B2327" r:id="rId333" display="https://actualicese.com/dictamen-de-revisor-fiscal-con-comunicacion-de-cuestiones-clave-y-parrafo-de-enfasis/?referer=L-excel-formato&amp;utm_medium=act_formato_excel&amp;utm_source=act_formato_excel&amp;utm_campaign=act_formato_excel&amp;utm_content=act_formato_excel_link" xr:uid="{67AC825F-2424-478E-858E-B1E2E9D38EE7}"/>
    <hyperlink ref="B2329" r:id="rId334" display="https://actualicese.com/dictamen-del-revisor-fiscal-en-entidades-del-grupo-3-opinion-favorable/?referer=L-excel-formato&amp;utm_medium=act_formato_excel&amp;utm_source=act_formato_excel&amp;utm_campaign=act_formato_excel&amp;utm_content=act_formato_excel_link" xr:uid="{3F4AE49E-6DF8-4CE2-8B60-87B84D90A0BD}"/>
    <hyperlink ref="B2331" r:id="rId335" display="https://actualicese.com/ingresos-por-venta-de-criptoactivos-en-la-declaracion-de-renta-caso-practico-en-excel/?referer=L-excel-formato&amp;utm_medium=act_formato_excel&amp;utm_source=act_formato_excel&amp;utm_campaign=act_formato_excel&amp;utm_content=act_formato_excel_link" xr:uid="{F4F40DC7-12D7-4139-B891-D1947516B285}"/>
    <hyperlink ref="B2333" r:id="rId336" display="https://actualicese.com/plantilla-para-elaborar-el-formulario-300-para-las-declaraciones-del-iva-en-2022/?referer=L-excel-formato&amp;utm_medium=act_formato_excel&amp;utm_source=act_formato_excel&amp;utm_campaign=act_formato_excel&amp;utm_content=act_formato_excel_link" xr:uid="{656E2892-D766-4DAC-95EB-CCCC2BC1ECA7}"/>
    <hyperlink ref="B2335" r:id="rId337" display="https://actualicese.com/simulador-de-tributacion-en-el-regimen-simple-vs-regimen-ordinario-ano-gravable-2022/?referer=L-excel-formato&amp;utm_medium=act_formato_excel&amp;utm_source=act_formato_excel&amp;utm_campaign=act_formato_excel&amp;utm_content=act_formato_excel_link" xr:uid="{F6E65CE4-ED3D-410B-8B21-F414FA730242}"/>
    <hyperlink ref="B2337" r:id="rId338" display="https://actualicese.com/clasificacion-de-las-personas-juridicas-frente-al-impuesto-de-renta-y-al-simple-ano-gravable-2021/?referer=L-excel-formato&amp;utm_medium=act_formato_excel&amp;utm_source=act_formato_excel&amp;utm_campaign=act_formato_excel&amp;utm_content=act_formato_excel_link" xr:uid="{2D03CECF-A3CD-4921-9733-304EBEAD9447}"/>
    <hyperlink ref="B2339" r:id="rId339" display="https://actualicese.com/simulador-para-determinar-el-valor-patrimonial-de-los-criptoactivos/?referer=L-excel-formato&amp;utm_medium=act_formato_excel&amp;utm_source=act_formato_excel&amp;utm_campaign=act_formato_excel&amp;utm_content=act_formato_excel_link" xr:uid="{69E6BD31-09DB-442E-A1A5-304FD50C91C9}"/>
    <hyperlink ref="B2341" r:id="rId340" display="https://actualicese.com/matriz-rentas-exentas-y-descuentos-tributarios-de-las-personas-juridicas-en-2021/?referer=L-excel-formato&amp;utm_medium=act_formato_excel&amp;utm_source=act_formato_excel&amp;utm_campaign=act_formato_excel&amp;utm_content=act_formato_excel_link" xr:uid="{AC8FED87-C2F2-4613-B401-B214ADBEBA3B}"/>
    <hyperlink ref="B2343" r:id="rId341" display="https://actualicese.com/carta-de-aceptacion-de-un-encargo-de-auditoria-concreto/?referer=L-excel-formato&amp;utm_medium=act_formato_excel&amp;utm_source=act_formato_excel&amp;utm_campaign=act_formato_excel&amp;utm_content=act_formato_excel_link" xr:uid="{EDD04781-2931-4298-9777-5ADA28F38279}"/>
    <hyperlink ref="B2345" r:id="rId342" display="https://actualicese.com/informe-de-auditoria-sobre-un-solo-estado-financiero-elemento-partida-o-cuenta-especificos/?referer=L-excel-formato&amp;utm_medium=act_formato_excel&amp;utm_source=act_formato_excel&amp;utm_campaign=act_formato_excel&amp;utm_content=act_formato_excel_link" xr:uid="{DCD89F58-549D-4421-9BF2-6B1CCA2569E7}"/>
    <hyperlink ref="B2347" r:id="rId343" display="https://actualicese.com/informe-de-revision-de-informacion-financiera-intermedia-con-salvedades/?referer=L-excel-formato&amp;utm_medium=act_formato_excel&amp;utm_source=act_formato_excel&amp;utm_campaign=act_formato_excel&amp;utm_content=act_formato_excel_link" xr:uid="{8D56A0D0-12EF-4C5F-BA21-7D0053062B5E}"/>
    <hyperlink ref="B2349" r:id="rId344" display="https://actualicese.com/estados-financieros-consolidados-opinion-desfavorable-por-incorreccion-material/?referer=L-excel-formato&amp;utm_medium=act_formato_excel&amp;utm_source=act_formato_excel&amp;utm_campaign=act_formato_excel&amp;utm_content=act_formato_excel_link" xr:uid="{9443CD33-7CFE-4699-B7EA-DA7CFB4C39E3}"/>
    <hyperlink ref="B2351" r:id="rId345" display="https://actualicese.com/estados-financieros-consolidados-opinion-con-salvedades-cuando-no-se-obtiene-evidencia/?referer=L-excel-formato&amp;utm_medium=act_formato_excel&amp;utm_source=act_formato_excel&amp;utm_campaign=act_formato_excel&amp;utm_content=act_formato_excel_link" xr:uid="{74A37CCF-FD31-4F75-B6D9-776A5B8866A1}"/>
    <hyperlink ref="B2353" r:id="rId346" display="https://actualicese.com/modelo-de-dictamen-con-opinion-adversa-o-desfavorable/?referer=L-excel-formato&amp;utm_medium=act_formato_excel&amp;utm_source=act_formato_excel&amp;utm_campaign=act_formato_excel&amp;utm_content=act_formato_excel_link" xr:uid="{BDB06457-876F-459F-99B1-CA7D9C72C0CC}"/>
    <hyperlink ref="B2355" r:id="rId347" display="https://actualicese.com/informe-de-compilacion-de-estados-financieros-con-fines-generales/?referer=L-excel-formato&amp;utm_medium=act_formato_excel&amp;utm_source=act_formato_excel&amp;utm_campaign=act_formato_excel&amp;utm_content=act_formato_excel_link" xr:uid="{DD1BEC25-CC9C-48D2-B908-9F5B6F237AA0}"/>
    <hyperlink ref="B2357" r:id="rId348" display="https://actualicese.com/informe-de-compilacion-de-estados-financieros-con-fines-especificos/?referer=L-excel-formato&amp;utm_medium=act_formato_excel&amp;utm_source=act_formato_excel&amp;utm_campaign=act_formato_excel&amp;utm_content=act_formato_excel_link" xr:uid="{84A94EE3-F820-4D83-A080-267326DB754C}"/>
    <hyperlink ref="B2359" r:id="rId349" display="https://actualicese.com/informe-de-revisor-fiscal-bajo-nia-701-comunicacion-de-las-cuestiones-clave-de-auditoria/?referer=L-excel-formato&amp;utm_medium=act_formato_excel&amp;utm_source=act_formato_excel&amp;utm_campaign=act_formato_excel&amp;utm_content=act_formato_excel_link" xr:uid="{A9F29F6F-8C9D-44D9-B34E-32C8A809E5BF}"/>
    <hyperlink ref="B2361" r:id="rId350" display="https://actualicese.com/dictamen-de-revisor-fiscal-con-parrafos-de-cuestiones-clave-y-otras-cuestiones/?referer=L-excel-formato&amp;utm_medium=act_formato_excel&amp;utm_source=act_formato_excel&amp;utm_campaign=act_formato_excel&amp;utm_content=act_formato_excel_link" xr:uid="{30DC50C9-AFED-4802-9039-25EF1364659B}"/>
    <hyperlink ref="B2363" r:id="rId351" display="https://actualicese.com/dictamen-de-revisor-fiscal-que-incluye-opinion-con-salvedades/?referer=L-excel-formato&amp;utm_medium=act_formato_excel&amp;utm_source=act_formato_excel&amp;utm_campaign=act_formato_excel&amp;utm_content=act_formato_excel_link" xr:uid="{CE6966F2-6B2B-466B-B5A0-D5D232B01616}"/>
    <hyperlink ref="B2365" r:id="rId352" display="https://actualicese.com/calculo-retencion-en-la-fuente-a-titulo-de-renta-por-concepto-de-pensiones/?referer=L-excel-formato&amp;utm_medium=act_formato_excel&amp;utm_source=act_formato_excel&amp;utm_campaign=act_formato_excel&amp;utm_content=act_formato_excel_link" xr:uid="{569EE2E0-0487-4237-8BB0-EC7F1351036D}"/>
    <hyperlink ref="B2367" r:id="rId353" display="https://actualicese.com/costo-fiscal-de-inventarios-para-obligados-a-llevar-contabilidad-como-determinarlo/?referer=L-excel-formato&amp;utm_medium=act_formato_excel&amp;utm_source=act_formato_excel&amp;utm_campaign=act_formato_excel&amp;utm_content=act_formato_excel_link" xr:uid="{BC04BC82-E6E3-424B-9826-4235232D08A6}"/>
    <hyperlink ref="B2369" r:id="rId354" display="https://actualicese.com/liquidador-del-impuesto-de-normalizacion-tributaria-2022-y-su-anticipo-para-2021/?referer=L-excel-formato&amp;utm_medium=act_formato_excel&amp;utm_source=act_formato_excel&amp;utm_campaign=act_formato_excel&amp;utm_content=act_formato_excel_link" xr:uid="{6B197C9D-8C19-4DFB-B248-3FC9356E512E}"/>
    <hyperlink ref="B2371" r:id="rId355" display="https://actualicese.com/poder-para-nombrar-delegado-o-apoderado-en-asamblea-de-propietarios-en-p-h/?referer=L-excel-formato&amp;utm_medium=act_formato_excel&amp;utm_source=act_formato_excel&amp;utm_campaign=act_formato_excel&amp;utm_content=act_formato_excel_link" xr:uid="{A2C44D0E-9799-4D4B-929A-F2225E8A249B}"/>
    <hyperlink ref="B2373" r:id="rId356" display="https://actualicese.com/pack-de-formatos-modelos-y-guias-para-asambleas-de-accionistas-socios-y-copropietarios/?referer=L-excel-formato&amp;utm_medium=act_formato_excel&amp;utm_source=act_formato_excel&amp;utm_campaign=act_formato_excel&amp;utm_content=act_formato_excel_link" xr:uid="{F379D235-91BD-4ABD-A8CA-83FDC431AFE7}"/>
    <hyperlink ref="B2375" r:id="rId357" display="https://actualicese.com/reparto-de-utilidades-pago-de-dividendos/?referer=L-excel-formato&amp;utm_medium=act_formato_excel&amp;utm_source=act_formato_excel&amp;utm_campaign=act_formato_excel&amp;utm_content=act_formato_excel_link" xr:uid="{42F399E4-AD9A-45C2-9CC0-38C508555389}"/>
    <hyperlink ref="B2377" r:id="rId358" display="https://actualicese.com/cesion-y-venta-de-cuotas-sociales-a-extranos-a-la-sociedad-ltda/?referer=L-excel-formato&amp;utm_medium=act_formato_excel&amp;utm_source=act_formato_excel&amp;utm_campaign=act_formato_excel&amp;utm_content=act_formato_excel_link" xr:uid="{3E4C1AB0-397D-41B5-9572-768B2AB3D327}"/>
    <hyperlink ref="B2379" r:id="rId359" display="https://actualicese.com/decisiones-asamblea-de-propietarios/?referer=L-excel-formato&amp;utm_medium=act_formato_excel&amp;utm_source=act_formato_excel&amp;utm_campaign=act_formato_excel&amp;utm_content=act_formato_excel_link" xr:uid="{1FD0ED42-9BCB-4003-8EF3-D4E11F8E6F9B}"/>
    <hyperlink ref="B2381" r:id="rId360" display="https://actualicese.com/reunion-de-junta-de-socios-o-asamblea-general-por-derecho-propio/?referer=L-excel-formato&amp;utm_medium=act_formato_excel&amp;utm_source=act_formato_excel&amp;utm_campaign=act_formato_excel&amp;utm_content=act_formato_excel_link" xr:uid="{8BDEC499-0145-4746-8918-BACCB64F9CA7}"/>
    <hyperlink ref="B2383" r:id="rId361" display="https://actualicese.com/informe-de-auditoria-denegacion-abstencion-de-opinion-por-no-obtener-evidencia/?referer=L-excel-formato&amp;utm_medium=act_formato_excel&amp;utm_source=act_formato_excel&amp;utm_campaign=act_formato_excel&amp;utm_content=act_formato_excel_link" xr:uid="{C1241CCC-9788-4DAC-9C70-AE03D01F6792}"/>
    <hyperlink ref="B2385" r:id="rId362" display="https://actualicese.com/nia-700-vs-nia-700-revisada-comparativo-de-estructura-del-informe-de-revisor-fiscal/?referer=L-excel-formato&amp;utm_medium=act_formato_excel&amp;utm_source=act_formato_excel&amp;utm_campaign=act_formato_excel&amp;utm_content=act_formato_excel_link" xr:uid="{6B9B29BF-5FDC-4A4C-A0ED-E85FD440FAB0}"/>
    <hyperlink ref="B2387" r:id="rId363" display="https://actualicese.com/dictamen-de-revisor-fiscal-con-comunicacion-de-cuestiones-clave-nia-700-revisada-y-nia-701/?referer=L-excel-formato&amp;utm_medium=act_formato_excel&amp;utm_source=act_formato_excel&amp;utm_campaign=act_formato_excel&amp;utm_content=act_formato_excel_link" xr:uid="{39795431-7F6C-4EA8-81C6-D95946EE97DB}"/>
    <hyperlink ref="B2389" r:id="rId364" display="https://actualicese.com/modelo-en-excel-calculo-de-intereses-presuntivos-en-2021-sobre-prestamos-entre-socios-y-sociedades/?referer=L-excel-formato&amp;utm_medium=act_formato_excel&amp;utm_source=act_formato_excel&amp;utm_campaign=act_formato_excel&amp;utm_content=act_formato_excel_link" xr:uid="{A4CF7BD8-9C97-480E-A56A-9B426F7176DF}"/>
    <hyperlink ref="B2391" r:id="rId365" display="https://actualicese.com/ampliacion-del-termino-de-duracion-de-una-sociedad/?referer=L-excel-formato&amp;utm_medium=act_formato_excel&amp;utm_source=act_formato_excel&amp;utm_campaign=act_formato_excel&amp;utm_content=act_formato_excel_link" xr:uid="{55659E38-1CD3-4168-8A61-8EB62440E96C}"/>
    <hyperlink ref="B2393" r:id="rId366" display="https://actualicese.com/plantilla-en-excel-del-formulario-350-ag-2022-declaracion-de-retencion-en-la-fuente/?referer=L-excel-formato&amp;utm_medium=act_formato_excel&amp;utm_source=act_formato_excel&amp;utm_campaign=act_formato_excel&amp;utm_content=act_formato_excel_link" xr:uid="{00CD9884-7E10-4242-B4FD-459805C3BA54}"/>
    <hyperlink ref="B2395" r:id="rId367" display="https://actualicese.com/reunion-de-asamblea-general-para-constituir-una-empresa-o-fundacion/?referer=L-excel-formato&amp;utm_medium=act_formato_excel&amp;utm_source=act_formato_excel&amp;utm_campaign=act_formato_excel&amp;utm_content=act_formato_excel_link" xr:uid="{070F9EC8-9CD1-49F4-B276-CD7EFBD4F18D}"/>
    <hyperlink ref="B2397" r:id="rId368" display="https://actualicese.com/reunion-del-maximo-organo-social-para-cambio-de-los-miembros-de-junta-directiva/?referer=L-excel-formato&amp;utm_medium=act_formato_excel&amp;utm_source=act_formato_excel&amp;utm_campaign=act_formato_excel&amp;utm_content=act_formato_excel_link" xr:uid="{5D872560-70B4-4DA0-BA40-B40255598865}"/>
    <hyperlink ref="B2399" r:id="rId369" display="https://actualicese.com/acta-asamblea-o-junta-extraordinaria-por-cambio-de-revisor-fiscal-renuncia-o-revocatoria/?referer=L-excel-formato&amp;utm_medium=act_formato_excel&amp;utm_source=act_formato_excel&amp;utm_campaign=act_formato_excel&amp;utm_content=act_formato_excel_link" xr:uid="{E1A51062-F1D5-4E68-8735-FC36A94922AE}"/>
    <hyperlink ref="B2401" r:id="rId370" display="https://actualicese.com/acta-cambio-de-representante-legal/?referer=L-excel-formato&amp;utm_medium=act_formato_excel&amp;utm_source=act_formato_excel&amp;utm_campaign=act_formato_excel&amp;utm_content=act_formato_excel_link" xr:uid="{F1B2A660-635E-44CC-BFCD-EA059EE277CE}"/>
    <hyperlink ref="B2403" r:id="rId371" display="https://actualicese.com/tributacion-sobre-dividendos-y-calculo-de-su-retencion-luego-de-la-ley-2010-de-2019/?referer=L-excel-formato&amp;utm_medium=act_formato_excel&amp;utm_source=act_formato_excel&amp;utm_campaign=act_formato_excel&amp;utm_content=act_formato_excel_link" xr:uid="{2C0FC7CD-018C-4F68-842A-EE4401DF4F43}"/>
    <hyperlink ref="B2405" r:id="rId372" display="https://actualicese.com/convocatoria-de-asamblea-general-ordinaria-de-copropietarios/?referer=L-excel-formato&amp;utm_medium=act_formato_excel&amp;utm_source=act_formato_excel&amp;utm_campaign=act_formato_excel&amp;utm_content=act_formato_excel_link" xr:uid="{FE719390-B55D-406F-8DF5-4486F3D4DAA4}"/>
    <hyperlink ref="B2407" r:id="rId373" display="https://actualicese.com/lista-de-chequeo-de-documentos-presentados-en-asamblea-de-accionistas-o-junta-de-socios/?referer=L-excel-formato&amp;utm_medium=act_formato_excel&amp;utm_source=act_formato_excel&amp;utm_campaign=act_formato_excel&amp;utm_content=act_formato_excel_link" xr:uid="{1E90B031-71BC-4541-9463-2E2E58A2B259}"/>
    <hyperlink ref="B2409" r:id="rId374" display="https://actualicese.com/convocatoria-a-una-reunion-extraordinaria/?referer=L-excel-formato&amp;utm_medium=act_formato_excel&amp;utm_source=act_formato_excel&amp;utm_campaign=act_formato_excel&amp;utm_content=act_formato_excel_link" xr:uid="{986173EF-6881-4195-9308-A615C07605C3}"/>
    <hyperlink ref="B2411" r:id="rId375" display="https://actualicese.com/poder-de-representacion-en-asamblea-de-accionistas-o-junta-de-socios/?referer=L-excel-formato&amp;utm_medium=act_formato_excel&amp;utm_source=act_formato_excel&amp;utm_campaign=act_formato_excel&amp;utm_content=act_formato_excel_link" xr:uid="{1CEE4A99-2DCF-41A9-A880-B74EB4FF1CCE}"/>
    <hyperlink ref="B2413" r:id="rId376" display="https://actualicese.com/acta-de-asamblea-general/?referer=L-excel-formato&amp;utm_medium=act_formato_excel&amp;utm_source=act_formato_excel&amp;utm_campaign=act_formato_excel&amp;utm_content=act_formato_excel_link" xr:uid="{9E3C9866-3FAD-4F8D-93AC-83BBBBF24CB0}"/>
    <hyperlink ref="B2415" r:id="rId377" display="https://actualicese.com/estados-financieros-consolidados-dictamen-sin-salvedades/?referer=L-excel-formato&amp;utm_medium=act_formato_excel&amp;utm_source=act_formato_excel&amp;utm_campaign=act_formato_excel&amp;utm_content=act_formato_excel_link" xr:uid="{C29E75A3-ADFA-48E8-9E8E-ED267A0A1DB2}"/>
    <hyperlink ref="B2417" r:id="rId378" display="https://actualicese.com/segunda-convocatoria-de-asamblea-de-accionistas-o-junta-de-socios/?referer=L-excel-formato&amp;utm_medium=act_formato_excel&amp;utm_source=act_formato_excel&amp;utm_campaign=act_formato_excel&amp;utm_content=act_formato_excel_link" xr:uid="{E820E9B7-7B67-4745-A62D-DF0D2060569A}"/>
    <hyperlink ref="B2419" r:id="rId379" display="https://actualicese.com/simulador-de-casos-de-deducciones-y-costos-estimados-para-la-declaracion-de-renta-2021/?referer=L-excel-formato&amp;utm_medium=act_formato_excel&amp;utm_source=act_formato_excel&amp;utm_campaign=act_formato_excel&amp;utm_content=act_formato_excel_link" xr:uid="{F3192F8D-9620-4B01-A16B-28704FEA60F4}"/>
    <hyperlink ref="B2421" r:id="rId380" display="https://actualicese.com/modelo-del-certificado-anual-para-socios-y-o-accionistas-por-el-ano-2021/?referer=L-excel-formato&amp;utm_medium=act_formato_excel&amp;utm_source=act_formato_excel&amp;utm_campaign=act_formato_excel&amp;utm_content=act_formato_excel_link" xr:uid="{43EE1B84-5617-4323-BF4E-A2BFB42514CE}"/>
    <hyperlink ref="B2423" r:id="rId381" display="https://actualicese.com/rentas-exentas-para-empresas-de-economia-naranja/?referer=L-excel-formato&amp;utm_medium=act_formato_excel&amp;utm_source=act_formato_excel&amp;utm_campaign=act_formato_excel&amp;utm_content=act_formato_excel_link" xr:uid="{E12E6817-B051-4D90-B8FE-4256C501D869}"/>
    <hyperlink ref="B2425" r:id="rId382" display="https://actualicese.com/casos-de-ganancia-ocasional-por-venta-de-activos-fijos-depreciables/?referer=L-excel-formato&amp;utm_medium=act_formato_excel&amp;utm_source=act_formato_excel&amp;utm_campaign=act_formato_excel&amp;utm_content=act_formato_excel_link" xr:uid="{673D6CD4-4A22-4026-9AF1-A5B339BE4ED6}"/>
    <hyperlink ref="B2427" r:id="rId383" display="https://actualicese.com/simulador-del-limite-de-costos-y-gastos-no-soportados-en-factura-electronica/?referer=L-excel-formato&amp;utm_medium=act_formato_excel&amp;utm_source=act_formato_excel&amp;utm_campaign=act_formato_excel&amp;utm_content=act_formato_excel_link" xr:uid="{E5FE21B2-C8F4-4A75-825A-443E1DA0EBBB}"/>
    <hyperlink ref="B2429" r:id="rId384" display="https://actualicese.com/carta-para-notificar-la-exclusion-de-un-socio-de-la-sociedad/?referer=L-excel-formato&amp;utm_medium=act_formato_excel&amp;utm_source=act_formato_excel&amp;utm_campaign=act_formato_excel&amp;utm_content=act_formato_excel_link" xr:uid="{AA310D32-CE02-46B3-946C-31563EFFBA84}"/>
    <hyperlink ref="B2431" r:id="rId385" display="https://actualicese.com/informe-sobre-los-hallazgos-obtenidos-en-las-cuentas-por-pagar/?referer=L-excel-formato&amp;utm_medium=act_formato_excel&amp;utm_source=act_formato_excel&amp;utm_campaign=act_formato_excel&amp;utm_content=act_formato_excel_link" xr:uid="{E394C7EE-8AAE-435F-BB21-AB10103EC384}"/>
    <hyperlink ref="B2433" r:id="rId386" display="https://actualicese.com/informe-sobre-los-hallazgos-obtenidos-en-los-inventarios/?referer=L-excel-formato&amp;utm_medium=act_formato_excel&amp;utm_source=act_formato_excel&amp;utm_campaign=act_formato_excel&amp;utm_content=act_formato_excel_link" xr:uid="{D252B30E-1071-4254-88B2-B6123324790B}"/>
    <hyperlink ref="B2435" r:id="rId387" display="https://actualicese.com/efectivo-y-equivalentes-al-efectivo-informe-sobre-los-hallazgos-obtenidos/?referer=L-excel-formato&amp;utm_medium=act_formato_excel&amp;utm_source=act_formato_excel&amp;utm_campaign=act_formato_excel&amp;utm_content=act_formato_excel_link" xr:uid="{B9AD3583-CEC4-4757-928B-2524B2CDCDC3}"/>
    <hyperlink ref="B2437" r:id="rId388" display="https://actualicese.com/guia-informacion-laboral-2022/?referer=L-excel-formato&amp;utm_medium=act_formato_excel&amp;utm_source=act_formato_excel&amp;utm_campaign=act_formato_excel&amp;utm_content=act_formato_excel_link" xr:uid="{B459D366-2C24-4878-B7D4-454BEA485BFD}"/>
    <hyperlink ref="B2439" r:id="rId389" display="https://actualicese.com/tabla-para-liquidar-indemnizaciones-por-perdida-de-capacidad-laboral/?referer=L-excel-formato&amp;utm_medium=act_formato_excel&amp;utm_source=act_formato_excel&amp;utm_campaign=act_formato_excel&amp;utm_content=act_formato_excel_link" xr:uid="{236B7E35-A4BA-4204-A458-39541F1E73B1}"/>
    <hyperlink ref="B2441" r:id="rId390" display="https://actualicese.com/guia-plantilla-para-clasificar-una-entidad-en-un-grupo-de-aplicacion-de-las-niif-en-colombia/?referer=L-excel-formato&amp;utm_medium=act_formato_excel&amp;utm_source=act_formato_excel&amp;utm_campaign=act_formato_excel&amp;utm_content=act_formato_excel_link" xr:uid="{9BA42B32-0A30-4939-838C-C48923CFF729}"/>
    <hyperlink ref="B2443" r:id="rId391" display="https://actualicese.com/aviso-de-pago-de-salarios-y-prestaciones-sociales-de-trabajador-fallecido/?referer=L-excel-formato&amp;utm_medium=act_formato_excel&amp;utm_source=act_formato_excel&amp;utm_campaign=act_formato_excel&amp;utm_content=act_formato_excel_link" xr:uid="{C05A6232-6F02-4A98-973C-DC37E4D93C7E}"/>
    <hyperlink ref="B2445" r:id="rId392" display="https://actualicese.com/12-liquidadores-para-calcular-la-prima-de-servicios-semestral/?referer=L-excel-formato&amp;utm_medium=act_formato_excel&amp;utm_source=act_formato_excel&amp;utm_campaign=act_formato_excel&amp;utm_content=act_formato_excel_link" xr:uid="{770EC3C5-AC2D-4544-84E6-A9B1BDA38F82}"/>
    <hyperlink ref="B2447" r:id="rId393" display="https://actualicese.com/liquidador-de-cesantias-en-excel-aplicado-a-11-casos-practicos/?referer=L-excel-formato&amp;utm_medium=act_formato_excel&amp;utm_source=act_formato_excel&amp;utm_campaign=act_formato_excel&amp;utm_content=act_formato_excel_link" xr:uid="{A315E0B9-60F9-4585-974D-EE3988160C47}"/>
    <hyperlink ref="B2449" r:id="rId394" display="https://actualicese.com/pack-de-formatos-formatos-para-la-liquidacion-de-nomina-paso-a-paso/?referer=L-excel-formato&amp;utm_medium=act_formato_excel&amp;utm_source=act_formato_excel&amp;utm_campaign=act_formato_excel&amp;utm_content=act_formato_excel_link" xr:uid="{E765DD8F-7A14-4F38-991B-1A29125A6B2D}"/>
    <hyperlink ref="B2451" r:id="rId395" display="https://actualicese.com/liquidador-de-nomina-mensual-de-trabajador-pensionado-por-vejez/?referer=L-excel-formato&amp;utm_medium=act_formato_excel&amp;utm_source=act_formato_excel&amp;utm_campaign=act_formato_excel&amp;utm_content=act_formato_excel_link" xr:uid="{17151110-2355-4B01-93B5-BDC526FA8BAF}"/>
    <hyperlink ref="B2453" r:id="rId396" display="https://actualicese.com/cuadro-comparativo-de-regimenes-pensionales-en-colombia/?referer=L-excel-formato&amp;utm_medium=act_formato_excel&amp;utm_source=act_formato_excel&amp;utm_campaign=act_formato_excel&amp;utm_content=act_formato_excel_link" xr:uid="{CA21A6B5-518F-4FE6-B16D-EAA43D7B3F94}"/>
    <hyperlink ref="B2455" r:id="rId397" display="https://actualicese.com/responsabilidad-en-seguridad-social-de-trabajadores-independientes/?referer=L-excel-formato&amp;utm_medium=act_formato_excel&amp;utm_source=act_formato_excel&amp;utm_campaign=act_formato_excel&amp;utm_content=act_formato_excel_link" xr:uid="{FEE55E16-57E0-4279-9F97-356ECFFBEB16}"/>
    <hyperlink ref="B2457" r:id="rId398" display="https://actualicese.com/convocatoria-a-asamblea-general-ordinaria-de-sociosaccionistas/?referer=L-excel-formato&amp;utm_medium=act_formato_excel&amp;utm_source=act_formato_excel&amp;utm_campaign=act_formato_excel&amp;utm_content=act_formato_excel_link" xr:uid="{24F3E35D-6D61-4ECD-AC90-13FB9E41C28E}"/>
    <hyperlink ref="B2459" r:id="rId399" display="https://actualicese.com/contabilizacion-de-la-nomina-ejemplo-practico/?referer=L-excel-formato&amp;utm_medium=act_formato_excel&amp;utm_source=act_formato_excel&amp;utm_campaign=act_formato_excel&amp;utm_content=act_formato_excel_link" xr:uid="{9A7A35EF-0C64-437B-A252-A7F9F0AA60CE}"/>
    <hyperlink ref="B2461" r:id="rId400" display="https://actualicese.com/tablas-de-retencion-en-la-fuente-2022-a-titulo-de-impuestos-nacionales/?referer=L-excel-formato&amp;utm_medium=act_formato_excel&amp;utm_source=act_formato_excel&amp;utm_campaign=act_formato_excel&amp;utm_content=act_formato_excel_link" xr:uid="{A590F769-5F99-43E2-8272-4CC072641972}"/>
    <hyperlink ref="B2463" r:id="rId401" display="https://actualicese.com/liquidador-de-prestaciones-sociales-en-periodo-de-incapacidad/?referer=L-excel-formato&amp;utm_medium=act_formato_excel&amp;utm_source=act_formato_excel&amp;utm_campaign=act_formato_excel&amp;utm_content=act_formato_excel_link" xr:uid="{23BA66B2-4FCC-4939-AC78-CC98EE9451E9}"/>
    <hyperlink ref="B2465" r:id="rId402" display="https://actualicese.com/liquidador-de-auxilio-de-incapacidad-valores-asumidos-por-el-empleador-la-eps-o-la-arl/?referer=L-excel-formato&amp;utm_medium=act_formato_excel&amp;utm_source=act_formato_excel&amp;utm_campaign=act_formato_excel&amp;utm_content=act_formato_excel_link" xr:uid="{C78F0E83-5813-45CE-9BC8-F3381847FCC9}"/>
    <hyperlink ref="B2467" r:id="rId403" display="https://actualicese.com/liquidador-de-prestaciones-sociales/?referer=L-excel-formato&amp;utm_medium=act_formato_excel&amp;utm_source=act_formato_excel&amp;utm_campaign=act_formato_excel&amp;utm_content=act_formato_excel_link" xr:uid="{F4ACBAFD-E6E2-4600-8B58-7D6415E3BB48}"/>
    <hyperlink ref="B2469" r:id="rId404" display="https://actualicese.com/liquidador-de-indemnizacion-por-despido-sin-justa-causa-contrato-indefinido/?referer=L-excel-formato&amp;utm_medium=act_formato_excel&amp;utm_source=act_formato_excel&amp;utm_campaign=act_formato_excel&amp;utm_content=act_formato_excel_link" xr:uid="{F2264291-AE2F-41A2-B4EB-24035524BC58}"/>
    <hyperlink ref="B2471" r:id="rId405" display="https://actualicese.com/liquidador-de-indemnizacion-por-despido-sin-justa-causa-para-contrato-fijo-u-obra-labor/?referer=L-excel-formato&amp;utm_medium=act_formato_excel&amp;utm_source=act_formato_excel&amp;utm_campaign=act_formato_excel&amp;utm_content=act_formato_excel_link" xr:uid="{735884E8-5C81-4A8A-A17D-B84298BE221C}"/>
    <hyperlink ref="B2473" r:id="rId406" display="https://actualicese.com/carta-entrega-de-dotacion/?referer=L-excel-formato&amp;utm_medium=act_formato_excel&amp;utm_source=act_formato_excel&amp;utm_campaign=act_formato_excel&amp;utm_content=act_formato_excel_link" xr:uid="{D9BBBE22-3F6B-4376-8358-34AD69E8F225}"/>
    <hyperlink ref="B2475" r:id="rId407" display="https://actualicese.com/solicitud-compensacion-en-dinero-de-las-vacaciones/?referer=L-excel-formato&amp;utm_medium=act_formato_excel&amp;utm_source=act_formato_excel&amp;utm_campaign=act_formato_excel&amp;utm_content=act_formato_excel_link" xr:uid="{D05BCBF6-97AB-4CB7-8194-64624BCDC9D0}"/>
    <hyperlink ref="B2477" r:id="rId408" display="https://actualicese.com/carta-de-finalizacion-del-contrato-individual-de-trabajo-por-justa-causa/?referer=L-excel-formato&amp;utm_medium=act_formato_excel&amp;utm_source=act_formato_excel&amp;utm_campaign=act_formato_excel&amp;utm_content=act_formato_excel_link" xr:uid="{A778B9ED-441B-404B-A7EB-DED182CD706A}"/>
    <hyperlink ref="B2479" r:id="rId409" display="https://actualicese.com/autorizacion-de-descuentos-sobre-salarios-por-prestamos-al-trabajador/?referer=L-excel-formato&amp;utm_medium=act_formato_excel&amp;utm_source=act_formato_excel&amp;utm_campaign=act_formato_excel&amp;utm_content=act_formato_excel_link" xr:uid="{13F19E99-9FE2-4384-A10E-5D5E43E212C1}"/>
    <hyperlink ref="B2481" r:id="rId410" display="https://actualicese.com/liquidacion-de-nomina-cuando-hay-incapacidad-caso-practico/?referer=L-excel-formato&amp;utm_medium=act_formato_excel&amp;utm_source=act_formato_excel&amp;utm_campaign=act_formato_excel&amp;utm_content=act_formato_excel_link" xr:uid="{482B7D3D-9BE4-41E0-87C2-1CD046C098FD}"/>
    <hyperlink ref="B2483" r:id="rId411" display="https://actualicese.com/historico-de-tasas-de-intereses-moratorios-dian/?referer=L-excel-formato&amp;utm_medium=act_formato_excel&amp;utm_source=act_formato_excel&amp;utm_campaign=act_formato_excel&amp;utm_content=act_formato_excel_link" xr:uid="{AC0B33B7-5816-4EF7-88CE-CB82C5162995}"/>
    <hyperlink ref="B2485" r:id="rId412" display="https://actualicese.com/liquidador-de-retencion-en-la-fuente-con-procedimiento-1-sobre-rentas-de-trabajo-durante-2022/?referer=L-excel-formato&amp;utm_medium=act_formato_excel&amp;utm_source=act_formato_excel&amp;utm_campaign=act_formato_excel&amp;utm_content=act_formato_excel_link" xr:uid="{8CD43D1C-0EE5-4303-9795-467AD289D763}"/>
    <hyperlink ref="B2487" r:id="rId413" display="https://actualicese.com/liquidador-prima/?referer=L-excel-formato&amp;utm_medium=act_formato_excel&amp;utm_source=act_formato_excel&amp;utm_campaign=act_formato_excel&amp;utm_content=act_formato_excel_link" xr:uid="{58A278AE-9548-4927-96D7-248466740FA2}"/>
    <hyperlink ref="B2489" r:id="rId414" display="https://actualicese.com/horas-diurnas-nocturnas-extras-dominicales-y-festivas/?referer=L-excel-formato&amp;utm_medium=act_formato_excel&amp;utm_source=act_formato_excel&amp;utm_campaign=act_formato_excel&amp;utm_content=act_formato_excel_link" xr:uid="{832CF480-364A-467B-B88D-76974B644EB4}"/>
    <hyperlink ref="B2491" r:id="rId415" display="https://actualicese.com/guia-sobre-propiedad-horizontal-en-colombia-379-preguntas-resueltas/?referer=L-excel-formato&amp;utm_medium=act_formato_excel&amp;utm_source=act_formato_excel&amp;utm_campaign=act_formato_excel&amp;utm_content=act_formato_excel_link" xr:uid="{2D393AF3-F082-418D-82F0-ADCB1B0F25C6}"/>
    <hyperlink ref="B2493" r:id="rId416" display="https://actualicese.com/tabla-de-tarifas-de-honorarios-profesionales-para-contadores-publicos/?referer=L-excel-formato&amp;utm_medium=act_formato_excel&amp;utm_source=act_formato_excel&amp;utm_campaign=act_formato_excel&amp;utm_content=act_formato_excel_link" xr:uid="{07AAD559-5EBC-497F-83C4-0E2DFFCD74ED}"/>
    <hyperlink ref="B2495" r:id="rId417" display="https://actualicese.com/liquidador-historico-de-porcentajes-de-reajuste-fiscal/?referer=L-excel-formato&amp;utm_medium=act_formato_excel&amp;utm_source=act_formato_excel&amp;utm_campaign=act_formato_excel&amp;utm_content=act_formato_excel_link" xr:uid="{B23DFCBD-DCF1-4E3A-9067-5DBB0DA015E4}"/>
    <hyperlink ref="B2497" r:id="rId418" display="https://actualicese.com/calendario-tributario-distrital-2022/?referer=L-excel-formato&amp;utm_medium=act_formato_excel&amp;utm_source=act_formato_excel&amp;utm_campaign=act_formato_excel&amp;utm_content=act_formato_excel_link" xr:uid="{89420657-E173-4A7C-9F7F-AC61CF3C56F8}"/>
    <hyperlink ref="B2499" r:id="rId419" display="https://actualicese.com/sancion-por-no-consignar-las-cesantias-y-no-pagar-los-intereses/?referer=L-excel-formato&amp;utm_medium=act_formato_excel&amp;utm_source=act_formato_excel&amp;utm_campaign=act_formato_excel&amp;utm_content=act_formato_excel_link" xr:uid="{EBE403B3-E3EE-45A5-AA90-18B47534325C}"/>
    <hyperlink ref="B2501" r:id="rId420" display="https://actualicese.com/liquidador-de-seguridad-social-parafiscales-y-prestaciones-en-vacaciones/?referer=L-excel-formato&amp;utm_medium=act_formato_excel&amp;utm_source=act_formato_excel&amp;utm_campaign=act_formato_excel&amp;utm_content=act_formato_excel_link" xr:uid="{1A65FBF3-764C-4175-B2E9-EE90BC08F359}"/>
    <hyperlink ref="B2503" r:id="rId421" display="https://actualicese.com/guia-para-elaborar-la-hoja-de-vida-de-un-contador-publico/?referer=L-excel-formato&amp;utm_medium=act_formato_excel&amp;utm_source=act_formato_excel&amp;utm_campaign=act_formato_excel&amp;utm_content=act_formato_excel_link" xr:uid="{65713A7A-95BA-4B89-8F32-E24DBAB76BDE}"/>
    <hyperlink ref="B2505" r:id="rId422" display="https://actualicese.com/nota-por-aplicar-la-exencion-de-contabilizacion-del-impuesto-diferido-de-2021/?referer=L-excel-formato&amp;utm_medium=act_formato_excel&amp;utm_source=act_formato_excel&amp;utm_campaign=act_formato_excel&amp;utm_content=act_formato_excel_link" xr:uid="{73715EED-08AB-4384-B99D-38A0FE514BEA}"/>
    <hyperlink ref="B2507" r:id="rId423" display="https://actualicese.com/formulas-para-liquidacion-de-prestaciones-vacaciones-y-horas-extras/?referer=L-excel-formato&amp;utm_medium=act_formato_excel&amp;utm_source=act_formato_excel&amp;utm_campaign=act_formato_excel&amp;utm_content=act_formato_excel_link" xr:uid="{53E2E60D-745A-46C1-BF5B-BC2081E28ABE}"/>
    <hyperlink ref="B2509" r:id="rId424" display="https://actualicese.com/costo-de-la-contratacion-de-un-trabajador-que-devenga-un-salario-minimo-caso-practico/?referer=L-excel-formato&amp;utm_medium=act_formato_excel&amp;utm_source=act_formato_excel&amp;utm_campaign=act_formato_excel&amp;utm_content=act_formato_excel_link" xr:uid="{8D328101-1033-46DB-AF57-3C5F04947202}"/>
    <hyperlink ref="B2511" r:id="rId425" display="https://actualicese.com/simulador-en-excel-para-realizar-la-liquidacion-de-contratos-de-trabajo/?referer=L-excel-formato&amp;utm_medium=act_formato_excel&amp;utm_source=act_formato_excel&amp;utm_campaign=act_formato_excel&amp;utm_content=act_formato_excel_link" xr:uid="{1DAF3C3A-FF92-4A7F-803C-22BCCE420AFD}"/>
    <hyperlink ref="B2513" r:id="rId426" display="https://actualicese.com/liquidador-de-vacaciones-en-excel-aplicado-a-10-casos-practicos/?referer=L-excel-formato&amp;utm_medium=act_formato_excel&amp;utm_source=act_formato_excel&amp;utm_campaign=act_formato_excel&amp;utm_content=act_formato_excel_link" xr:uid="{49566F4B-8496-4C09-B40E-24737FA4FF87}"/>
    <hyperlink ref="B2515" r:id="rId427" display="https://actualicese.com/liquidador-de-sanciones-por-no-expedir-factura/?referer=L-excel-formato&amp;utm_medium=act_formato_excel&amp;utm_source=act_formato_excel&amp;utm_campaign=act_formato_excel&amp;utm_content=act_formato_excel_link" xr:uid="{A6B3D1F3-1B03-4BB8-9C54-7A92E39CE798}"/>
    <hyperlink ref="B2517" r:id="rId428" display="https://actualicese.com/liquidador-de-sanciones-por-expedir-factura-sin-cumplir-los-requisitos-legales/?referer=L-excel-formato&amp;utm_medium=act_formato_excel&amp;utm_source=act_formato_excel&amp;utm_campaign=act_formato_excel&amp;utm_content=act_formato_excel_link" xr:uid="{B42A0EE7-8EC2-46CC-925E-E224145BEC67}"/>
    <hyperlink ref="B2519" r:id="rId429" display="https://actualicese.com/metodos-de-medicion-de-activos-y-pasivos-segun-el-estandar-para-pymes/?referer=L-excel-formato&amp;utm_medium=act_formato_excel&amp;utm_source=act_formato_excel&amp;utm_campaign=act_formato_excel&amp;utm_content=act_formato_excel_link" xr:uid="{0D67B90B-3B4C-4287-B5A8-EAEF39BB30C6}"/>
    <hyperlink ref="B2521" r:id="rId430" display="https://actualicese.com/carta-para-solicitar-el-certificado-de-donacion-para-efectuar-descuento-tributario/?referer=L-excel-formato&amp;utm_medium=act_formato_excel&amp;utm_source=act_formato_excel&amp;utm_campaign=act_formato_excel&amp;utm_content=act_formato_excel_link" xr:uid="{6A4684EF-C7B3-4737-8572-F32714408C81}"/>
    <hyperlink ref="B2523" r:id="rId431" display="https://actualicese.com/liquidadores-de-sanciones-relacionadas-con-la-informacion-exogena-resueltas-en-2022/?referer=L-excel-formato&amp;utm_medium=act_formato_excel&amp;utm_source=act_formato_excel&amp;utm_campaign=act_formato_excel&amp;utm_content=act_formato_excel_link" xr:uid="{3619023D-F767-46E4-AFE2-3F66716455DD}"/>
    <hyperlink ref="B2525" r:id="rId432" display="https://actualicese.com/liquidador-de-sancion-por-inexactitud/?referer=L-excel-formato&amp;utm_medium=act_formato_excel&amp;utm_source=act_formato_excel&amp;utm_campaign=act_formato_excel&amp;utm_content=act_formato_excel_link" xr:uid="{9DE9314B-E105-44F3-BE40-10B35004CF8F}"/>
    <hyperlink ref="B2527" r:id="rId433" display="https://actualicese.com/solicitud-de-licencia-por-luto/?referer=L-excel-formato&amp;utm_medium=act_formato_excel&amp;utm_source=act_formato_excel&amp;utm_campaign=act_formato_excel&amp;utm_content=act_formato_excel_link" xr:uid="{EB446797-B84C-4EED-9228-A4E961B7ACC4}"/>
    <hyperlink ref="B2529" r:id="rId434" display="https://actualicese.com/informe-del-revisor-fiscal-dirigido-a-la-asamblea-de-accionistas-o-junta-de-socios/?referer=L-excel-formato&amp;utm_medium=act_formato_excel&amp;utm_source=act_formato_excel&amp;utm_campaign=act_formato_excel&amp;utm_content=act_formato_excel_link" xr:uid="{B7FE7798-A872-4BA0-A2C0-C043334605BB}"/>
    <hyperlink ref="B2531" r:id="rId435" display="https://actualicese.com/listado-de-ingresos-de-fuente-extranjera-periodo-gravable-2021/?referer=L-excel-formato&amp;utm_medium=act_formato_excel&amp;utm_source=act_formato_excel&amp;utm_campaign=act_formato_excel&amp;utm_content=act_formato_excel_link" xr:uid="{3CF75323-C3F2-4339-B6DC-558F982CB737}"/>
    <hyperlink ref="B2533" r:id="rId436" display="https://actualicese.com/convertidor-de-uvt/?referer=L-excel-formato&amp;utm_medium=act_formato_excel&amp;utm_source=act_formato_excel&amp;utm_campaign=act_formato_excel&amp;utm_content=act_formato_excel_link" xr:uid="{8670D96B-72EF-4FC6-80D0-388A0D3FCFB7}"/>
    <hyperlink ref="B2535" r:id="rId437" display="https://actualicese.com/pack-de-formatos-guias-para-profundizar-las-novedades-de-la-reforma-tributaria-ley-de-inversion-social-2155-de-2021/?referer=L-excel-formato&amp;utm_medium=act_formato_excel&amp;utm_source=act_formato_excel&amp;utm_campaign=act_formato_excel&amp;utm_content=act_formato_excel_link" xr:uid="{4FB65AF7-16DD-4CFA-8789-A10D0AD11C69}"/>
    <hyperlink ref="B2537" r:id="rId438" display="https://actualicese.com/derecho-de-peticion-para-retiro-de-centrales-de-riesgo-por-prescripcion/?referer=L-excel-formato&amp;utm_medium=act_formato_excel&amp;utm_source=act_formato_excel&amp;utm_campaign=act_formato_excel&amp;utm_content=act_formato_excel_link" xr:uid="{21BAB9B8-5A9D-49C2-81FC-0E00C8ABD714}"/>
    <hyperlink ref="B2539" r:id="rId439" display="https://actualicese.com/formato-de-solicitud-de-licencia-de-calamidad-domestica/?referer=L-excel-formato&amp;utm_medium=act_formato_excel&amp;utm_source=act_formato_excel&amp;utm_campaign=act_formato_excel&amp;utm_content=act_formato_excel_link" xr:uid="{9F55C163-F7BA-4995-B756-18AFBE1E0339}"/>
    <hyperlink ref="B2541" r:id="rId440" display="https://actualicese.com/planilla-de-asistencia-y-toma-de-decisiones-en-asambleas-de-accionistas-o-juntas-de-socios/?referer=L-excel-formato&amp;utm_medium=act_formato_excel&amp;utm_source=act_formato_excel&amp;utm_campaign=act_formato_excel&amp;utm_content=act_formato_excel_link" xr:uid="{087CD775-A8C1-4EA6-8B0F-232765ADCDFD}"/>
    <hyperlink ref="B2543" r:id="rId441" display="https://actualicese.com/cuestionario-de-control-interno-de-provisiones-y-contingencias-en-excel/?referer=L-excel-formato&amp;utm_medium=act_formato_excel&amp;utm_source=act_formato_excel&amp;utm_campaign=act_formato_excel&amp;utm_content=act_formato_excel_link" xr:uid="{39FE44AF-D396-4760-9A50-38F5733BE057}"/>
    <hyperlink ref="B2545" r:id="rId442" display="https://actualicese.com/liquidador-de-intereses-moratorios-con-tasa-transitoria-de-la-ley-de-inversion-social-2155-de-2021/?referer=L-excel-formato&amp;utm_medium=act_formato_excel&amp;utm_source=act_formato_excel&amp;utm_campaign=act_formato_excel&amp;utm_content=act_formato_excel_link" xr:uid="{24C279DB-D4FF-4C33-B117-BB2B8EE6C554}"/>
    <hyperlink ref="B2547" r:id="rId443" display="https://actualicese.com/casos-practicos-de-reduccion-de-sancion-por-correccion-reforma-tributaria-2021/?referer=L-excel-formato&amp;utm_medium=act_formato_excel&amp;utm_source=act_formato_excel&amp;utm_campaign=act_formato_excel&amp;utm_content=act_formato_excel_link" xr:uid="{CB9BC045-5D91-4B7A-B075-48DE7C1329E2}"/>
    <hyperlink ref="B2549" r:id="rId444" display="https://actualicese.com/liquidador-de-indicadores-de-detrimento-patrimonial-e-insolvencia-financiera/?referer=L-excel-formato&amp;utm_medium=act_formato_excel&amp;utm_source=act_formato_excel&amp;utm_campaign=act_formato_excel&amp;utm_content=act_formato_excel_link" xr:uid="{E86FB684-E697-4833-98D5-0A882081EF5B}"/>
    <hyperlink ref="B2551" r:id="rId445" display="https://actualicese.com/modelo-para-definir-si-una-persona-natural-esta-obligada-a-declarar-renta/?referer=L-excel-formato&amp;utm_medium=act_formato_excel&amp;utm_source=act_formato_excel&amp;utm_campaign=act_formato_excel&amp;utm_content=act_formato_excel_link" xr:uid="{F9FFCADD-3A9C-4851-AD53-81781B67CC8A}"/>
    <hyperlink ref="B2553" r:id="rId446" display="https://actualicese.com/modelo-calculo-de-intereses-sobre-las-cesantias/?referer=L-excel-formato&amp;utm_medium=act_formato_excel&amp;utm_source=act_formato_excel&amp;utm_campaign=act_formato_excel&amp;utm_content=act_formato_excel_link" xr:uid="{B3A25881-B060-47DB-833D-9471B3DA8037}"/>
    <hyperlink ref="B2555" r:id="rId447" display="https://actualicese.com/comprobante-de-pago-intereses-a-las-cesantias/?referer=L-excel-formato&amp;utm_medium=act_formato_excel&amp;utm_source=act_formato_excel&amp;utm_campaign=act_formato_excel&amp;utm_content=act_formato_excel_link" xr:uid="{C27D64B6-9843-4580-9BDA-D4B673E2E30A}"/>
    <hyperlink ref="B2557" r:id="rId448" display="https://actualicese.com/auditoria-de-nomina-informe-de-control-interno/?referer=L-excel-formato&amp;utm_medium=act_formato_excel&amp;utm_source=act_formato_excel&amp;utm_campaign=act_formato_excel&amp;utm_content=act_formato_excel_link" xr:uid="{40B70E82-6D12-41B8-BC04-ACC9FEBD31EF}"/>
    <hyperlink ref="B2559" r:id="rId449" display="https://actualicese.com/porcentaje-fijo-de-retencion-en-la-fuente-sobre-salarios-en-diciembre-de-2021-procedimiento-2/?referer=L-excel-formato&amp;utm_medium=act_formato_excel&amp;utm_source=act_formato_excel&amp;utm_campaign=act_formato_excel&amp;utm_content=act_formato_excel_link" xr:uid="{F3795580-3431-4358-813D-DB9022A93466}"/>
    <hyperlink ref="B2561" r:id="rId450" display="https://actualicese.com/ejemplos-de-aplicacion-de-los-beneficios-de-la-ley-de-borron-y-cuenta-nueva/?referer=L-excel-formato&amp;utm_medium=act_formato_excel&amp;utm_source=act_formato_excel&amp;utm_campaign=act_formato_excel&amp;utm_content=act_formato_excel_link" xr:uid="{06F836D4-8ED4-4A2F-B34D-A73182B21C98}"/>
    <hyperlink ref="B2563" r:id="rId451" display="https://actualicese.com/modelo-de-informe-de-control-interno/?referer=L-excel-formato&amp;utm_medium=act_formato_excel&amp;utm_source=act_formato_excel&amp;utm_campaign=act_formato_excel&amp;utm_content=act_formato_excel_link" xr:uid="{3E8E05BF-841C-455E-B644-ED42764DB421}"/>
    <hyperlink ref="B2565" r:id="rId452" display="https://actualicese.com/casos-de-reduccion-de-sancion-por-extemporaneidad-antes-del-emplazamiento-reforma-tributaria-2021/?referer=L-excel-formato&amp;utm_medium=act_formato_excel&amp;utm_source=act_formato_excel&amp;utm_campaign=act_formato_excel&amp;utm_content=act_formato_excel_link" xr:uid="{C946368D-CD4D-4ACC-8A9F-68D672866F75}"/>
    <hyperlink ref="B2567" r:id="rId453" display="https://actualicese.com/casos-de-reduccion-de-sancion-por-extemporaneidad-despues-del-emplazamiento-reforma-tributaria-2021/?referer=L-excel-formato&amp;utm_medium=act_formato_excel&amp;utm_source=act_formato_excel&amp;utm_campaign=act_formato_excel&amp;utm_content=act_formato_excel_link" xr:uid="{AB6BF8B0-B4F0-493F-9735-192407CE456A}"/>
    <hyperlink ref="B2569" r:id="rId454" display="https://actualicese.com/manifestacion-sobre-la-evaluacion-del-control-interno/?referer=L-excel-formato&amp;utm_medium=act_formato_excel&amp;utm_source=act_formato_excel&amp;utm_campaign=act_formato_excel&amp;utm_content=act_formato_excel_link" xr:uid="{B8C480C4-7BD0-4241-932B-FE48395A46C7}"/>
    <hyperlink ref="B2571" r:id="rId455" display="https://actualicese.com/manifestacion-sobre-las-pruebas-de-cumplimiento-y-sustantivas-en-informe-de-control-interno/?referer=L-excel-formato&amp;utm_medium=act_formato_excel&amp;utm_source=act_formato_excel&amp;utm_campaign=act_formato_excel&amp;utm_content=act_formato_excel_link" xr:uid="{C2626231-9171-4E60-95AE-7EE9F2F59349}"/>
    <hyperlink ref="B2573" r:id="rId456" display="https://actualicese.com/solicitud-de-retiro-parcial-de-cesantias-para-vivienda/?referer=L-excel-formato&amp;utm_medium=act_formato_excel&amp;utm_source=act_formato_excel&amp;utm_campaign=act_formato_excel&amp;utm_content=act_formato_excel_link" xr:uid="{D4140AA5-973E-4B54-AE70-B1E9052A70DB}"/>
    <hyperlink ref="B2575" r:id="rId457" display="https://actualicese.com/notificacion-al-empleador-sobre-eleccion-de-fondo-de-cesantias/?referer=L-excel-formato&amp;utm_medium=act_formato_excel&amp;utm_source=act_formato_excel&amp;utm_campaign=act_formato_excel&amp;utm_content=act_formato_excel_link" xr:uid="{2C1E9809-DE2A-4892-AD17-FC09C6F7B448}"/>
    <hyperlink ref="B2577" r:id="rId458" display="https://actualicese.com/modelo-de-dictamen-del-revisor-fiscal-para-empresas-en-liquidacion-opinion-favorable/?referer=L-excel-formato&amp;utm_medium=act_formato_excel&amp;utm_source=act_formato_excel&amp;utm_campaign=act_formato_excel&amp;utm_content=act_formato_excel_link" xr:uid="{D8A6A305-FF65-40A6-97CE-22BFF78B9076}"/>
    <hyperlink ref="B2579" r:id="rId459" display="https://actualicese.com/certificacion-del-contador-o-revisor-fiscal-para-la-inscripcion-de-libros-en-la-camara-de-comercio/?referer=L-excel-formato&amp;utm_medium=act_formato_excel&amp;utm_source=act_formato_excel&amp;utm_campaign=act_formato_excel&amp;utm_content=act_formato_excel_link" xr:uid="{58A3EC30-7CDB-4A5D-B10F-BE3A752B2729}"/>
    <hyperlink ref="B2581" r:id="rId460" display="https://actualicese.com/formatos-de-analisis-financiero-en-excel/?referer=L-excel-formato&amp;utm_medium=act_formato_excel&amp;utm_source=act_formato_excel&amp;utm_campaign=act_formato_excel&amp;utm_content=act_formato_excel_link" xr:uid="{3E8D064A-DE20-4B5C-998E-2ACAC2821314}"/>
    <hyperlink ref="B2583" r:id="rId461" display="https://actualicese.com/modelo-de-certificado-para-acceder-al-incentivo-a-la-creacion-de-nuevos-empleos/?referer=L-excel-formato&amp;utm_medium=act_formato_excel&amp;utm_source=act_formato_excel&amp;utm_campaign=act_formato_excel&amp;utm_content=act_formato_excel_link" xr:uid="{92429CF4-D65D-4498-B7C2-1581EED28641}"/>
    <hyperlink ref="B2585" r:id="rId462" display="https://actualicese.com/cuestionario-de-control-interno-de-inventarios-en-excel/?referer=L-excel-formato&amp;utm_medium=act_formato_excel&amp;utm_source=act_formato_excel&amp;utm_campaign=act_formato_excel&amp;utm_content=act_formato_excel_link" xr:uid="{E976BCFD-B465-4E7B-B199-2259ADB7CFC5}"/>
    <hyperlink ref="B2587" r:id="rId463" display="https://actualicese.com/dupont-indice-de-rentabilidad/?referer=L-excel-formato&amp;utm_medium=act_formato_excel&amp;utm_source=act_formato_excel&amp;utm_campaign=act_formato_excel&amp;utm_content=act_formato_excel_link" xr:uid="{77F8129A-CD19-4ADC-92B5-2E533B2DF2BC}"/>
    <hyperlink ref="B2589" r:id="rId464" display="https://actualicese.com/grados-de-apalancamiento-financiero-y-operativo/?referer=L-excel-formato&amp;utm_medium=act_formato_excel&amp;utm_source=act_formato_excel&amp;utm_campaign=act_formato_excel&amp;utm_content=act_formato_excel_link" xr:uid="{E4968C3C-D8B3-4FE0-856E-81DE53CC6AB1}"/>
    <hyperlink ref="B2591" r:id="rId465" display="https://actualicese.com/indicadores-financieros-de-actividad-y-rentabilidad/?referer=L-excel-formato&amp;utm_medium=act_formato_excel&amp;utm_source=act_formato_excel&amp;utm_campaign=act_formato_excel&amp;utm_content=act_formato_excel_link" xr:uid="{E34E763C-7F26-440A-A63F-D28D51C0544F}"/>
    <hyperlink ref="B2593" r:id="rId466" display="https://actualicese.com/indicadores-financieros-de-endeudamiento/?referer=L-excel-formato&amp;utm_medium=act_formato_excel&amp;utm_source=act_formato_excel&amp;utm_campaign=act_formato_excel&amp;utm_content=act_formato_excel_link" xr:uid="{8D7F8201-C1A2-4D06-BB18-4F6623B6D810}"/>
    <hyperlink ref="B2595" r:id="rId467" display="https://actualicese.com/indicadores-financieros-margenes-de-utilidad-o-rentabilidad/?referer=L-excel-formato&amp;utm_medium=act_formato_excel&amp;utm_source=act_formato_excel&amp;utm_campaign=act_formato_excel&amp;utm_content=act_formato_excel_link" xr:uid="{0A98F870-068A-43D5-A518-23F0A95F165F}"/>
    <hyperlink ref="B2597" r:id="rId468" display="https://actualicese.com/indicadores-financieros-de-liquidez/?referer=L-excel-formato&amp;utm_medium=act_formato_excel&amp;utm_source=act_formato_excel&amp;utm_campaign=act_formato_excel&amp;utm_content=act_formato_excel_link" xr:uid="{BE95A97A-75A0-4459-B158-A6CB720CD12B}"/>
    <hyperlink ref="B2599" r:id="rId469" display="https://actualicese.com/simulador-del-punto-de-equilibrio-en-excel-herramienta-de-analisis-financiero/?referer=L-excel-formato&amp;utm_medium=act_formato_excel&amp;utm_source=act_formato_excel&amp;utm_campaign=act_formato_excel&amp;utm_content=act_formato_excel_link" xr:uid="{7ADFDCA1-D78A-48B1-9CE0-3BCC8C805F17}"/>
    <hyperlink ref="B2601" r:id="rId470" display="https://actualicese.com/analisis-vertical-y-horizontal-aplicados-a-la-interpretacion-de-informacion-financiera/?referer=L-excel-formato&amp;utm_medium=act_formato_excel&amp;utm_source=act_formato_excel&amp;utm_campaign=act_formato_excel&amp;utm_content=act_formato_excel_link" xr:uid="{F829E936-5AEC-47DF-88F0-923B29DC9E8F}"/>
    <hyperlink ref="B2603" r:id="rId471" display="https://actualicese.com/analisis-de-informacion-de-ventas-utilizando-el-metodo-del-indice-de-estacionalidad/?referer=L-excel-formato&amp;utm_medium=act_formato_excel&amp;utm_source=act_formato_excel&amp;utm_campaign=act_formato_excel&amp;utm_content=act_formato_excel_link" xr:uid="{9821BB5A-5333-4EFC-BFFE-EF3C7BB8AD0A}"/>
    <hyperlink ref="B2605" r:id="rId472" display="https://actualicese.com/modelo-para-analizar-el-valor-presente-y-el-valor-presente-neto-de-una-inversion/?referer=L-excel-formato&amp;utm_medium=act_formato_excel&amp;utm_source=act_formato_excel&amp;utm_campaign=act_formato_excel&amp;utm_content=act_formato_excel_link" xr:uid="{05EBFC97-25F1-4F50-B606-CE759A438204}"/>
    <hyperlink ref="B2607" r:id="rId473" display="https://actualicese.com/indicadores-financieros-de-mercado/?referer=L-excel-formato&amp;utm_medium=act_formato_excel&amp;utm_source=act_formato_excel&amp;utm_campaign=act_formato_excel&amp;utm_content=act_formato_excel_link" xr:uid="{26E4B163-B315-461D-B940-D87AEE7A6031}"/>
    <hyperlink ref="B2609" r:id="rId474" display="https://actualicese.com/inscripcion-en-el-rut-lista-de-chequeo-para-inscribirse-a-traves-de-las-camaras-de-comercio/?referer=L-excel-formato&amp;utm_medium=act_formato_excel&amp;utm_source=act_formato_excel&amp;utm_campaign=act_formato_excel&amp;utm_content=act_formato_excel_link" xr:uid="{7853504E-9574-404C-858E-B7F18C37AB30}"/>
    <hyperlink ref="B2611" r:id="rId475" display="https://actualicese.com/apoyo-a-empresas-afectadas-por-el-paro-nacional-matriz-en-excel-y-casos-practicos/?referer=L-excel-formato&amp;utm_medium=act_formato_excel&amp;utm_source=act_formato_excel&amp;utm_campaign=act_formato_excel&amp;utm_content=act_formato_excel_link" xr:uid="{17BD3151-3746-4D19-8EB6-C3C193BC42A9}"/>
    <hyperlink ref="B2613" r:id="rId476" display="https://actualicese.com/modelo-para-la-elaboracion-de-estados-financieros-y-calculo-de-los-indicadores-financieros/?referer=L-excel-formato&amp;utm_medium=act_formato_excel&amp;utm_source=act_formato_excel&amp;utm_campaign=act_formato_excel&amp;utm_content=act_formato_excel_link" xr:uid="{2B2B7148-8C08-4EEC-A3FE-61A8AE559243}"/>
    <hyperlink ref="B2615" r:id="rId477" display="https://actualicese.com/ejercicios-de-conversion-entre-tasas-de-interes-efectiva-nominal-y-periodica/?referer=L-excel-formato&amp;utm_medium=act_formato_excel&amp;utm_source=act_formato_excel&amp;utm_campaign=act_formato_excel&amp;utm_content=act_formato_excel_link" xr:uid="{358C5DC1-24D9-4CBD-AC47-E1FB14DC1628}"/>
    <hyperlink ref="B2617" r:id="rId478" display="https://actualicese.com/casos-practicos-en-excel-sobre-ventas-en-los-dias-sin-iva/?referer=L-excel-formato&amp;utm_medium=act_formato_excel&amp;utm_source=act_formato_excel&amp;utm_campaign=act_formato_excel&amp;utm_content=act_formato_excel_link" xr:uid="{FB0FF829-AC34-461A-833B-B422DCADC05E}"/>
    <hyperlink ref="B2619" r:id="rId479" display="https://actualicese.com/matriz-sobre-las-nuevas-condiciones-para-aplicar-a-la-exencion-de-los-3-dias-sin-iva/?referer=L-excel-formato&amp;utm_medium=act_formato_excel&amp;utm_source=act_formato_excel&amp;utm_campaign=act_formato_excel&amp;utm_content=act_formato_excel_link" xr:uid="{1CC3B948-DD18-4DFF-BF9D-2C67FDFF339B}"/>
    <hyperlink ref="B2621" r:id="rId480" display="https://actualicese.com/guia-con-casos-de-verificacion-de-requisitos-para-acceder-al-apoyo-por-generar-nuevos-empleos/?referer=L-excel-formato&amp;utm_medium=act_formato_excel&amp;utm_source=act_formato_excel&amp;utm_campaign=act_formato_excel&amp;utm_content=act_formato_excel_link" xr:uid="{657CBDD6-30E8-417A-AA47-1837B5FE4D5E}"/>
    <hyperlink ref="B2623" r:id="rId481" display="https://actualicese.com/lista-de-chequeo-de-revelaciones-seccion-18-activos-intangibles-distintos-de-la-plusvalia/?referer=L-excel-formato&amp;utm_medium=act_formato_excel&amp;utm_source=act_formato_excel&amp;utm_campaign=act_formato_excel&amp;utm_content=act_formato_excel_link" xr:uid="{F5956FB6-DFDE-4306-94FD-A50C8C523A6F}"/>
    <hyperlink ref="B2625" r:id="rId482" display="https://actualicese.com/lista-de-chequeo-de-revelaciones-seccion-20-arrendamientos/?referer=L-excel-formato&amp;utm_medium=act_formato_excel&amp;utm_source=act_formato_excel&amp;utm_campaign=act_formato_excel&amp;utm_content=act_formato_excel_link" xr:uid="{DD6D553E-1B5B-4CEB-AC56-AF92B530A079}"/>
    <hyperlink ref="B2627" r:id="rId483" display="https://actualicese.com/lista-de-chequeo-de-revelaciones-nic-38-activos-intangibles/?referer=L-excel-formato&amp;utm_medium=act_formato_excel&amp;utm_source=act_formato_excel&amp;utm_campaign=act_formato_excel&amp;utm_content=act_formato_excel_link" xr:uid="{7D232533-562F-4065-96E6-F1DE1AF8FF98}"/>
    <hyperlink ref="B2629" r:id="rId484" display="https://actualicese.com/modelos-y-guias-sobre-aspectos-labores-y-comerciales-que-deben-atender-los-trabajadores-independientes/?referer=L-excel-formato&amp;utm_medium=act_formato_excel&amp;utm_source=act_formato_excel&amp;utm_campaign=act_formato_excel&amp;utm_content=act_formato_excel_link" xr:uid="{B26A8BD3-CC02-43A6-9174-7CFDB566FC48}"/>
    <hyperlink ref="B2631" r:id="rId485" display="https://actualicese.com/liquidador-del-numero-de-empleados-y-calculo-del-aporte-del-paef/?referer=L-excel-formato&amp;utm_medium=act_formato_excel&amp;utm_source=act_formato_excel&amp;utm_campaign=act_formato_excel&amp;utm_content=act_formato_excel_link" xr:uid="{BB0F7493-A6E5-4C18-B9EB-BE252051BD00}"/>
    <hyperlink ref="B2633" r:id="rId486" display="https://actualicese.com/simulador-de-la-reduccion-de-multas-de-transito-contemplada-en-la-ley-de-inversion-social/?referer=L-excel-formato&amp;utm_medium=act_formato_excel&amp;utm_source=act_formato_excel&amp;utm_campaign=act_formato_excel&amp;utm_content=act_formato_excel_link" xr:uid="{35172EAC-E51E-43A3-A56A-7782D3BB7D25}"/>
    <hyperlink ref="B2635" r:id="rId487" display="https://actualicese.com/plantilla-para-auditar-la-declaracion-del-impuesto-sobre-las-ventas-iva/?referer=L-excel-formato&amp;utm_medium=act_formato_excel&amp;utm_source=act_formato_excel&amp;utm_campaign=act_formato_excel&amp;utm_content=act_formato_excel_link" xr:uid="{1B65190F-0C74-4843-B76C-ED761D42C570}"/>
    <hyperlink ref="B2637" r:id="rId488" display="https://actualicese.com/matriz-nuevas-condiciones-para-postularse-al-programa-de-apoyo-al-empleo-formal-paef/?referer=L-excel-formato&amp;utm_medium=act_formato_excel&amp;utm_source=act_formato_excel&amp;utm_campaign=act_formato_excel&amp;utm_content=act_formato_excel_link" xr:uid="{4EF70B92-9E79-4654-BEF3-D502D136E200}"/>
    <hyperlink ref="B2639" r:id="rId489" display="https://actualicese.com/matriz-novedades-en-el-sistema-de-facturacion-con-la-reforma-tributaria-ley-2155-de-2021/?referer=L-excel-formato&amp;utm_medium=act_formato_excel&amp;utm_source=act_formato_excel&amp;utm_campaign=act_formato_excel&amp;utm_content=act_formato_excel_link" xr:uid="{B23F2338-987B-4CD4-B3ED-A5195ECE0C63}"/>
    <hyperlink ref="B2641" r:id="rId490" display="https://actualicese.com/cuestionario-de-auditoria-para-las-propiedades-planta-y-equipo/?referer=L-excel-formato&amp;utm_medium=act_formato_excel&amp;utm_source=act_formato_excel&amp;utm_campaign=act_formato_excel&amp;utm_content=act_formato_excel_link" xr:uid="{B43F8ED1-7268-4102-AE2B-BD5289730FC0}"/>
    <hyperlink ref="B2643" r:id="rId491" display="https://actualicese.com/matriz-requisitos-y-condiciones-para-la-normalizacion-tributaria-de-2022/?referer=L-excel-formato&amp;utm_medium=act_formato_excel&amp;utm_source=act_formato_excel&amp;utm_campaign=act_formato_excel&amp;utm_content=act_formato_excel_link" xr:uid="{F4680AA8-527F-4D0A-9E8A-558B6802134E}"/>
    <hyperlink ref="B2645" r:id="rId492" display="https://actualicese.com/comparativo-de-normas-afectadas-con-la-ley-de-inversion-social-2155-de-septiembre-14-de-2021/?referer=L-excel-formato&amp;utm_medium=act_formato_excel&amp;utm_source=act_formato_excel&amp;utm_campaign=act_formato_excel&amp;utm_content=act_formato_excel_link" xr:uid="{A1257643-C3FC-4242-82DE-101337391931}"/>
    <hyperlink ref="B2647" r:id="rId493" display="https://actualicese.com/liquidador-para-revisar-aportes-a-salud-y-pension-de-independientes-a-partir-del-reporte-de-exogena/?referer=L-excel-formato&amp;utm_medium=act_formato_excel&amp;utm_source=act_formato_excel&amp;utm_campaign=act_formato_excel&amp;utm_content=act_formato_excel_link" xr:uid="{F17C71AF-5F92-42B8-BBCB-1EBFCA658D8C}"/>
    <hyperlink ref="B2649" r:id="rId494" display="https://actualicese.com/lista-de-chequeo-de-revelaciones-seccion-28-beneficios-a-los-empleados/?referer=L-excel-formato&amp;utm_medium=act_formato_excel&amp;utm_source=act_formato_excel&amp;utm_campaign=act_formato_excel&amp;utm_content=act_formato_excel_link" xr:uid="{0A99AB13-0BC2-440E-BBBA-A2E2CD428495}"/>
    <hyperlink ref="B2651" r:id="rId495" display="https://actualicese.com/presentacion-y-revelacion-de-cuentas-por-cobrar-modelo-politica-contable/?referer=L-excel-formato&amp;utm_medium=act_formato_excel&amp;utm_source=act_formato_excel&amp;utm_campaign=act_formato_excel&amp;utm_content=act_formato_excel_link" xr:uid="{36462217-6063-4DC2-BB57-845D96F80139}"/>
    <hyperlink ref="B2653" r:id="rId496" display="https://actualicese.com/lista-de-chequeo-de-revelaciones-seccion-21-provisiones-y-contingencias/?referer=L-excel-formato&amp;utm_medium=act_formato_excel&amp;utm_source=act_formato_excel&amp;utm_campaign=act_formato_excel&amp;utm_content=act_formato_excel_link" xr:uid="{1A9330C9-2A9E-44FA-9E29-9A90523E7BF8}"/>
    <hyperlink ref="B2655" r:id="rId497" display="https://actualicese.com/lista-de-chequeo-de-revelaciones-seccion-11-instrumentos-financieros-basicos/?referer=L-excel-formato&amp;utm_medium=act_formato_excel&amp;utm_source=act_formato_excel&amp;utm_campaign=act_formato_excel&amp;utm_content=act_formato_excel_link" xr:uid="{D7850AA4-CC20-49F5-B452-8FF78B3E96A8}"/>
    <hyperlink ref="B2657" r:id="rId498" display="https://actualicese.com/casos-practicos-en-excel-sobre-impuesto-diferido-para-el-cierre-contable-y-fiscal-de-2021/?referer=L-excel-formato&amp;utm_medium=act_formato_excel&amp;utm_source=act_formato_excel&amp;utm_campaign=act_formato_excel&amp;utm_content=act_formato_excel_link" xr:uid="{C15688ED-FA83-45C0-80E4-BBC9140BBE3B}"/>
    <hyperlink ref="B2659" r:id="rId499" display="https://actualicese.com/modelo-para-elaborar-politicas-contables-sobre-el-tratamiento-a-los-intangibles/?referer=L-excel-formato&amp;utm_medium=act_formato_excel&amp;utm_source=act_formato_excel&amp;utm_campaign=act_formato_excel&amp;utm_content=act_formato_excel_link" xr:uid="{C5E23F3E-C53B-47B9-A3A6-7D0FA3382FE5}"/>
    <hyperlink ref="B2661" r:id="rId500" display="https://actualicese.com/ejercicios-de-verificacion-de-requisitos-para-acceder-al-apoyo-por-contratar-jovenes/?referer=L-excel-formato&amp;utm_medium=act_formato_excel&amp;utm_source=act_formato_excel&amp;utm_campaign=act_formato_excel&amp;utm_content=act_formato_excel_link" xr:uid="{76C1D4E9-0A18-4D0D-BDC2-AF3B71AEAE2D}"/>
    <hyperlink ref="B2663" r:id="rId501" display="https://actualicese.com/lista-de-chequeo-de-revelaciones-seccion-12-otros-temas-relacionados-con-los-instrumentos-financieros/?referer=L-excel-formato&amp;utm_medium=act_formato_excel&amp;utm_source=act_formato_excel&amp;utm_campaign=act_formato_excel&amp;utm_content=act_formato_excel_link" xr:uid="{5BF678EC-1083-4524-ACA4-28640A5B701A}"/>
    <hyperlink ref="B2665" r:id="rId502" display="https://actualicese.com/impuesto-diferido-en-la-depreciacion-de-propiedad-planta-y-equipo-caso-practico-para-2021/?referer=L-excel-formato&amp;utm_medium=act_formato_excel&amp;utm_source=act_formato_excel&amp;utm_campaign=act_formato_excel&amp;utm_content=act_formato_excel_link" xr:uid="{B82697E7-6DF1-48A4-9B66-B148B523D344}"/>
    <hyperlink ref="B2667" r:id="rId503" display="https://actualicese.com/cuadro-tematico-con-los-cambios-introducidos-por-la-ley-de-inversion-social-2155-de-2021/?referer=L-excel-formato&amp;utm_medium=act_formato_excel&amp;utm_source=act_formato_excel&amp;utm_campaign=act_formato_excel&amp;utm_content=act_formato_excel_link" xr:uid="{A1413539-8073-4ED1-885E-EC26D866B13F}"/>
    <hyperlink ref="B2669" r:id="rId504" display="https://actualicese.com/liquidador-de-auxilio-de-incapacidad-aplicado-a-salario-variable-fijo-o-integral/?referer=L-excel-formato&amp;utm_medium=act_formato_excel&amp;utm_source=act_formato_excel&amp;utm_campaign=act_formato_excel&amp;utm_content=act_formato_excel_link" xr:uid="{76734D2A-943A-4336-A3DF-874C2ADB55FA}"/>
    <hyperlink ref="B2671" r:id="rId505" display="https://actualicese.com/liquidador-impuesto-diferido-por-venta-de-bienes-inmuebles-a-largo-plazo-en-2022-caso-practico-en-excel/?referer=L-excel-formato&amp;utm_medium=act_formato_excel&amp;utm_source=act_formato_excel&amp;utm_campaign=act_formato_excel&amp;utm_content=act_formato_excel_link" xr:uid="{9BC42435-FFED-41B4-B497-9CCF4BF282ED}"/>
    <hyperlink ref="B2673" r:id="rId506" display="https://actualicese.com/matriz-costos-y-deducciones-de-las-personas-juridicas-en-2021/?referer=L-excel-formato&amp;utm_medium=act_formato_excel&amp;utm_source=act_formato_excel&amp;utm_campaign=act_formato_excel&amp;utm_content=act_formato_excel_link" xr:uid="{6B864B47-89DB-47A6-9232-70A596DDA05A}"/>
    <hyperlink ref="B2675" r:id="rId507" display="https://actualicese.com/ejercicio-practico-en-excel-impuesto-diferido-cuando-hay-compensacion-de-perdidas-fiscales/?referer=L-excel-formato&amp;utm_medium=act_formato_excel&amp;utm_source=act_formato_excel&amp;utm_campaign=act_formato_excel&amp;utm_content=act_formato_excel_link" xr:uid="{3C30702A-EFB1-40D1-969C-E10BC8469BC7}"/>
    <hyperlink ref="B2677" r:id="rId508" display="https://actualicese.com/valorizacion-de-activos-intangibles-caso-de-impuesto-diferido-en-2021/?referer=L-excel-formato&amp;utm_medium=act_formato_excel&amp;utm_source=act_formato_excel&amp;utm_campaign=act_formato_excel&amp;utm_content=act_formato_excel_link" xr:uid="{DD3949D3-9D8A-4E2D-8C4E-F4B438E04D51}"/>
    <hyperlink ref="B2679" r:id="rId509" display="https://actualicese.com/guia-para-diligenciar-la-planilla-integrada-de-liquidacion-de-aportes-de-los-independientes/?referer=L-excel-formato&amp;utm_medium=act_formato_excel&amp;utm_source=act_formato_excel&amp;utm_campaign=act_formato_excel&amp;utm_content=act_formato_excel_link" xr:uid="{27CD86F0-037F-423F-B0AA-2DB35C603370}"/>
    <hyperlink ref="B2681" r:id="rId510" display="https://actualicese.com/casos-de-descuentos-tributarios-vigentes-en-el-ano-gravable-2021-liquidador-en-excel/?referer=L-excel-formato&amp;utm_medium=act_formato_excel&amp;utm_source=act_formato_excel&amp;utm_campaign=act_formato_excel&amp;utm_content=act_formato_excel_link" xr:uid="{4AD9B7F6-D373-4A0D-BC9B-4ED134BD4251}"/>
    <hyperlink ref="B2683" r:id="rId511" display="https://actualicese.com/lista-de-chequeo-para-trasladarse-de-regimen-de-pensiones/?referer=L-excel-formato&amp;utm_medium=act_formato_excel&amp;utm_source=act_formato_excel&amp;utm_campaign=act_formato_excel&amp;utm_content=act_formato_excel_link" xr:uid="{97845F0E-0D84-4D8D-AB41-A1488E2E2141}"/>
    <hyperlink ref="B2685" r:id="rId512" display="https://actualicese.com/formatos-para-la-implementacion-del-control-de-calidad-y-etica-en-la-ejecucion-de-encargos-de-auditoria/?referer=L-excel-formato&amp;utm_medium=act_formato_excel&amp;utm_source=act_formato_excel&amp;utm_campaign=act_formato_excel&amp;utm_content=act_formato_excel_link" xr:uid="{58D22CD3-B0BC-47BA-B1E0-CEFB4BC13E81}"/>
    <hyperlink ref="B2687" r:id="rId513" display="https://actualicese.com/simulador-de-estado-de-situacion-financiera-analisis-comparativo/?referer=L-excel-formato&amp;utm_medium=act_formato_excel&amp;utm_source=act_formato_excel&amp;utm_campaign=act_formato_excel&amp;utm_content=act_formato_excel_link" xr:uid="{B0209F95-D3A9-4572-9014-6B8DD4996E56}"/>
    <hyperlink ref="B2689" r:id="rId514" display="https://actualicese.com/formulario-260-ag-2020-declaracion-anual-regimen-simple-personas-naturales-que-no-llevan-contabilidad/?referer=L-excel-formato&amp;utm_medium=act_formato_excel&amp;utm_source=act_formato_excel&amp;utm_campaign=act_formato_excel&amp;utm_content=act_formato_excel_link" xr:uid="{402847EA-435E-4E08-85A2-43914BD759AF}"/>
    <hyperlink ref="B2691" r:id="rId515" display="https://actualicese.com/formulario-260-ag-2020-declaracion-anual-regimen-simple-personas-naturales-y-juridicas-que-llevan-contabilidad/?referer=L-excel-formato&amp;utm_medium=act_formato_excel&amp;utm_source=act_formato_excel&amp;utm_campaign=act_formato_excel&amp;utm_content=act_formato_excel_link" xr:uid="{140EAA25-C04B-4C81-AE46-71739A90C343}"/>
    <hyperlink ref="B2693" r:id="rId516" display="https://actualicese.com/modelo-de-derecho-de-peticion-para-el-pago-de-incapacidades-de-trabajadores-independientes/?referer=L-excel-formato&amp;utm_medium=act_formato_excel&amp;utm_source=act_formato_excel&amp;utm_campaign=act_formato_excel&amp;utm_content=act_formato_excel_link" xr:uid="{1F3C0755-58A7-4F5D-9B63-CAF084B9BAE1}"/>
    <hyperlink ref="B2695" r:id="rId517" display="https://actualicese.com/formato-de-evaluacion-de-desempeno-laboral-para-un-auditor/?referer=L-excel-formato&amp;utm_medium=act_formato_excel&amp;utm_source=act_formato_excel&amp;utm_campaign=act_formato_excel&amp;utm_content=act_formato_excel_link" xr:uid="{923ACDEF-5223-471F-9E20-98936A3DE4FA}"/>
    <hyperlink ref="B2697" r:id="rId518" display="https://actualicese.com/impuesto-diferido-por-activos-biologicos-en-2021-caso-practico-en-excel/?referer=L-excel-formato&amp;utm_medium=act_formato_excel&amp;utm_source=act_formato_excel&amp;utm_campaign=act_formato_excel&amp;utm_content=act_formato_excel_link" xr:uid="{A2D7A773-C29D-409C-A9BE-918E220A3D58}"/>
    <hyperlink ref="B2699" r:id="rId519" display="https://actualicese.com/liquidador-para-calcular-la-contribucion-2021-a-la-supersociedades/?referer=L-excel-formato&amp;utm_medium=act_formato_excel&amp;utm_source=act_formato_excel&amp;utm_campaign=act_formato_excel&amp;utm_content=act_formato_excel_link" xr:uid="{C5D1D4EE-8FD3-484F-83A7-4A2875551E0A}"/>
    <hyperlink ref="B2701" r:id="rId520" display="https://actualicese.com/calendario-para-pago-de-aportes-a-seguridad-social-para-empleadores-e-independientes-2021-2022/?referer=L-excel-formato&amp;utm_medium=act_formato_excel&amp;utm_source=act_formato_excel&amp;utm_campaign=act_formato_excel&amp;utm_content=act_formato_excel_link" xr:uid="{461AD56B-6798-4B1C-A1F5-A5CEBEA35D19}"/>
    <hyperlink ref="B2703" r:id="rId521" display="https://actualicese.com/carta-para-notificar-deficiencias-en-el-proceso-de-inspeccion-del-seguimiento-del-control-de-calidad/?referer=L-excel-formato&amp;utm_medium=act_formato_excel&amp;utm_source=act_formato_excel&amp;utm_campaign=act_formato_excel&amp;utm_content=act_formato_excel_link" xr:uid="{CAC17242-0440-4674-AAFD-C4240A885E8E}"/>
    <hyperlink ref="B2705" r:id="rId522" display="https://actualicese.com/lista-de-chequeo-para-el-control-de-calidad-aplicado-a-recursos-humanos-en-un-encargo-de-auditoria/?referer=L-excel-formato&amp;utm_medium=act_formato_excel&amp;utm_source=act_formato_excel&amp;utm_campaign=act_formato_excel&amp;utm_content=act_formato_excel_link" xr:uid="{449F804D-56DA-4136-865E-EFD4F08BD35A}"/>
    <hyperlink ref="B2707" r:id="rId523" display="https://actualicese.com/lista-de-chequeo-para-revisar-el-control-de-calidad-en-un-encargo-de-auditoria/?referer=L-excel-formato&amp;utm_medium=act_formato_excel&amp;utm_source=act_formato_excel&amp;utm_campaign=act_formato_excel&amp;utm_content=act_formato_excel_link" xr:uid="{A21EC0D9-17F9-4732-96F2-464186661D17}"/>
    <hyperlink ref="B2709" r:id="rId524" display="https://actualicese.com/acta-de-entrega-de-manual-de-procedimientos-y-politicas-de-calidad/?referer=L-excel-formato&amp;utm_medium=act_formato_excel&amp;utm_source=act_formato_excel&amp;utm_campaign=act_formato_excel&amp;utm_content=act_formato_excel_link" xr:uid="{854F4C46-BD1B-4F48-A06B-3390CA56475A}"/>
    <hyperlink ref="B2711" r:id="rId525" display="https://actualicese.com/acta-de-entrega-de-normas-de-etica-aplicables-a-encargos-de-auditoria/?referer=L-excel-formato&amp;utm_medium=act_formato_excel&amp;utm_source=act_formato_excel&amp;utm_campaign=act_formato_excel&amp;utm_content=act_formato_excel_link" xr:uid="{391A24C3-C34F-4897-99B6-A7850C78BBE5}"/>
    <hyperlink ref="B2713" r:id="rId526" display="https://actualicese.com/lista-de-chequeo-planeacion-de-la-ejecucion-de-un-encargo-nicc-1/?referer=L-excel-formato&amp;utm_medium=act_formato_excel&amp;utm_source=act_formato_excel&amp;utm_campaign=act_formato_excel&amp;utm_content=act_formato_excel_link" xr:uid="{6EE2CF04-CB5B-4EEA-A677-BC6DFDD0005B}"/>
    <hyperlink ref="B2715" r:id="rId527" display="https://actualicese.com/lista-de-chequeo-para-etapa-de-seguimiento-en-encargo-de-auditoria-bajo-la-nicc-1/?referer=L-excel-formato&amp;utm_medium=act_formato_excel&amp;utm_source=act_formato_excel&amp;utm_campaign=act_formato_excel&amp;utm_content=act_formato_excel_link" xr:uid="{948FAEFE-D64C-4DA4-AE24-4E7D19E3B8C4}"/>
    <hyperlink ref="B2717" r:id="rId528" display="https://actualicese.com/matriz-para-identificar-quienes-estan-obligados-a-aplicar-la-nicc-1/?referer=L-excel-formato&amp;utm_medium=act_formato_excel&amp;utm_source=act_formato_excel&amp;utm_campaign=act_formato_excel&amp;utm_content=act_formato_excel_link" xr:uid="{C5BA1660-D1F4-472E-A776-7D5A07F4C728}"/>
    <hyperlink ref="B2719" r:id="rId529" display="https://actualicese.com/carta-para-comunicar-asuntos-que-generan-amenazas-a-la-independencia/?referer=L-excel-formato&amp;utm_medium=act_formato_excel&amp;utm_source=act_formato_excel&amp;utm_campaign=act_formato_excel&amp;utm_content=act_formato_excel_link" xr:uid="{8F3019B5-B083-445E-91CC-A74394DB7997}"/>
    <hyperlink ref="B2721" r:id="rId530" display="https://actualicese.com/acta-de-investigacion-para-la-aceptacion-de-los-clientes-del-revisor-fiscal/?referer=L-excel-formato&amp;utm_medium=act_formato_excel&amp;utm_source=act_formato_excel&amp;utm_campaign=act_formato_excel&amp;utm_content=act_formato_excel_link" xr:uid="{847808A9-C213-4506-B4A6-4D2070FFD028}"/>
    <hyperlink ref="B2723" r:id="rId531" display="https://actualicese.com/notificacion-de-la-asignacion-de-responsabilidad-en-el-sistema-de-control-de-calidad/?referer=L-excel-formato&amp;utm_medium=act_formato_excel&amp;utm_source=act_formato_excel&amp;utm_campaign=act_formato_excel&amp;utm_content=act_formato_excel_link" xr:uid="{736AC147-C135-4A94-82D7-30C22CB2E8DE}"/>
    <hyperlink ref="B2725" r:id="rId532" display="https://actualicese.com/impuesto-diferido-ante-deterioro-de-cartera-en-2021-ejercicio-practico-en-excel/?referer=L-excel-formato&amp;utm_medium=act_formato_excel&amp;utm_source=act_formato_excel&amp;utm_campaign=act_formato_excel&amp;utm_content=act_formato_excel_link" xr:uid="{C4437DE0-1704-4E53-917D-DE0169C83F2C}"/>
    <hyperlink ref="B2727" r:id="rId533" display="https://actualicese.com/informe-de-entrega-del-cargo-de-contador-externo-al-finalizar-un-contrato/?referer=L-excel-formato&amp;utm_medium=act_formato_excel&amp;utm_source=act_formato_excel&amp;utm_campaign=act_formato_excel&amp;utm_content=act_formato_excel_link" xr:uid="{8559AB39-36A3-4F51-8602-D20246F42D6C}"/>
    <hyperlink ref="B2729" r:id="rId534" display="https://actualicese.com/impuesto-diferido-por-valoracion-de-propiedades-de-inversion-en-2021-caso-practico-en-excel/?referer=L-excel-formato&amp;utm_medium=act_formato_excel&amp;utm_source=act_formato_excel&amp;utm_campaign=act_formato_excel&amp;utm_content=act_formato_excel_link" xr:uid="{3BB77494-FEFF-4413-981E-6D0BD49F8110}"/>
    <hyperlink ref="B2731" r:id="rId535" display="https://actualicese.com/impuesto-diferido-por-deterioro-de-inventario-en-2021-caso-practico-en-excel/?referer=L-excel-formato&amp;utm_medium=act_formato_excel&amp;utm_source=act_formato_excel&amp;utm_campaign=act_formato_excel&amp;utm_content=act_formato_excel_link" xr:uid="{CFCD1555-6FAA-465B-8AEB-562982C9B831}"/>
    <hyperlink ref="B2733" r:id="rId536" display="https://actualicese.com/liquidador-de-aportes-a-caja-de-compensacion-para-trabajadores-independientes/?referer=L-excel-formato&amp;utm_medium=act_formato_excel&amp;utm_source=act_formato_excel&amp;utm_campaign=act_formato_excel&amp;utm_content=act_formato_excel_link" xr:uid="{7AA060D3-F090-4213-A33E-8A6A57CDFA23}"/>
    <hyperlink ref="B2735" r:id="rId537" display="https://actualicese.com/licencias-de-maternidad-y-paternidad-tipos-y-caracteristicas/?referer=L-excel-formato&amp;utm_medium=act_formato_excel&amp;utm_source=act_formato_excel&amp;utm_campaign=act_formato_excel&amp;utm_content=act_formato_excel_link" xr:uid="{026584D7-4990-4071-BFBF-F2088C9EFF7C}"/>
    <hyperlink ref="B2737" r:id="rId538" display="https://actualicese.com/solicitud-de-licencia-de-paternidad-a-la-eps-por-parte-de-un-trabajador-independiente/?referer=L-excel-formato&amp;utm_medium=act_formato_excel&amp;utm_source=act_formato_excel&amp;utm_campaign=act_formato_excel&amp;utm_content=act_formato_excel_link" xr:uid="{8502EA96-1ECB-41FB-B3F6-682C298F3767}"/>
    <hyperlink ref="B2739" r:id="rId539" display="https://actualicese.com/solicitud-de-licencia-de-maternidad-ante-la-eps-por-parte-de-una-trabajadora-independiente/?referer=L-excel-formato&amp;utm_medium=act_formato_excel&amp;utm_source=act_formato_excel&amp;utm_campaign=act_formato_excel&amp;utm_content=act_formato_excel_link" xr:uid="{12F04DE1-DFE0-4307-A22D-5B64B58C3D49}"/>
    <hyperlink ref="B2741" r:id="rId540" display="https://actualicese.com/matriz-de-lineamientos-del-codigo-de-etica-del-contador-publico-principios-fundamentales-amenazas-y-salvaguardas/?referer=L-excel-formato&amp;utm_medium=act_formato_excel&amp;utm_source=act_formato_excel&amp;utm_campaign=act_formato_excel&amp;utm_content=act_formato_excel_link" xr:uid="{C752BCC8-E796-4B03-A6FE-021960A881AF}"/>
    <hyperlink ref="B2743" r:id="rId541" display="https://actualicese.com/impuesto-diferido-por-diferencia-en-cambio-en-2021-caso-practico-en-excel/?referer=L-excel-formato&amp;utm_medium=act_formato_excel&amp;utm_source=act_formato_excel&amp;utm_campaign=act_formato_excel&amp;utm_content=act_formato_excel_link" xr:uid="{8E2F51B0-EC47-4792-83FF-8EF7FE45453F}"/>
    <hyperlink ref="B2745" r:id="rId542" display="https://actualicese.com/tratamientos-contable-y-fiscal-de-la-depreciacion-de-activos-en-desuso-casos-practicos-en-excel/?referer=L-excel-formato&amp;utm_medium=act_formato_excel&amp;utm_source=act_formato_excel&amp;utm_campaign=act_formato_excel&amp;utm_content=act_formato_excel_link" xr:uid="{4BE39C64-C18D-4123-9716-07E2D7D73052}"/>
    <hyperlink ref="B2747" r:id="rId543" display="https://actualicese.com/solicitud-licencia-de-paternidad/?referer=L-excel-formato&amp;utm_medium=act_formato_excel&amp;utm_source=act_formato_excel&amp;utm_campaign=act_formato_excel&amp;utm_content=act_formato_excel_link" xr:uid="{085DBB10-FBDA-4C09-8F69-53247D9A7078}"/>
    <hyperlink ref="B2749" r:id="rId544" display="https://actualicese.com/modelo-accion-de-tutela-para-licencia-de-maternidad-con-parto-prematuro/?referer=L-excel-formato&amp;utm_medium=act_formato_excel&amp;utm_source=act_formato_excel&amp;utm_campaign=act_formato_excel&amp;utm_content=act_formato_excel_link" xr:uid="{3C127CA0-67DC-4601-BFC7-C6912FA13D7D}"/>
    <hyperlink ref="B2751" r:id="rId545" display="https://actualicese.com/modelo-de-declaracion-de-confidencialidad-de-los-miembros-de-la-firma-de-auditoria/?referer=L-excel-formato&amp;utm_medium=act_formato_excel&amp;utm_source=act_formato_excel&amp;utm_campaign=act_formato_excel&amp;utm_content=act_formato_excel_link" xr:uid="{5AFE60E7-C82F-46EE-AA43-F32D0CCD7C00}"/>
    <hyperlink ref="B2753" r:id="rId546" display="https://actualicese.com/impuesto-diferido-por-gastos-de-establecimiento-en-2021-caso-practico-en-excel/?referer=L-excel-formato&amp;utm_medium=act_formato_excel&amp;utm_source=act_formato_excel&amp;utm_campaign=act_formato_excel&amp;utm_content=act_formato_excel_link" xr:uid="{E0D457C8-3BBC-4169-97F5-63FF668E013B}"/>
    <hyperlink ref="B2755" r:id="rId547" display="https://actualicese.com/guias-y-casos-para-preparar-la-declaracion-de-renta-de-personas-naturales-por-el-ano-gravable-2020/?referer=L-excel-formato&amp;utm_medium=act_formato_excel&amp;utm_source=act_formato_excel&amp;utm_campaign=act_formato_excel&amp;utm_content=act_formato_excel_link" xr:uid="{B7595EFE-570F-49A1-9D8D-F314A80F379D}"/>
    <hyperlink ref="B2757" r:id="rId548" display="https://actualicese.com/liquidador-del-auxilio-de-incapacidad-de-origen-comun-para-trabajador-independiente/?referer=L-excel-formato&amp;utm_medium=act_formato_excel&amp;utm_source=act_formato_excel&amp;utm_campaign=act_formato_excel&amp;utm_content=act_formato_excel_link" xr:uid="{9FFB4018-D988-47C3-B6A2-F4A2C32B98F4}"/>
    <hyperlink ref="B2759" r:id="rId549" display="https://actualicese.com/cuestionario-de-independencia-para-el-personal-de-una-firma-de-auditoria/?referer=L-excel-formato&amp;utm_medium=act_formato_excel&amp;utm_source=act_formato_excel&amp;utm_campaign=act_formato_excel&amp;utm_content=act_formato_excel_link" xr:uid="{A71C0321-99AB-41D4-A322-3F80D8093B94}"/>
    <hyperlink ref="B2761" r:id="rId550" display="https://actualicese.com/clasificacion-de-pasivos-entre-corrientes-y-no-corrientes-caso-practico-en-excel/?referer=L-excel-formato&amp;utm_medium=act_formato_excel&amp;utm_source=act_formato_excel&amp;utm_campaign=act_formato_excel&amp;utm_content=act_formato_excel_link" xr:uid="{00BAE6FF-CD42-465C-A99B-664C034DECB0}"/>
    <hyperlink ref="B2763" r:id="rId551" display="https://actualicese.com/plantilla-del-estado-de-costos-de-produccion-y-ventas/?referer=L-excel-formato&amp;utm_medium=act_formato_excel&amp;utm_source=act_formato_excel&amp;utm_campaign=act_formato_excel&amp;utm_content=act_formato_excel_link" xr:uid="{9D74B470-F300-44BF-AFBA-52A2D462C1EC}"/>
    <hyperlink ref="B2765" r:id="rId552" display="https://actualicese.com/beneficio-de-auditoria-para-personas-naturales-ano-gravable-2020-casos-practicos-en-excel/?referer=L-excel-formato&amp;utm_medium=act_formato_excel&amp;utm_source=act_formato_excel&amp;utm_campaign=act_formato_excel&amp;utm_content=act_formato_excel_link" xr:uid="{2F0CEEF4-13BE-439F-9AFB-98BC0D68C47A}"/>
    <hyperlink ref="B2767" r:id="rId553" display="https://actualicese.com/liquidador-de-la-licencia-de-maternidad-cuando-procede-pago-proporcional/?referer=L-excel-formato&amp;utm_medium=act_formato_excel&amp;utm_source=act_formato_excel&amp;utm_campaign=act_formato_excel&amp;utm_content=act_formato_excel_link" xr:uid="{44C8E3AA-AED5-4AC8-AD42-7E398716A5F1}"/>
    <hyperlink ref="B2769" r:id="rId554" display="https://actualicese.com/modelo-para-proyectar-el-presupuesto-de-un-encargo-de-auditoria-o-revisoria-fiscal/?referer=L-excel-formato&amp;utm_medium=act_formato_excel&amp;utm_source=act_formato_excel&amp;utm_campaign=act_formato_excel&amp;utm_content=act_formato_excel_link" xr:uid="{FACEF167-7989-45B5-AA1B-11EA5EEB7B88}"/>
    <hyperlink ref="B2771" r:id="rId555" display="https://actualicese.com/lista-de-chequeo-de-las-etapas-requeridas-en-el-proceso-presupuestal/?referer=L-excel-formato&amp;utm_medium=act_formato_excel&amp;utm_source=act_formato_excel&amp;utm_campaign=act_formato_excel&amp;utm_content=act_formato_excel_link" xr:uid="{2354E75A-59C3-4868-B8DE-451E00977445}"/>
    <hyperlink ref="B2773" r:id="rId556" display="https://actualicese.com/hoja-de-costos-en-excel/?referer=L-excel-formato&amp;utm_medium=act_formato_excel&amp;utm_source=act_formato_excel&amp;utm_campaign=act_formato_excel&amp;utm_content=act_formato_excel_link" xr:uid="{1F75780B-7B9C-4D37-B187-3DA4819DDAFC}"/>
    <hyperlink ref="B2775" r:id="rId557" display="https://actualicese.com/plantilla-para-la-revision-de-la-declaracion-sugerida-del-impuesto-sobre-las-ventas-iva/?referer=L-excel-formato&amp;utm_medium=act_formato_excel&amp;utm_source=act_formato_excel&amp;utm_campaign=act_formato_excel&amp;utm_content=act_formato_excel_link" xr:uid="{6D73E904-32E6-48A9-BFA0-E45AFB06183B}"/>
    <hyperlink ref="B2777" r:id="rId558" display="https://actualicese.com/modelo-de-certificado-para-acceder-a-los-beneficios-por-contratar-adultos-mayores-no-pensionados/?referer=L-excel-formato&amp;utm_medium=act_formato_excel&amp;utm_source=act_formato_excel&amp;utm_campaign=act_formato_excel&amp;utm_content=act_formato_excel_link" xr:uid="{6579C305-CD85-4F8E-9620-4224AA3E1F4C}"/>
    <hyperlink ref="B2779" r:id="rId559" display="https://actualicese.com/lista-de-chequeo-para-evaluar-la-aceptacion-o-continuidad-de-la-relacion-con-clientes/?referer=L-excel-formato&amp;utm_medium=act_formato_excel&amp;utm_source=act_formato_excel&amp;utm_campaign=act_formato_excel&amp;utm_content=act_formato_excel_link" xr:uid="{50C1AED9-FFF1-4B07-96B7-5AAF9B202E52}"/>
    <hyperlink ref="B2781" r:id="rId560" display="https://actualicese.com/modelo-kardex/?referer=L-excel-formato&amp;utm_medium=act_formato_excel&amp;utm_source=act_formato_excel&amp;utm_campaign=act_formato_excel&amp;utm_content=act_formato_excel_link" xr:uid="{7DD8BF28-1FC9-499B-9F9B-05D0F40690DF}"/>
    <hyperlink ref="B2783" r:id="rId561" display="https://actualicese.com/listado-de-codigos-para-diligenciar-casilla-51-del-rut-ocupacion-de-personas-naturales/?referer=L-excel-formato&amp;utm_medium=act_formato_excel&amp;utm_source=act_formato_excel&amp;utm_campaign=act_formato_excel&amp;utm_content=act_formato_excel_link" xr:uid="{432166EB-C9CF-401E-88AC-F0A414F7F1A6}"/>
    <hyperlink ref="B2785" r:id="rId562" display="https://actualicese.com/modelo-de-las-politicas-sobre-conservacion-de-los-papeles-de-trabajo-de-una-firma-de-auditoria/?referer=L-excel-formato&amp;utm_medium=act_formato_excel&amp;utm_source=act_formato_excel&amp;utm_campaign=act_formato_excel&amp;utm_content=act_formato_excel_link" xr:uid="{5758D61A-1B54-4295-A737-ECABF96AF70A}"/>
    <hyperlink ref="B2787" r:id="rId563" display="https://actualicese.com/lista-de-convenios-internacionales-para-evitar-la-doble-tributacion-ano-gravable-2020/?referer=L-excel-formato&amp;utm_medium=act_formato_excel&amp;utm_source=act_formato_excel&amp;utm_campaign=act_formato_excel&amp;utm_content=act_formato_excel_link" xr:uid="{7552E4D9-C7CB-4C6E-89C2-DD1B728333DD}"/>
    <hyperlink ref="B2789" r:id="rId564" display="https://actualicese.com/costo-fiscal-de-propiedad-planta-y-equipo-y-propiedades-de-inversion-como-determinarlo/?referer=L-excel-formato&amp;utm_medium=act_formato_excel&amp;utm_source=act_formato_excel&amp;utm_campaign=act_formato_excel&amp;utm_content=act_formato_excel_link" xr:uid="{5CF5D06F-AEC6-45BE-8274-F1EBEB9607F3}"/>
    <hyperlink ref="B2791" r:id="rId565" display="https://actualicese.com/poder-especial-para-el-tramite-de-solicitud-de-reconocimiento-y-pago-de-la-pension-de-sobrevivencia/?referer=L-excel-formato&amp;utm_medium=act_formato_excel&amp;utm_source=act_formato_excel&amp;utm_campaign=act_formato_excel&amp;utm_content=act_formato_excel_link" xr:uid="{543EB556-6BFB-4F78-BB4F-2EE87782F8DA}"/>
    <hyperlink ref="B2793" r:id="rId566" display="https://actualicese.com/matriz-comparativo-de-las-diferencias-al-emprender-como-persona-natural-o-sociedad/?referer=L-excel-formato&amp;utm_medium=act_formato_excel&amp;utm_source=act_formato_excel&amp;utm_campaign=act_formato_excel&amp;utm_content=act_formato_excel_link" xr:uid="{7EF1B0A6-A868-41C5-AD57-6584F75FAFE1}"/>
    <hyperlink ref="B2795" r:id="rId567" display="https://actualicese.com/liquidador-del-anticipo-de-renta-2021-para-personas-juridicas-y-naturales/?referer=L-excel-formato&amp;utm_medium=act_formato_excel&amp;utm_source=act_formato_excel&amp;utm_campaign=act_formato_excel&amp;utm_content=act_formato_excel_link" xr:uid="{A048A24E-D131-4644-8721-43405C5E38BA}"/>
    <hyperlink ref="B2797" r:id="rId568" display="https://actualicese.com/liquidador-del-pago-faltante-de-aportes-al-sistema-general-de-pensiones-de-abril-y-mayo-de-2020/?referer=L-excel-formato&amp;utm_medium=act_formato_excel&amp;utm_source=act_formato_excel&amp;utm_campaign=act_formato_excel&amp;utm_content=act_formato_excel_link" xr:uid="{EA62BE97-D028-4070-AA9E-113E8EA273E4}"/>
    <hyperlink ref="B2799" r:id="rId569" display="https://actualicese.com/liquidador-del-monto-del-salario-y-de-prestaciones-sociales-que-se-puede-embargar-a-un-trabajador/?referer=L-excel-formato&amp;utm_medium=act_formato_excel&amp;utm_source=act_formato_excel&amp;utm_campaign=act_formato_excel&amp;utm_content=act_formato_excel_link" xr:uid="{04426DD7-9BC8-45D1-9DF8-A354618EA3E9}"/>
    <hyperlink ref="B2801" r:id="rId570" display="https://actualicese.com/formulario-110-y-formato-2516-para-declaracion-de-renta-2020-de-personas-naturales-obligadas-a-llevar-contabilidad/?referer=L-excel-formato&amp;utm_medium=act_formato_excel&amp;utm_source=act_formato_excel&amp;utm_campaign=act_formato_excel&amp;utm_content=act_formato_excel_link" xr:uid="{8832B267-3BB2-469F-B2A1-ABB20766F8DC}"/>
    <hyperlink ref="B2803" r:id="rId571" display="https://actualicese.com/ejercicios-para-determinar-si-una-persona-natural-esta-obligada-a-presentar-renta-por-el-ag-2020/?referer=L-excel-formato&amp;utm_medium=act_formato_excel&amp;utm_source=act_formato_excel&amp;utm_campaign=act_formato_excel&amp;utm_content=act_formato_excel_link" xr:uid="{2224ACD9-A83D-4FF2-9550-EFE6F5A77739}"/>
    <hyperlink ref="B2805" r:id="rId572" display="https://actualicese.com/modelos-para-elaborar-contratos-comerciales-en-colombia/?referer=L-excel-formato&amp;utm_medium=act_formato_excel&amp;utm_source=act_formato_excel&amp;utm_campaign=act_formato_excel&amp;utm_content=act_formato_excel_link" xr:uid="{C877FB63-99B5-4707-9F07-3C10A76B35D2}"/>
    <hyperlink ref="B2807" r:id="rId573" display="https://actualicese.com/liquidador-de-aportes-en-el-piso-de-proteccion-social-trabajadores-dependientes-e-independientes/?referer=L-excel-formato&amp;utm_medium=act_formato_excel&amp;utm_source=act_formato_excel&amp;utm_campaign=act_formato_excel&amp;utm_content=act_formato_excel_link" xr:uid="{A0E45275-E8B9-42E5-A98D-C3180E5FCE15}"/>
    <hyperlink ref="B2809" r:id="rId574" display="https://actualicese.com/cuestionario-para-clasificar-una-obligacion-como-provision-o-pasivo-contingente/?referer=L-excel-formato&amp;utm_medium=act_formato_excel&amp;utm_source=act_formato_excel&amp;utm_campaign=act_formato_excel&amp;utm_content=act_formato_excel_link" xr:uid="{BDB35065-79EA-4DD4-A075-FEE2851DE1EA}"/>
    <hyperlink ref="B2811" r:id="rId575" display="https://actualicese.com/formulario-310-ag-2021-declaracion-del-impuesto-nacional-al-consumo-plantilla-para-borrador/?referer=L-excel-formato&amp;utm_medium=act_formato_excel&amp;utm_source=act_formato_excel&amp;utm_campaign=act_formato_excel&amp;utm_content=act_formato_excel_link" xr:uid="{14BD4FC4-2C3D-4D54-9277-4F30F71CC0A5}"/>
    <hyperlink ref="B2813" r:id="rId576" display="https://actualicese.com/formulario-110-ag-2020-declaracion-de-renta-de-personas-naturales-no-residentes-que-no-llevan-contabilidad/?referer=L-excel-formato&amp;utm_medium=act_formato_excel&amp;utm_source=act_formato_excel&amp;utm_campaign=act_formato_excel&amp;utm_content=act_formato_excel_link" xr:uid="{5084F93A-4A49-423F-9D1E-EE1283F76EA8}"/>
    <hyperlink ref="B2815" r:id="rId577" display="https://actualicese.com/modelo-en-excel-calculo-de-intereses-presuntivos-sobre-prestamos-entre-socios-y-sociedades-en-2020/?referer=L-excel-formato&amp;utm_medium=act_formato_excel&amp;utm_source=act_formato_excel&amp;utm_campaign=act_formato_excel&amp;utm_content=act_formato_excel_link" xr:uid="{65F5AB01-1B4B-4916-BF93-CD57B73B8DE3}"/>
    <hyperlink ref="B2817" r:id="rId578" display="https://actualicese.com/formulario-210-y-formato-2517-para-declaracion-de-renta-ag-2020-residentes-que-llevan-contabilidad/?referer=L-excel-formato&amp;utm_medium=act_formato_excel&amp;utm_source=act_formato_excel&amp;utm_campaign=act_formato_excel&amp;utm_content=act_formato_excel_link" xr:uid="{68C2D83D-AE95-4FED-B25F-AD7564F3D953}"/>
    <hyperlink ref="B2819" r:id="rId579" display="https://actualicese.com/liquidador-de-porcentaje-fijo-de-retencion-en-la-fuente-sobre-salarios-en-junio-de-2021-procedimiento-2/?referer=L-excel-formato&amp;utm_medium=act_formato_excel&amp;utm_source=act_formato_excel&amp;utm_campaign=act_formato_excel&amp;utm_content=act_formato_excel_link" xr:uid="{79857900-4D42-4C3F-B8B8-9E30F58A1420}"/>
    <hyperlink ref="B2821" r:id="rId580" display="https://actualicese.com/formulario-210-declaracion-de-renta-personas-naturales-residentes-que-no-llevan-contabilidad-ag-2020/?referer=L-excel-formato&amp;utm_medium=act_formato_excel&amp;utm_source=act_formato_excel&amp;utm_campaign=act_formato_excel&amp;utm_content=act_formato_excel_link" xr:uid="{30F42A87-DFFC-475F-A5B7-3BE431C83B26}"/>
    <hyperlink ref="B2823" r:id="rId581" display="https://actualicese.com/modelo-de-contrato-de-permuta/?referer=L-excel-formato&amp;utm_medium=act_formato_excel&amp;utm_source=act_formato_excel&amp;utm_campaign=act_formato_excel&amp;utm_content=act_formato_excel_link" xr:uid="{5CFADD8E-7A57-4435-8063-33B59FA7D936}"/>
    <hyperlink ref="B2825" r:id="rId582" display="https://actualicese.com/calculo-del-impuesto-si-la-renta-presuntiva-es-mayor-a-la-renta-liquida-gravable-de-la-cedula-general/?referer=L-excel-formato&amp;utm_medium=act_formato_excel&amp;utm_source=act_formato_excel&amp;utm_campaign=act_formato_excel&amp;utm_content=act_formato_excel_link" xr:uid="{92F39153-1DFA-40A7-9EB1-C02E2E941675}"/>
    <hyperlink ref="B2827" r:id="rId583" display="https://actualicese.com/contrato-de-comision-o-corretaje/?referer=L-excel-formato&amp;utm_medium=act_formato_excel&amp;utm_source=act_formato_excel&amp;utm_campaign=act_formato_excel&amp;utm_content=act_formato_excel_link" xr:uid="{7F461552-5CB1-4571-B956-EF9AB6A686E6}"/>
    <hyperlink ref="B2829" r:id="rId584" display="https://actualicese.com/notificacion-de-embargo-de-la-prima-de-servicios/?referer=L-excel-formato&amp;utm_medium=act_formato_excel&amp;utm_source=act_formato_excel&amp;utm_campaign=act_formato_excel&amp;utm_content=act_formato_excel_link" xr:uid="{BA4D0084-E48E-4A37-BE18-DDDDA86290A2}"/>
    <hyperlink ref="B2831" r:id="rId585" display="https://actualicese.com/matriz-de-caracteristicas-basicas-de-la-depuracion-de-las-3-cedulas-del-formulario-210-ag-2020/?referer=L-excel-formato&amp;utm_medium=act_formato_excel&amp;utm_source=act_formato_excel&amp;utm_campaign=act_formato_excel&amp;utm_content=act_formato_excel_link" xr:uid="{130EAEB8-361F-4D78-83D0-74DBE8C8D1DC}"/>
    <hyperlink ref="B2833" r:id="rId586" display="https://actualicese.com/formulario-420-declaracion-de-impuesto-al-patrimonio-2021/?referer=L-excel-formato&amp;utm_medium=act_formato_excel&amp;utm_source=act_formato_excel&amp;utm_campaign=act_formato_excel&amp;utm_content=act_formato_excel_link" xr:uid="{A8F5D50C-5C02-440A-A864-0C380857A362}"/>
    <hyperlink ref="B2835" r:id="rId587" display="https://actualicese.com/notificacion-a-trabajadores-que-no-tienen-derecho-a-la-prima-de-servicios/?referer=L-excel-formato&amp;utm_medium=act_formato_excel&amp;utm_source=act_formato_excel&amp;utm_campaign=act_formato_excel&amp;utm_content=act_formato_excel_link" xr:uid="{FD3CE4F6-2D3A-4E2C-8F20-FBCF7D28D718}"/>
    <hyperlink ref="B2837" r:id="rId588" display="https://actualicese.com/plantilla-para-elaborar-el-formulario-300-para-las-declaraciones-del-iva-durante-2021/?referer=L-excel-formato&amp;utm_medium=act_formato_excel&amp;utm_source=act_formato_excel&amp;utm_campaign=act_formato_excel&amp;utm_content=act_formato_excel_link" xr:uid="{D6124631-AB45-4EB2-83AF-77CAD18FE323}"/>
    <hyperlink ref="B2839" r:id="rId589" display="https://actualicese.com/cuestionario-de-auditoria-para-el-area-de-compras/?referer=L-excel-formato&amp;utm_medium=act_formato_excel&amp;utm_source=act_formato_excel&amp;utm_campaign=act_formato_excel&amp;utm_content=act_formato_excel_link" xr:uid="{B51A2414-F300-4A0A-91F2-20EE1F1584CF}"/>
    <hyperlink ref="B2841" r:id="rId590" display="https://actualicese.com/carta-para-designar-al-responsable-del-seguimiento-del-sistema-de-control-de-calidad-nicc-1/?referer=L-excel-formato&amp;utm_medium=act_formato_excel&amp;utm_source=act_formato_excel&amp;utm_campaign=act_formato_excel&amp;utm_content=act_formato_excel_link" xr:uid="{931E4968-114B-47AE-A8B0-17C0705ADA70}"/>
    <hyperlink ref="B2843" r:id="rId591" display="https://actualicese.com/plantilla-en-excel-para-la-declaracion-de-anticipos-bimestrales-en-2021-regimen-simple/?referer=L-excel-formato&amp;utm_medium=act_formato_excel&amp;utm_source=act_formato_excel&amp;utm_campaign=act_formato_excel&amp;utm_content=act_formato_excel_link" xr:uid="{9DF3CA22-7715-4EBD-8798-1DEE528EC4B6}"/>
    <hyperlink ref="B2845" r:id="rId592" display="https://actualicese.com/modelo-de-contrato-de-prestacion-de-servicios-servicios-generales/?referer=L-excel-formato&amp;utm_medium=act_formato_excel&amp;utm_source=act_formato_excel&amp;utm_campaign=act_formato_excel&amp;utm_content=act_formato_excel_link" xr:uid="{67D8F56A-E687-4370-AE36-BE9BBDCF1364}"/>
    <hyperlink ref="B2847" r:id="rId593" display="https://actualicese.com/contrato-de-prestacion-de-servicios-para-mensajeria-externa/?referer=L-excel-formato&amp;utm_medium=act_formato_excel&amp;utm_source=act_formato_excel&amp;utm_campaign=act_formato_excel&amp;utm_content=act_formato_excel_link" xr:uid="{4B335090-B5F8-4EAE-81C3-4C7AF0C99F44}"/>
    <hyperlink ref="B2849" r:id="rId594" display="https://actualicese.com/cuestionario-de-auditoria-para-area-de-nomina/?referer=L-excel-formato&amp;utm_medium=act_formato_excel&amp;utm_source=act_formato_excel&amp;utm_campaign=act_formato_excel&amp;utm_content=act_formato_excel_link" xr:uid="{19CEC93A-FD67-4CAA-A53B-95502D975A57}"/>
    <hyperlink ref="B2851" r:id="rId595" display="https://actualicese.com/cuestionario-de-auditoria-para-area-de-ventas/?referer=L-excel-formato&amp;utm_medium=act_formato_excel&amp;utm_source=act_formato_excel&amp;utm_campaign=act_formato_excel&amp;utm_content=act_formato_excel_link" xr:uid="{38F8D8E8-61C7-4581-A89A-7A0BBCF91E39}"/>
    <hyperlink ref="B2853" r:id="rId596" display="https://actualicese.com/acta-de-analisis-de-rotacion-del-equipo-de-auditoria-o-revisoria-fiscal/?referer=L-excel-formato&amp;utm_medium=act_formato_excel&amp;utm_source=act_formato_excel&amp;utm_campaign=act_formato_excel&amp;utm_content=act_formato_excel_link" xr:uid="{0C3BED76-2657-4CC3-A617-949648A97D78}"/>
    <hyperlink ref="B2855" r:id="rId597" display="https://actualicese.com/simulador-de-deducciones-por-gmf-fiestas-a-empleados-publicidad-e-inversiones-en-transporte-aereo/?referer=L-excel-formato&amp;utm_medium=act_formato_excel&amp;utm_source=act_formato_excel&amp;utm_campaign=act_formato_excel&amp;utm_content=act_formato_excel_link" xr:uid="{C20F1532-FEFE-4B0B-890E-CDBE8DEE9147}"/>
    <hyperlink ref="B2857" r:id="rId598" display="https://actualicese.com/formulario-110-y-formato-2516-declaracion-de-renta-o-ingresos-y-patrimonio-personas-juridicas-ag-2020/?referer=L-excel-formato&amp;utm_medium=act_formato_excel&amp;utm_source=act_formato_excel&amp;utm_campaign=act_formato_excel&amp;utm_content=act_formato_excel_link" xr:uid="{73EFFFBD-DBA6-40BB-9C02-41C41EC7DCDD}"/>
    <hyperlink ref="B2859" r:id="rId599" display="https://actualicese.com/contrato-de-promesa-de-compraventa-de-carro-o-motocicleta/?referer=L-excel-formato&amp;utm_medium=act_formato_excel&amp;utm_source=act_formato_excel&amp;utm_campaign=act_formato_excel&amp;utm_content=act_formato_excel_link" xr:uid="{4F705A8C-0572-47A5-A946-1A5A5612A988}"/>
    <hyperlink ref="B2861" r:id="rId600" display="https://actualicese.com/cuentas-en-participacion/?referer=L-excel-formato&amp;utm_medium=act_formato_excel&amp;utm_source=act_formato_excel&amp;utm_campaign=act_formato_excel&amp;utm_content=act_formato_excel_link" xr:uid="{AFE0C669-28E2-4D44-8A01-F74D8B1C6EF1}"/>
    <hyperlink ref="B2863" r:id="rId601" display="https://actualicese.com/prestacion-de-servicios/?referer=L-excel-formato&amp;utm_medium=act_formato_excel&amp;utm_source=act_formato_excel&amp;utm_campaign=act_formato_excel&amp;utm_content=act_formato_excel_link" xr:uid="{73A985B3-E30E-471D-B23C-D2163C1E9C08}"/>
    <hyperlink ref="B2865" r:id="rId602" display="https://actualicese.com/contrato-de-union-temporal/?referer=L-excel-formato&amp;utm_medium=act_formato_excel&amp;utm_source=act_formato_excel&amp;utm_campaign=act_formato_excel&amp;utm_content=act_formato_excel_link" xr:uid="{45F66CEB-F334-4BE4-A497-49E08F34505E}"/>
    <hyperlink ref="B2867" r:id="rId603" display="https://actualicese.com/carta-de-aceptacion-de-los-terminos-del-encargo-de-revisoria-fiscal-conforme-a-la-nia-210/?referer=L-excel-formato&amp;utm_medium=act_formato_excel&amp;utm_source=act_formato_excel&amp;utm_campaign=act_formato_excel&amp;utm_content=act_formato_excel_link" xr:uid="{76226420-598C-4591-ACCC-3DBFB02AAE82}"/>
    <hyperlink ref="B2869" r:id="rId604" display="https://actualicese.com/word-contrato-de-prestacion-de-servicios-para-la-organizacion-contable/?referer=L-excel-formato&amp;utm_medium=act_formato_excel&amp;utm_source=act_formato_excel&amp;utm_campaign=act_formato_excel&amp;utm_content=act_formato_excel_link" xr:uid="{E55018D5-A6DB-4133-A66C-3CC6317D63F0}"/>
    <hyperlink ref="B2871" r:id="rId605" display="https://actualicese.com/matriz-para-definir-casos-en-que-las-personas-naturales-son-agentes-de-retencion-a-titulo-de-renta/?referer=L-excel-formato&amp;utm_medium=act_formato_excel&amp;utm_source=act_formato_excel&amp;utm_campaign=act_formato_excel&amp;utm_content=act_formato_excel_link" xr:uid="{201B5E88-5C12-45EC-9F2B-15E6A9C3D0F5}"/>
    <hyperlink ref="B2873" r:id="rId606" display="https://actualicese.com/guias-para-el-reporte-de-exogena-2020-descargalas-ya/?referer=L-excel-formato&amp;utm_medium=act_formato_excel&amp;utm_source=act_formato_excel&amp;utm_campaign=act_formato_excel&amp;utm_content=act_formato_excel_link" xr:uid="{B469BFF0-DE11-40AE-96B0-EFC1ED6CE3AE}"/>
    <hyperlink ref="B2875" r:id="rId607" display="https://actualicese.com/contrato-de-prestacion-de-servicios-de-administracion-de-propiedad-horizontal/?referer=L-excel-formato&amp;utm_medium=act_formato_excel&amp;utm_source=act_formato_excel&amp;utm_campaign=act_formato_excel&amp;utm_content=act_formato_excel_link" xr:uid="{09B073CE-FA17-4927-B770-B8DA52B633EF}"/>
    <hyperlink ref="B2877" r:id="rId608" display="https://actualicese.com/acta-de-criterios-que-debe-cumplir-el-revisor-de-control-de-calidad-de-un-encargo-de-auditoria/?referer=L-excel-formato&amp;utm_medium=act_formato_excel&amp;utm_source=act_formato_excel&amp;utm_campaign=act_formato_excel&amp;utm_content=act_formato_excel_link" xr:uid="{A9452880-E792-4283-B8C9-3CDBBBE9EC99}"/>
    <hyperlink ref="B2879" r:id="rId609" display="https://actualicese.com/matriz-de-categorias-de-informantes-de-exogena-por-el-ano-gravable-2020-y-los-formatos-que-deben-usar/?referer=L-excel-formato&amp;utm_medium=act_formato_excel&amp;utm_source=act_formato_excel&amp;utm_campaign=act_formato_excel&amp;utm_content=act_formato_excel_link" xr:uid="{90738D89-B2FB-4BDC-A3B1-4503542BC66A}"/>
    <hyperlink ref="B2881" r:id="rId610" display="https://actualicese.com/plantilla-de-los-formatos-exogena-por-el-ano-gravable-2020-reportes-de-los-mandatarios/?referer=L-excel-formato&amp;utm_medium=act_formato_excel&amp;utm_source=act_formato_excel&amp;utm_campaign=act_formato_excel&amp;utm_content=act_formato_excel_link" xr:uid="{0AA88B53-18C5-41C1-8300-9C1425574765}"/>
    <hyperlink ref="B2883" r:id="rId611" display="https://actualicese.com/plantilla-del-formato-exogena-1647-por-el-ano-gravable-2020-reporte-de-ingresos-recibidos-para-terceros/?referer=L-excel-formato&amp;utm_medium=act_formato_excel&amp;utm_source=act_formato_excel&amp;utm_campaign=act_formato_excel&amp;utm_content=act_formato_excel_link" xr:uid="{91C5E9EE-A2E3-4121-BCCB-0644BB94F845}"/>
    <hyperlink ref="B2885" r:id="rId612" display="https://actualicese.com/plantilla-de-los-formatos-2276-y-2280-para-el-reporte-de-informacion-exogena-de-2020/?referer=L-excel-formato&amp;utm_medium=act_formato_excel&amp;utm_source=act_formato_excel&amp;utm_campaign=act_formato_excel&amp;utm_content=act_formato_excel_link" xr:uid="{0B2D068E-87C7-4C8A-BEF4-274BEDED827B}"/>
    <hyperlink ref="B2887" r:id="rId613" display="https://actualicese.com/plantilla-del-formato-exogena-1003-por-el-ano-gravable-2020-retenciones-que-le-practicaron-al-informante/?referer=L-excel-formato&amp;utm_medium=act_formato_excel&amp;utm_source=act_formato_excel&amp;utm_campaign=act_formato_excel&amp;utm_content=act_formato_excel_link" xr:uid="{8A6DD10E-AB28-4DBA-A720-A34EE96D3DA3}"/>
    <hyperlink ref="B2889" r:id="rId614" display="https://actualicese.com/plantilla-de-los-formatos-exogena-1011-1012-y-2275-por-el-ano-gravable-2020-reporte-de-otros-datos-en-renta-e-iva/?referer=L-excel-formato&amp;utm_medium=act_formato_excel&amp;utm_source=act_formato_excel&amp;utm_campaign=act_formato_excel&amp;utm_content=act_formato_excel_link" xr:uid="{56297437-69BB-4CA0-AE8F-3F3BA360303F}"/>
    <hyperlink ref="B2891" r:id="rId615" display="https://actualicese.com/plantilla-del-formato-exogena-1008-por-el-ano-gravable-2020-reporte-de-cuentas-por-cobrar/?referer=L-excel-formato&amp;utm_medium=act_formato_excel&amp;utm_source=act_formato_excel&amp;utm_campaign=act_formato_excel&amp;utm_content=act_formato_excel_link" xr:uid="{FB5D8799-DDEA-43CA-835C-F610DA730513}"/>
    <hyperlink ref="B2893" r:id="rId616" display="https://actualicese.com/plantilla-del-formato-exogena-1007-por-el-ano-gravable-2020-reportes-de-ingresos-propios/?referer=L-excel-formato&amp;utm_medium=act_formato_excel&amp;utm_source=act_formato_excel&amp;utm_campaign=act_formato_excel&amp;utm_content=act_formato_excel_link" xr:uid="{8D9F5D09-4FC1-48D0-8B45-5B73D7BA8880}"/>
    <hyperlink ref="B2895" r:id="rId617" display="https://actualicese.com/plantilla-del-formato-exogena-1009-por-el-ano-gravable-2020-reporte-de-cuentas-por-pagar/?referer=L-excel-formato&amp;utm_medium=act_formato_excel&amp;utm_source=act_formato_excel&amp;utm_campaign=act_formato_excel&amp;utm_content=act_formato_excel_link" xr:uid="{A5A57EC1-0F33-4360-9E6A-BFB2A75BA5C4}"/>
    <hyperlink ref="B2897" r:id="rId618" display="https://actualicese.com/plantilla-del-formato-1004-exogena-de-2020-reporte-de-descuentos-al-impuesto-de-renta-y-regimen-simple/?referer=L-excel-formato&amp;utm_medium=act_formato_excel&amp;utm_source=act_formato_excel&amp;utm_campaign=act_formato_excel&amp;utm_content=act_formato_excel_link" xr:uid="{44B57A43-BF08-4453-81A8-0188F9AE8420}"/>
    <hyperlink ref="B2899" r:id="rId619" display="https://actualicese.com/plantilla-de-los-formatos-exogena-1005-y-1006-del-ano-gravable-2020-reportes-de-iva-generados-y-descontables/?referer=L-excel-formato&amp;utm_medium=act_formato_excel&amp;utm_source=act_formato_excel&amp;utm_campaign=act_formato_excel&amp;utm_content=act_formato_excel_link" xr:uid="{AFE8A229-F417-4DB5-A24C-34AA34C5F56F}"/>
    <hyperlink ref="B2901" r:id="rId620" display="https://actualicese.com/plantilla-del-formato-exogena-1010-por-el-ano-gravable-2020-reporte-de-socios-cooperados-o-comuneros/?referer=L-excel-formato&amp;utm_medium=act_formato_excel&amp;utm_source=act_formato_excel&amp;utm_campaign=act_formato_excel&amp;utm_content=act_formato_excel_link" xr:uid="{6FF70C35-A3B2-416A-9A69-8C2450DC7E4F}"/>
    <hyperlink ref="B2903" r:id="rId621" display="https://actualicese.com/plantilla-del-formato-exogena-1001-por-el-ano-gravable-2020-reporte-de-pagos-o-abonos-en-cuenta/?referer=L-excel-formato&amp;utm_medium=act_formato_excel&amp;utm_source=act_formato_excel&amp;utm_campaign=act_formato_excel&amp;utm_content=act_formato_excel_link" xr:uid="{DCB1C2FF-E1B2-47A5-A3E1-A643A73C9109}"/>
    <hyperlink ref="B2905" r:id="rId622" display="https://actualicese.com/modelo-de-contrato-de-maquila/?referer=L-excel-formato&amp;utm_medium=act_formato_excel&amp;utm_source=act_formato_excel&amp;utm_campaign=act_formato_excel&amp;utm_content=act_formato_excel_link" xr:uid="{7C00DD08-8BD5-4553-9CCB-6C55618AFB25}"/>
    <hyperlink ref="B2907" r:id="rId623" display="https://actualicese.com/ofrecimiento-de-servicios-de-una-empresa/?referer=L-excel-formato&amp;utm_medium=act_formato_excel&amp;utm_source=act_formato_excel&amp;utm_campaign=act_formato_excel&amp;utm_content=act_formato_excel_link" xr:uid="{E38893F8-5F9E-4A3E-BA01-62D8212C58BE}"/>
    <hyperlink ref="B2909" r:id="rId624" display="https://actualicese.com/notificacion-de-sancion-disciplinaria-para-el-empleado-de-una-firma-de-auditoria/?referer=L-excel-formato&amp;utm_medium=act_formato_excel&amp;utm_source=act_formato_excel&amp;utm_campaign=act_formato_excel&amp;utm_content=act_formato_excel_link" xr:uid="{A7167F63-F3C4-4C64-8449-2CAC3FEFF339}"/>
    <hyperlink ref="B2911" r:id="rId625" display="https://actualicese.com/contrato-de-mercancias-en-consignacion/?referer=L-excel-formato&amp;utm_medium=act_formato_excel&amp;utm_source=act_formato_excel&amp;utm_campaign=act_formato_excel&amp;utm_content=act_formato_excel_link" xr:uid="{9CF254E5-AAD5-4865-8652-C622DBC7C57C}"/>
    <hyperlink ref="B2913" r:id="rId626" display="https://actualicese.com/contrato-de-arrendamiento-vivienda-urbana/?referer=L-excel-formato&amp;utm_medium=act_formato_excel&amp;utm_source=act_formato_excel&amp;utm_campaign=act_formato_excel&amp;utm_content=act_formato_excel_link" xr:uid="{EC3B632B-913E-4F56-9ADE-6B6680A2433D}"/>
    <hyperlink ref="B2915" r:id="rId627" display="https://actualicese.com/modelos-de-notas-a-los-estados-financieros-2020-5-casos-que-pueden-presentarse-por-el-covid-19/?referer=L-excel-formato&amp;utm_medium=act_formato_excel&amp;utm_source=act_formato_excel&amp;utm_campaign=act_formato_excel&amp;utm_content=act_formato_excel_link" xr:uid="{96596A35-FCC6-4221-9744-C806849936CD}"/>
    <hyperlink ref="B2917" r:id="rId628" display="https://actualicese.com/27-formatos-para-preparar-la-declaracion-de-renta-de-personas-juridicas-por-el-ano-gravable-2020/?referer=L-excel-formato&amp;utm_medium=act_formato_excel&amp;utm_source=act_formato_excel&amp;utm_campaign=act_formato_excel&amp;utm_content=act_formato_excel_link" xr:uid="{06B891DA-567B-4416-B8FA-43AEF1A07B62}"/>
    <hyperlink ref="B2919" r:id="rId629" display="https://actualicese.com/conciliacion-contable-y-tributaria-casos-de-deducciones-especiales/?referer=L-excel-formato&amp;utm_medium=act_formato_excel&amp;utm_source=act_formato_excel&amp;utm_campaign=act_formato_excel&amp;utm_content=act_formato_excel_link" xr:uid="{314B602E-0149-4163-88ED-A42775F21183}"/>
    <hyperlink ref="B2921" r:id="rId630" display="https://actualicese.com/contrato-de-arrendamiento-de-local-comercial/?referer=L-excel-formato&amp;utm_medium=act_formato_excel&amp;utm_source=act_formato_excel&amp;utm_campaign=act_formato_excel&amp;utm_content=act_formato_excel_link" xr:uid="{969216C7-D984-45D0-840D-BFAB0F409295}"/>
    <hyperlink ref="B2923" r:id="rId631" display="https://actualicese.com/contrato-modelo-contrato-de-mandato/?referer=L-excel-formato&amp;utm_medium=act_formato_excel&amp;utm_source=act_formato_excel&amp;utm_campaign=act_formato_excel&amp;utm_content=act_formato_excel_link" xr:uid="{4178BD9F-83D2-41C9-BA2D-D3BA23C3E6D6}"/>
    <hyperlink ref="B2925" r:id="rId632" display="https://actualicese.com/dictamenes-e-informes-del-revisor-fiscal-actualizados-al-2022/?referer=L-excel-formato&amp;utm_medium=act_formato_excel&amp;utm_source=act_formato_excel&amp;utm_campaign=act_formato_excel&amp;utm_content=act_formato_excel_link" xr:uid="{9EC7CEAF-588D-42D2-B598-9C1F8DDE3AC8}"/>
    <hyperlink ref="B2927" r:id="rId633" display="https://actualicese.com/simulador-de-4-casos-de-deducciones-y-costos-estimados-para-la-declaracion-de-renta/?referer=L-excel-formato&amp;utm_medium=act_formato_excel&amp;utm_source=act_formato_excel&amp;utm_campaign=act_formato_excel&amp;utm_content=act_formato_excel_link" xr:uid="{5724235F-4E46-4D1B-AE19-9FFF21B73E79}"/>
    <hyperlink ref="B2929" r:id="rId634" display="https://actualicese.com/notificacion-de-entrega-de-manual-de-funciones-del-auditor-dentro-de-la-firma/?referer=L-excel-formato&amp;utm_medium=act_formato_excel&amp;utm_source=act_formato_excel&amp;utm_campaign=act_formato_excel&amp;utm_content=act_formato_excel_link" xr:uid="{0320E3C1-5300-4E40-BDEE-571F0E753B15}"/>
    <hyperlink ref="B2931" r:id="rId635" display="https://actualicese.com/conciliacion-contable-y-tributaria-casos-de-descuentos-y-donaciones-especiales/?referer=L-excel-formato&amp;utm_medium=act_formato_excel&amp;utm_source=act_formato_excel&amp;utm_campaign=act_formato_excel&amp;utm_content=act_formato_excel_link" xr:uid="{3B4483B1-062D-46C9-8EAB-A0A29593E44F}"/>
    <hyperlink ref="B2933" r:id="rId636" display="https://actualicese.com/modelo-de-inventario-de-entrega-de-inmueble/?referer=L-excel-formato&amp;utm_medium=act_formato_excel&amp;utm_source=act_formato_excel&amp;utm_campaign=act_formato_excel&amp;utm_content=act_formato_excel_link" xr:uid="{4872D106-DD6C-477B-A52C-38C4EEEEF17E}"/>
    <hyperlink ref="B2935" r:id="rId637" display="https://actualicese.com/contrato-de-obra-civil/?referer=L-excel-formato&amp;utm_medium=act_formato_excel&amp;utm_source=act_formato_excel&amp;utm_campaign=act_formato_excel&amp;utm_content=act_formato_excel_link" xr:uid="{35E65E09-E256-406B-BD2B-E540EF9F02AB}"/>
    <hyperlink ref="B2937" r:id="rId638" display="https://actualicese.com/desistimiento-de-la-accion-de-tutela/?referer=L-excel-formato&amp;utm_medium=act_formato_excel&amp;utm_source=act_formato_excel&amp;utm_campaign=act_formato_excel&amp;utm_content=act_formato_excel_link" xr:uid="{4A14EB3B-A5F2-465B-BE8B-2B0232FCFEAD}"/>
    <hyperlink ref="B2939" r:id="rId639" display="https://actualicese.com/liquidador-del-costo-de-renovacion-de-matricula-mercantil-y-de-establecimientos-de-comercio-2021/?referer=L-excel-formato&amp;utm_medium=act_formato_excel&amp;utm_source=act_formato_excel&amp;utm_campaign=act_formato_excel&amp;utm_content=act_formato_excel_link" xr:uid="{A92956F8-DAF4-4BB8-8390-0F8D0B7178BD}"/>
    <hyperlink ref="B2941" r:id="rId640" display="https://actualicese.com/clasificacion-de-las-personas-juridicas-frente-al-impuesto-de-renta-y-al-simple-ano-gravable-2020/?referer=L-excel-formato&amp;utm_medium=act_formato_excel&amp;utm_source=act_formato_excel&amp;utm_campaign=act_formato_excel&amp;utm_content=act_formato_excel_link" xr:uid="{8E0F4084-4AE0-441D-9075-D3ECF3FB3D48}"/>
    <hyperlink ref="B2943" r:id="rId641" display="https://actualicese.com/incidente-de-desacato-de-accion-de-tutela/?referer=L-excel-formato&amp;utm_medium=act_formato_excel&amp;utm_source=act_formato_excel&amp;utm_campaign=act_formato_excel&amp;utm_content=act_formato_excel_link" xr:uid="{84092694-32EA-4D4C-AB61-5BB783E1182B}"/>
    <hyperlink ref="B2945" r:id="rId642" display="https://actualicese.com/modelo-de-accion-de-tutela-para-reclamar-incapacidades/?referer=L-excel-formato&amp;utm_medium=act_formato_excel&amp;utm_source=act_formato_excel&amp;utm_campaign=act_formato_excel&amp;utm_content=act_formato_excel_link" xr:uid="{6781D37A-C315-4353-9076-C5654488B885}"/>
    <hyperlink ref="B2947" r:id="rId643" display="https://actualicese.com/plantilla-en-excel-para-diligenciar-el-formulario-350-de-retencion-en-la-fuente-en-2021/?referer=L-excel-formato&amp;utm_medium=act_formato_excel&amp;utm_source=act_formato_excel&amp;utm_campaign=act_formato_excel&amp;utm_content=act_formato_excel_link" xr:uid="{2682524F-3CEF-43C7-AB9A-096F95222E29}"/>
    <hyperlink ref="B2949" r:id="rId644" display="https://actualicese.com/carta-para-comunicarle-a-los-proveedores-las-operaciones-con-facturadores-electronicos/?referer=L-excel-formato&amp;utm_medium=act_formato_excel&amp;utm_source=act_formato_excel&amp;utm_campaign=act_formato_excel&amp;utm_content=act_formato_excel_link" xr:uid="{75E0BDE4-1BB3-4846-BEB7-1F0715DB67D9}"/>
    <hyperlink ref="B2951" r:id="rId645" display="https://actualicese.com/calendario-tributario-2021-automatizado-en-excel/?referer=L-excel-formato&amp;utm_medium=act_formato_excel&amp;utm_source=act_formato_excel&amp;utm_campaign=act_formato_excel&amp;utm_content=act_formato_excel_link" xr:uid="{4B03135E-A411-41ED-B221-F0BA413180A9}"/>
    <hyperlink ref="B2953" r:id="rId646" display="https://actualicese.com/cuenta-de-cobro-para-una-persona-que-presta-servicios-y-no-es-responsable-de-iva/?referer=L-excel-formato&amp;utm_medium=act_formato_excel&amp;utm_source=act_formato_excel&amp;utm_campaign=act_formato_excel&amp;utm_content=act_formato_excel_link" xr:uid="{8C0B1D67-CEC1-4A7D-AE4B-059ECB9795FE}"/>
    <hyperlink ref="B2955" r:id="rId647" display="https://actualicese.com/certificado-de-persona-natural-no-declarante-del-impuesto-de-renta-y-complementario-2020/?referer=L-excel-formato&amp;utm_medium=act_formato_excel&amp;utm_source=act_formato_excel&amp;utm_campaign=act_formato_excel&amp;utm_content=act_formato_excel_link" xr:uid="{B5BB1803-9AA4-4B90-BEBC-A33DEC51752F}"/>
    <hyperlink ref="B2957" r:id="rId648" display="https://actualicese.com/modelo-de-accion-de-tutela-contra-entidades-financieras/?referer=L-excel-formato&amp;utm_medium=act_formato_excel&amp;utm_source=act_formato_excel&amp;utm_campaign=act_formato_excel&amp;utm_content=act_formato_excel_link" xr:uid="{3BA74E98-3A03-495E-9FD1-1547B227AA1A}"/>
    <hyperlink ref="B2959" r:id="rId649" display="https://actualicese.com/plantilla-para-elaborar-formulario-220-certificado-de-ingresos-y-retenciones-ano-gravable-2020/?referer=L-excel-formato&amp;utm_medium=act_formato_excel&amp;utm_source=act_formato_excel&amp;utm_campaign=act_formato_excel&amp;utm_content=act_formato_excel_link" xr:uid="{E98F3129-4BDF-4583-ABFE-6E66888B20A0}"/>
    <hyperlink ref="B2961" r:id="rId650" display="https://actualicese.com/pack-de-formatos-formatos-para-la-liquidacion-de-nomina-paso-a-paso-2/?referer=L-excel-formato&amp;utm_medium=act_formato_excel&amp;utm_source=act_formato_excel&amp;utm_campaign=act_formato_excel&amp;utm_content=act_formato_excel_link" xr:uid="{9ECC6094-A6CD-4EEE-841B-4B8BCE6AD851}"/>
    <hyperlink ref="B2963" r:id="rId651" display="https://actualicese.com/rentas-exentas-para-personas-juridicas-periodo-gravable-2020/?referer=L-excel-formato&amp;utm_medium=act_formato_excel&amp;utm_source=act_formato_excel&amp;utm_campaign=act_formato_excel&amp;utm_content=act_formato_excel_link" xr:uid="{2D6A5503-BB0D-41F7-AAF2-BC3B0119BCB3}"/>
    <hyperlink ref="B2965" r:id="rId652" display="https://actualicese.com/modelo-del-certificado-anual-para-socios-y-o-accionistas-por-el-ano-2020/?referer=L-excel-formato&amp;utm_medium=act_formato_excel&amp;utm_source=act_formato_excel&amp;utm_campaign=act_formato_excel&amp;utm_content=act_formato_excel_link" xr:uid="{A9040C21-0C59-43D7-AECF-91891DA44AFB}"/>
    <hyperlink ref="B2967" r:id="rId653" display="https://actualicese.com/normatividad-relacionada-con-la-liquidacion-de-nomina/?referer=L-excel-formato&amp;utm_medium=act_formato_excel&amp;utm_source=act_formato_excel&amp;utm_campaign=act_formato_excel&amp;utm_content=act_formato_excel_link" xr:uid="{EB863F81-7432-4393-A0EB-0F9F86D85F9A}"/>
    <hyperlink ref="B2969" r:id="rId654" display="https://actualicese.com/informacion-laboral-2021/?referer=L-excel-formato&amp;utm_medium=act_formato_excel&amp;utm_source=act_formato_excel&amp;utm_campaign=act_formato_excel&amp;utm_content=act_formato_excel_link" xr:uid="{AC7E5BB2-3CC3-46F1-B842-0A4D815D6A89}"/>
    <hyperlink ref="B2971" r:id="rId655" display="https://actualicese.com/2021-historico-de-salario-minimo-y-auxilio-de-transporte/?referer=L-excel-formato&amp;utm_medium=act_formato_excel&amp;utm_source=act_formato_excel&amp;utm_campaign=act_formato_excel&amp;utm_content=act_formato_excel_link" xr:uid="{8E71DD6D-BF1C-4BBA-90C8-D1DCDBE13524}"/>
    <hyperlink ref="B2973" r:id="rId656" display="https://actualicese.com/20-liquidadores-de-sanciones-y-procedimiento-tributario-2022/?referer=L-excel-formato&amp;utm_medium=act_formato_excel&amp;utm_source=act_formato_excel&amp;utm_campaign=act_formato_excel&amp;utm_content=act_formato_excel_link" xr:uid="{3ED403F5-21D7-44FE-B43B-753BA99228B7}"/>
    <hyperlink ref="B2975" r:id="rId657" display="https://actualicese.com/liquidador-de-retencion-en-la-fuente-con-procedimiento-1-sobre-rentas-de-trabajo-durante-2021/?referer=L-excel-formato&amp;utm_medium=act_formato_excel&amp;utm_source=act_formato_excel&amp;utm_campaign=act_formato_excel&amp;utm_content=act_formato_excel_link" xr:uid="{E239046E-58D9-46BE-B893-C4B6FD240869}"/>
    <hyperlink ref="B2977" r:id="rId658" display="https://actualicese.com/formularios-dian/?referer=L-excel-formato&amp;utm_medium=act_formato_excel&amp;utm_source=act_formato_excel&amp;utm_campaign=act_formato_excel&amp;utm_content=act_formato_excel_link" xr:uid="{312091DE-AB27-4E32-B97B-05069ECD41DE}"/>
    <hyperlink ref="B2979" r:id="rId659" display="https://actualicese.com/2021-historico-de-la-variacion-nominal-del-salario-minimo-vs-la-inflacion-1993-2020/?referer=L-excel-formato&amp;utm_medium=act_formato_excel&amp;utm_source=act_formato_excel&amp;utm_campaign=act_formato_excel&amp;utm_content=act_formato_excel_link" xr:uid="{A0017A82-B593-4DA2-B912-A4B2C83B113B}"/>
    <hyperlink ref="B2981" r:id="rId660" display="https://actualicese.com/guia-tabla-de-retencion-en-la-fuente-para-el-ano-fiscal-2021/?referer=L-excel-formato&amp;utm_medium=act_formato_excel&amp;utm_source=act_formato_excel&amp;utm_campaign=act_formato_excel&amp;utm_content=act_formato_excel_link" xr:uid="{4C735510-EBE6-4A78-9FE2-FEB88E970395}"/>
    <hyperlink ref="B2983" r:id="rId661" display="https://actualicese.com/tablas-de-retencion-en-la-fuente-a-titulo-de-impuestos-nacionales-durante-el-ano-fiscal-2021/?referer=L-excel-formato&amp;utm_medium=act_formato_excel&amp;utm_source=act_formato_excel&amp;utm_campaign=act_formato_excel&amp;utm_content=act_formato_excel_link" xr:uid="{D987717C-AB1F-478B-835D-31C2FAE01676}"/>
    <hyperlink ref="B2985" r:id="rId662" display="https://actualicese.com/historico-tasa-representativa-del-mercado-trm-2020/?referer=L-excel-formato&amp;utm_medium=act_formato_excel&amp;utm_source=act_formato_excel&amp;utm_campaign=act_formato_excel&amp;utm_content=act_formato_excel_link" xr:uid="{009C926D-AF3F-4495-8CAC-CC372B02B588}"/>
    <hyperlink ref="B2987" r:id="rId663" display="https://actualicese.com/comparativo-de-normas-tributarias-afectadas-con-las-leyes-2068-2069-y-2070-de-diciembre-31-de-2020/?referer=L-excel-formato&amp;utm_medium=act_formato_excel&amp;utm_source=act_formato_excel&amp;utm_campaign=act_formato_excel&amp;utm_content=act_formato_excel_link" xr:uid="{14BF3C8E-AF96-415F-A297-F18FD9C6F0C4}"/>
    <hyperlink ref="B2989" r:id="rId664" display="https://actualicese.com/calendario-tributario-2021-version-para-imprimir/?referer=L-excel-formato&amp;utm_medium=act_formato_excel&amp;utm_source=act_formato_excel&amp;utm_campaign=act_formato_excel&amp;utm_content=act_formato_excel_link" xr:uid="{10881824-6FD9-4FA3-BD6E-DBEECE6CCEC4}"/>
    <hyperlink ref="B2991" r:id="rId665" display="https://actualicese.com/calendario-calendario-tributario-distrital-2021/?referer=L-excel-formato&amp;utm_medium=act_formato_excel&amp;utm_source=act_formato_excel&amp;utm_campaign=act_formato_excel&amp;utm_content=act_formato_excel_link" xr:uid="{1B5A5AD9-E94F-4348-A926-270B1401EA8C}"/>
    <hyperlink ref="B2993" r:id="rId666" display="https://actualicese.com/liquidadores-de-sanciones-relacionadas-con-la-informacion-exogena-resueltas-en-2022/?referer=L-excel-formato&amp;utm_medium=act_formato_excel&amp;utm_source=act_formato_excel&amp;utm_campaign=act_formato_excel&amp;utm_content=act_formato_excel_link" xr:uid="{296348EB-7B34-4E3D-BD07-CE651A798DCA}"/>
    <hyperlink ref="B2995" r:id="rId667" display="https://actualicese.com/modelo-para-calculo-de-depreciacion-por-el-metodo-de-reduccion-de-saldos/?referer=L-excel-formato&amp;utm_medium=act_formato_excel&amp;utm_source=act_formato_excel&amp;utm_campaign=act_formato_excel&amp;utm_content=act_formato_excel_link" xr:uid="{4E494877-A471-4796-A8CF-5252CBD80D1B}"/>
    <hyperlink ref="B2997" r:id="rId668" display="https://actualicese.com/baja-de-bienes/?referer=L-excel-formato&amp;utm_medium=act_formato_excel&amp;utm_source=act_formato_excel&amp;utm_campaign=act_formato_excel&amp;utm_content=act_formato_excel_link" xr:uid="{DF637334-F613-46A1-837A-1524836E1695}"/>
    <hyperlink ref="B2999" r:id="rId669" display="https://actualicese.com/ingresos-que-no-se-consideran-de-fuente-nacional-periodo-gravable-2020/?referer=L-excel-formato&amp;utm_medium=act_formato_excel&amp;utm_source=act_formato_excel&amp;utm_campaign=act_formato_excel&amp;utm_content=act_formato_excel_link" xr:uid="{1E62FCEA-FF2F-4069-AFD5-DB6AC9DAF798}"/>
    <hyperlink ref="B3001" r:id="rId670" display="https://actualicese.com/ingresos-que-no-se-consideran-de-fuente-nacional-periodo-gravable-2020-2/?referer=L-excel-formato&amp;utm_medium=act_formato_excel&amp;utm_source=act_formato_excel&amp;utm_campaign=act_formato_excel&amp;utm_content=act_formato_excel_link" xr:uid="{17574627-6EFC-4E4C-A677-372C3DDEB02C}"/>
    <hyperlink ref="B3003" r:id="rId671" display="https://actualicese.com/contabilizacion-de-los-rubros-asociados-a-la-dotacion-a-empleados/?referer=L-excel-formato&amp;utm_medium=act_formato_excel&amp;utm_source=act_formato_excel&amp;utm_campaign=act_formato_excel&amp;utm_content=act_formato_excel_link" xr:uid="{4517BC35-D5D6-4825-8B15-04BC10D78FCD}"/>
    <hyperlink ref="B3005" r:id="rId672" display="https://actualicese.com/21-formatos-para-preparar-el-cierre-contable-de-2020/?referer=L-excel-formato&amp;utm_medium=act_formato_excel&amp;utm_source=act_formato_excel&amp;utm_campaign=act_formato_excel&amp;utm_content=act_formato_excel_link" xr:uid="{D9852A61-48E8-4535-AAB7-B9CCA00A688D}"/>
    <hyperlink ref="B3007" r:id="rId673" display="https://actualicese.com/nuevos-descuentos-tributarios-para-el-cierre-fiscal-2020-casos-practicos/?referer=L-excel-formato&amp;utm_medium=act_formato_excel&amp;utm_source=act_formato_excel&amp;utm_campaign=act_formato_excel&amp;utm_content=act_formato_excel_link" xr:uid="{0C78862F-39BF-47FF-AC4C-ACE04E27010F}"/>
    <hyperlink ref="B3009" r:id="rId674" display="https://actualicese.com/porcentaje-fijo-de-retencion-en-la-fuente-sobre-salarios-en-diciembre-de-2020-procedimiento-2/?referer=L-excel-formato&amp;utm_medium=act_formato_excel&amp;utm_source=act_formato_excel&amp;utm_campaign=act_formato_excel&amp;utm_content=act_formato_excel_link" xr:uid="{4035DBD2-ADA2-4108-9330-319B48451028}"/>
    <hyperlink ref="B3011" r:id="rId675" display="https://actualicese.com/plantilla-para-definir-el-perfil-del-cargo-de-un-empleado-y-sus-funciones/?referer=L-excel-formato&amp;utm_medium=act_formato_excel&amp;utm_source=act_formato_excel&amp;utm_campaign=act_formato_excel&amp;utm_content=act_formato_excel_link" xr:uid="{29EDD792-9263-4BFE-991A-3B62014580E3}"/>
    <hyperlink ref="B3013" r:id="rId676" display="https://actualicese.com/politicas-contables-para-las-propiedades-de-inversion/?referer=L-excel-formato&amp;utm_medium=act_formato_excel&amp;utm_source=act_formato_excel&amp;utm_campaign=act_formato_excel&amp;utm_content=act_formato_excel_link" xr:uid="{5680B498-03C1-4594-AB34-55D71DB8D4C0}"/>
    <hyperlink ref="B3015" r:id="rId677" display="https://actualicese.com/nota-sobre-la-determinacion-de-valores-razonables/?referer=L-excel-formato&amp;utm_medium=act_formato_excel&amp;utm_source=act_formato_excel&amp;utm_campaign=act_formato_excel&amp;utm_content=act_formato_excel_link" xr:uid="{AB92576A-0356-4450-85D6-5C91AF8E2489}"/>
    <hyperlink ref="B3017" r:id="rId678" display="https://actualicese.com/liquidador-de-nomina-en-un-contrato-de-aprendizaje/?referer=L-excel-formato&amp;utm_medium=act_formato_excel&amp;utm_source=act_formato_excel&amp;utm_campaign=act_formato_excel&amp;utm_content=act_formato_excel_link" xr:uid="{D400F84F-A10A-4888-8145-F677371C8929}"/>
    <hyperlink ref="B3019" r:id="rId679" display="https://actualicese.com/venta-de-bienes-inmuebles-a-largo-plazo-caso-practico-de-impuesto-diferido/?referer=L-excel-formato&amp;utm_medium=act_formato_excel&amp;utm_source=act_formato_excel&amp;utm_campaign=act_formato_excel&amp;utm_content=act_formato_excel_link" xr:uid="{E39EBAA9-A9F4-4A76-8531-E227570026E8}"/>
    <hyperlink ref="B3021" r:id="rId680" display="https://actualicese.com/impuesto-diferido-de-propiedades-de-inversion-en-un-contrato-de-leasing-operativo/?referer=L-excel-formato&amp;utm_medium=act_formato_excel&amp;utm_source=act_formato_excel&amp;utm_campaign=act_formato_excel&amp;utm_content=act_formato_excel_link" xr:uid="{0DE448D1-1227-452C-966D-9D558067356A}"/>
    <hyperlink ref="B3023" r:id="rId681" display="https://actualicese.com/correccion-de-errores-de-periodos-anteriores-en-el-cierre-contable/?referer=L-excel-formato&amp;utm_medium=act_formato_excel&amp;utm_source=act_formato_excel&amp;utm_campaign=act_formato_excel&amp;utm_content=act_formato_excel_link" xr:uid="{B08F03A9-149D-446F-9D58-4B1B2C679038}"/>
    <hyperlink ref="B3025" r:id="rId682" display="https://actualicese.com/impuesto-diferido-por-diferencias-en-la-tasa-de-depreciacion-de-propiedades-planta-y-equipo/?referer=L-excel-formato&amp;utm_medium=act_formato_excel&amp;utm_source=act_formato_excel&amp;utm_campaign=act_formato_excel&amp;utm_content=act_formato_excel_link" xr:uid="{186A881B-F775-46DE-B99A-6AB52C570AFF}"/>
    <hyperlink ref="B3027" r:id="rId683" display="https://actualicese.com/simulador-de-sancion-por-no-pagar-la-liquidacion-del-contrato-laboral/?referer=L-excel-formato&amp;utm_medium=act_formato_excel&amp;utm_source=act_formato_excel&amp;utm_campaign=act_formato_excel&amp;utm_content=act_formato_excel_link" xr:uid="{9C4AB050-B13A-4359-ACCC-E6F21888F4AC}"/>
    <hyperlink ref="B3029" r:id="rId684" display="https://actualicese.com/plantilla-en-excel-para-la-declaracion-de-anticipos-bimestrales-en-2020-regimen-simple/?referer=L-excel-formato&amp;utm_medium=act_formato_excel&amp;utm_source=act_formato_excel&amp;utm_campaign=act_formato_excel&amp;utm_content=act_formato_excel_link" xr:uid="{F79F3919-BA21-4F38-A4E9-DE4B162E7D6E}"/>
    <hyperlink ref="B3031" r:id="rId685" display="https://actualicese.com/calendario-de-implementacion-de-la-factura-electronica/?referer=L-excel-formato&amp;utm_medium=act_formato_excel&amp;utm_source=act_formato_excel&amp;utm_campaign=act_formato_excel&amp;utm_content=act_formato_excel_link" xr:uid="{175F28D2-D349-423B-8D41-F296B826E783}"/>
    <hyperlink ref="B3033" r:id="rId686" display="https://actualicese.com/tratamiento-contable-y-fiscal-de-los-gastos-de-establecimiento-caso-practico/?referer=L-excel-formato&amp;utm_medium=act_formato_excel&amp;utm_source=act_formato_excel&amp;utm_campaign=act_formato_excel&amp;utm_content=act_formato_excel_link" xr:uid="{F19593DC-76B8-4C27-8575-6C0FD8C6802E}"/>
    <hyperlink ref="B3035" r:id="rId687" display="https://actualicese.com/liquidador-para-el-calculo-de-la-renta-presuntiva-del-ano-gravable-2020/?referer=L-excel-formato&amp;utm_medium=act_formato_excel&amp;utm_source=act_formato_excel&amp;utm_campaign=act_formato_excel&amp;utm_content=act_formato_excel_link" xr:uid="{5C3E1AFF-6E07-42A0-A015-CB43AE445815}"/>
    <hyperlink ref="B3037" r:id="rId688" display="https://actualicese.com/depreciacion-y-valor-maximo-a-deducir-en-impuesto-de-renta/?referer=L-excel-formato&amp;utm_medium=act_formato_excel&amp;utm_source=act_formato_excel&amp;utm_campaign=act_formato_excel&amp;utm_content=act_formato_excel_link" xr:uid="{D374F01C-D5A0-40AE-8DA7-DB9D02FFD6B2}"/>
    <hyperlink ref="B3039" r:id="rId689" display="https://actualicese.com/finalizacion-del-contrato-por-parte-del-arrendador-por-vencimiento-de-este/?referer=L-excel-formato&amp;utm_medium=act_formato_excel&amp;utm_source=act_formato_excel&amp;utm_campaign=act_formato_excel&amp;utm_content=act_formato_excel_link" xr:uid="{6C9442D9-B524-4731-AEF6-CACD74B67A12}"/>
    <hyperlink ref="B3041" r:id="rId690" display="https://actualicese.com/carta-de-terminacion-de-contrato-de-arrendamiento-conforme-a-la-ley-820-del-2003/?referer=L-excel-formato&amp;utm_medium=act_formato_excel&amp;utm_source=act_formato_excel&amp;utm_campaign=act_formato_excel&amp;utm_content=act_formato_excel_link" xr:uid="{DEFFC3E1-EAAA-4659-8A01-89670B795C66}"/>
    <hyperlink ref="B3043" r:id="rId691" display="https://actualicese.com/contabilizacion-de-impuesto-diferido-ante-deterioro-de-cartera/?referer=L-excel-formato&amp;utm_medium=act_formato_excel&amp;utm_source=act_formato_excel&amp;utm_campaign=act_formato_excel&amp;utm_content=act_formato_excel_link" xr:uid="{8DECF177-D019-4B23-A7CC-9295C32E2526}"/>
    <hyperlink ref="B3045" r:id="rId692" display="https://actualicese.com/contrato-de-mutuo-comercial-o-prestamo-con-intereses/?referer=L-excel-formato&amp;utm_medium=act_formato_excel&amp;utm_source=act_formato_excel&amp;utm_campaign=act_formato_excel&amp;utm_content=act_formato_excel_link" xr:uid="{41750552-AD92-4E7C-9EB2-42C93625DE7B}"/>
    <hyperlink ref="B3047" r:id="rId693" display="https://actualicese.com/modelo-de-contrato-de-franquicia/?referer=L-excel-formato&amp;utm_medium=act_formato_excel&amp;utm_source=act_formato_excel&amp;utm_campaign=act_formato_excel&amp;utm_content=act_formato_excel_link" xr:uid="{EA91A82B-EA26-4C27-A401-74F55ED8549F}"/>
    <hyperlink ref="B3049" r:id="rId694" display="https://actualicese.com/contrato-de-permuta-3/?referer=L-excel-formato&amp;utm_medium=act_formato_excel&amp;utm_source=act_formato_excel&amp;utm_campaign=act_formato_excel&amp;utm_content=act_formato_excel_link" xr:uid="{758F63BC-F11A-4EAB-97D1-D14A53151CB8}"/>
    <hyperlink ref="B3051" r:id="rId695" display="https://actualicese.com/contrato-de-concesion-comercial/?referer=L-excel-formato&amp;utm_medium=act_formato_excel&amp;utm_source=act_formato_excel&amp;utm_campaign=act_formato_excel&amp;utm_content=act_formato_excel_link" xr:uid="{5E9537FF-90B7-4A47-B5A3-F20FD14BE490}"/>
    <hyperlink ref="B3053" r:id="rId696" display="https://actualicese.com/anticresis/?referer=L-excel-formato&amp;utm_medium=act_formato_excel&amp;utm_source=act_formato_excel&amp;utm_campaign=act_formato_excel&amp;utm_content=act_formato_excel_link" xr:uid="{2AADEF90-F677-4A42-8917-A8E6B98B19E8}"/>
    <hyperlink ref="B3055" r:id="rId697" display="https://actualicese.com/contrato-de-edicion/?referer=L-excel-formato&amp;utm_medium=act_formato_excel&amp;utm_source=act_formato_excel&amp;utm_campaign=act_formato_excel&amp;utm_content=act_formato_excel_link" xr:uid="{A667686E-2199-4908-9EA2-4DAAB861CC7E}"/>
    <hyperlink ref="B3057" r:id="rId698" display="https://actualicese.com/dacion-en-pago/?referer=L-excel-formato&amp;utm_medium=act_formato_excel&amp;utm_source=act_formato_excel&amp;utm_campaign=act_formato_excel&amp;utm_content=act_formato_excel_link" xr:uid="{4B0CB634-C0DA-4F69-BB2C-C2DD0F016DE1}"/>
    <hyperlink ref="B3059" r:id="rId699" display="https://actualicese.com/contrato-de-preposicion/?referer=L-excel-formato&amp;utm_medium=act_formato_excel&amp;utm_source=act_formato_excel&amp;utm_campaign=act_formato_excel&amp;utm_content=act_formato_excel_link" xr:uid="{5CD0D685-58D7-4525-A2DC-63F31BA59AD1}"/>
    <hyperlink ref="B3061" r:id="rId700" display="https://actualicese.com/modelo-de-contrato-de-agencia-comercial/?referer=L-excel-formato&amp;utm_medium=act_formato_excel&amp;utm_source=act_formato_excel&amp;utm_campaign=act_formato_excel&amp;utm_content=act_formato_excel_link" xr:uid="{229DB447-E95C-496B-8BA8-42CFEC312447}"/>
    <hyperlink ref="B3063" r:id="rId701" display="https://actualicese.com/promesa-de-compraventa/?referer=L-excel-formato&amp;utm_medium=act_formato_excel&amp;utm_source=act_formato_excel&amp;utm_campaign=act_formato_excel&amp;utm_content=act_formato_excel_link" xr:uid="{DB6D8811-E692-4272-9824-143367E43DE3}"/>
    <hyperlink ref="B3065" r:id="rId702" display="https://actualicese.com/contrato-de-comision-o-corretaje-2/?referer=L-excel-formato&amp;utm_medium=act_formato_excel&amp;utm_source=act_formato_excel&amp;utm_campaign=act_formato_excel&amp;utm_content=act_formato_excel_link" xr:uid="{B29BA5CB-3BF7-457A-B4B6-A6C51D98DC73}"/>
    <hyperlink ref="B3067" r:id="rId703" display="https://actualicese.com/certificacion-de-bienes-y-derechos-recibidos-por-donaciones-inter-vivos/?referer=L-excel-formato&amp;utm_medium=act_formato_excel&amp;utm_source=act_formato_excel&amp;utm_campaign=act_formato_excel&amp;utm_content=act_formato_excel_link" xr:uid="{B9C90EF9-97EB-460F-8E1B-65202B6FBEEA}"/>
    <hyperlink ref="B3069" r:id="rId704" display="https://actualicese.com/formulario-260-ag-2019-regimen-simple-personas-naturales-y-juridicas-que-llevan-contabilidad/?referer=L-excel-formato&amp;utm_medium=act_formato_excel&amp;utm_source=act_formato_excel&amp;utm_campaign=act_formato_excel&amp;utm_content=act_formato_excel_link" xr:uid="{0874359F-141C-41CB-A073-71658E918AE2}"/>
    <hyperlink ref="B3071" r:id="rId705" display="https://actualicese.com/formulario-260-ag-2019-declaracion-anual-del-simple-personas-naturales-que-no-llevan-contabilidad/?referer=L-excel-formato&amp;utm_medium=act_formato_excel&amp;utm_source=act_formato_excel&amp;utm_campaign=act_formato_excel&amp;utm_content=act_formato_excel_link" xr:uid="{81E70F5D-51B1-43C8-851D-8812BEF1473A}"/>
    <hyperlink ref="B3073" r:id="rId706" display="https://actualicese.com/planilla-automatizada-para-controlar-la-asistencia-a-pausas-activas/?referer=L-excel-formato&amp;utm_medium=act_formato_excel&amp;utm_source=act_formato_excel&amp;utm_campaign=act_formato_excel&amp;utm_content=act_formato_excel_link" xr:uid="{D39FF112-8CA6-4370-85FB-A2D563842F4A}"/>
    <hyperlink ref="B3075" r:id="rId707" display="https://actualicese.com/liquidacion-de-contrato-de-trabajo/?referer=L-excel-formato&amp;utm_medium=act_formato_excel&amp;utm_source=act_formato_excel&amp;utm_campaign=act_formato_excel&amp;utm_content=act_formato_excel_link" xr:uid="{33492C7C-9DA7-4DDD-B604-AD95804DD72F}"/>
    <hyperlink ref="B3077" r:id="rId708" location="new_tab?referer=L-excel-formato&amp;utm_medium=act_formato_excel&amp;utm_source=act_formato_excel&amp;utm_campaign=act_formato_excel&amp;utm_content=act_formato_excel_link" display="https://actualicese.com/formatos-de-analisis-financiero-en-excel/ - new_tab?referer=L-excel-formato&amp;utm_medium=act_formato_excel&amp;utm_source=act_formato_excel&amp;utm_campaign=act_formato_excel&amp;utm_content=act_formato_excel_link" xr:uid="{0B88B1DB-5611-4E60-8168-60F558A7AEE1}"/>
    <hyperlink ref="B3079" r:id="rId709" display="https://actualicese.com/compensacion-de-perdidas-fiscales-y-exceso-de-renta-presuntiva-caso-impuesto-diferido/?referer=L-excel-formato&amp;utm_medium=act_formato_excel&amp;utm_source=act_formato_excel&amp;utm_campaign=act_formato_excel&amp;utm_content=act_formato_excel_link" xr:uid="{03ED9217-DC10-44F2-9ABC-34A18C47B892}"/>
    <hyperlink ref="B3081" r:id="rId710" display="https://actualicese.com/impuesto-diferido-cuando-hay-compensacion-de-perdidas-fiscales/?referer=L-excel-formato&amp;utm_medium=act_formato_excel&amp;utm_source=act_formato_excel&amp;utm_campaign=act_formato_excel&amp;utm_content=act_formato_excel_link" xr:uid="{74E43B76-1211-44A4-AFF7-3114C9DC2C5B}"/>
    <hyperlink ref="B3083" r:id="rId711" display="https://actualicese.com/formato-de-entrega-de-dotacion-elementos-fisicos/?referer=L-excel-formato&amp;utm_medium=act_formato_excel&amp;utm_source=act_formato_excel&amp;utm_campaign=act_formato_excel&amp;utm_content=act_formato_excel_link" xr:uid="{BF0CF761-F707-4B93-83C1-3BDA7FDF480B}"/>
    <hyperlink ref="B3085" r:id="rId712" display="https://actualicese.com/constancia-de-entrega-de-equipos-y-elementos-de-proteccion-personal/?referer=L-excel-formato&amp;utm_medium=act_formato_excel&amp;utm_source=act_formato_excel&amp;utm_campaign=act_formato_excel&amp;utm_content=act_formato_excel_link" xr:uid="{508FF84C-9A9C-47A2-918B-6A0F60285719}"/>
    <hyperlink ref="B3087" r:id="rId713" display="https://actualicese.com/certificado-de-prestacion-de-servicios/?referer=L-excel-formato&amp;utm_medium=act_formato_excel&amp;utm_source=act_formato_excel&amp;utm_campaign=act_formato_excel&amp;utm_content=act_formato_excel_link" xr:uid="{7AD1F13B-F9CF-4815-8DB4-E35EF7050FF3}"/>
    <hyperlink ref="B3089" r:id="rId714" display="https://actualicese.com/retenciones-a-practicar-entre-regimenes/?referer=L-excel-formato&amp;utm_medium=act_formato_excel&amp;utm_source=act_formato_excel&amp;utm_campaign=act_formato_excel&amp;utm_content=act_formato_excel_link" xr:uid="{9F8BA4C6-D15F-4FD4-A270-E9C3EE1C3D01}"/>
    <hyperlink ref="B3091" r:id="rId715" display="https://actualicese.com/aportes-al-fondo-de-solidaridad-pensional-por-parte-de-un-empleado/?referer=L-excel-formato&amp;utm_medium=act_formato_excel&amp;utm_source=act_formato_excel&amp;utm_campaign=act_formato_excel&amp;utm_content=act_formato_excel_link" xr:uid="{A1063EF2-7D7B-4558-83D5-F36CB422C253}"/>
    <hyperlink ref="B3093" r:id="rId716" display="https://actualicese.com/certificado-de-normalizacion-de-actividades-afectadas-por-el-covid-19/?referer=L-excel-formato&amp;utm_medium=act_formato_excel&amp;utm_source=act_formato_excel&amp;utm_campaign=act_formato_excel&amp;utm_content=act_formato_excel_link" xr:uid="{4119BF9B-2151-4CAF-AFB8-BAC4E94EE289}"/>
    <hyperlink ref="B3095" r:id="rId717" display="https://actualicese.com/formulario-210-de-declaracion-de-renta-ano-gravable-2019-residentes-no-obligados-a-llevar-contabilidad/?referer=L-excel-formato&amp;utm_medium=act_formato_excel&amp;utm_source=act_formato_excel&amp;utm_campaign=act_formato_excel&amp;utm_content=act_formato_excel_link" xr:uid="{E83839D0-7D49-46BB-A8B3-9974550F1E0C}"/>
    <hyperlink ref="B3097" r:id="rId718" display="https://actualicese.com/formulario-210-y-formato-2517-para-declaracion-de-renta-ag-2019-residentes-que-llevan-contabilidad/?referer=L-excel-formato&amp;utm_medium=act_formato_excel&amp;utm_source=act_formato_excel&amp;utm_campaign=act_formato_excel&amp;utm_content=act_formato_excel_link" xr:uid="{F1DF9396-10C3-4623-8A6C-25707BCB2239}"/>
    <hyperlink ref="B3099" r:id="rId719" display="https://actualicese.com/contrato-de-aprendizaje-certificado-de-desempeno-y-descripcion-de-logros-en-la-etapa-practica/?referer=L-excel-formato&amp;utm_medium=act_formato_excel&amp;utm_source=act_formato_excel&amp;utm_campaign=act_formato_excel&amp;utm_content=act_formato_excel_link" xr:uid="{E38E0BBA-B47E-4604-8574-31CC203BBC21}"/>
    <hyperlink ref="B3101" r:id="rId720" display="https://actualicese.com/calculo-de-la-contribucion-2020-a-supersociedades/?referer=L-excel-formato&amp;utm_medium=act_formato_excel&amp;utm_source=act_formato_excel&amp;utm_campaign=act_formato_excel&amp;utm_content=act_formato_excel_link" xr:uid="{B8895229-7945-4144-840C-7AB9DB848BE4}"/>
    <hyperlink ref="B3103" r:id="rId721" display="https://actualicese.com/21-herramientas-para-facilitar-la-elaboracion-de-solicitudes-emitidas-por-un-empleado/?referer=L-excel-formato&amp;utm_medium=act_formato_excel&amp;utm_source=act_formato_excel&amp;utm_campaign=act_formato_excel&amp;utm_content=act_formato_excel_link" xr:uid="{8A1E79AF-6E29-4936-A31D-3858E156778D}"/>
    <hyperlink ref="B3105" r:id="rId722" display="https://actualicese.com/solicitud-de-informacion-sobre-afiliaciones-a-salud-y-riesgos-laborales-en-un-contrato-de-aprendizaje/?referer=L-excel-formato&amp;utm_medium=act_formato_excel&amp;utm_source=act_formato_excel&amp;utm_campaign=act_formato_excel&amp;utm_content=act_formato_excel_link" xr:uid="{21F5E380-661C-4D52-84AD-155C102CBFF5}"/>
    <hyperlink ref="B3107" r:id="rId723" display="https://actualicese.com/notificacion-de-suspension-del-contrato-de-aprendizaje/?referer=L-excel-formato&amp;utm_medium=act_formato_excel&amp;utm_source=act_formato_excel&amp;utm_campaign=act_formato_excel&amp;utm_content=act_formato_excel_link" xr:uid="{B8E0F0F4-BA82-44DE-82F3-EA8F4B1C880D}"/>
    <hyperlink ref="B3109" r:id="rId724" display="https://actualicese.com/carta-orden-de-no-pago-cheque/?referer=L-excel-formato&amp;utm_medium=act_formato_excel&amp;utm_source=act_formato_excel&amp;utm_campaign=act_formato_excel&amp;utm_content=act_formato_excel_link" xr:uid="{4AEA0DC9-7F91-45F8-BC63-149CDF2BD04E}"/>
    <hyperlink ref="B3111" r:id="rId725" display="https://actualicese.com/solicitud-intervencion-inspector-de-trabajo/?referer=L-excel-formato&amp;utm_medium=act_formato_excel&amp;utm_source=act_formato_excel&amp;utm_campaign=act_formato_excel&amp;utm_content=act_formato_excel_link" xr:uid="{72F407F4-F827-4852-B146-536F2D35134D}"/>
    <hyperlink ref="B3113" r:id="rId726" display="https://actualicese.com/formulario-420-declaracion-de-impuesto-al-patrimonio-2020/?referer=L-excel-formato&amp;utm_medium=act_formato_excel&amp;utm_source=act_formato_excel&amp;utm_campaign=act_formato_excel&amp;utm_content=act_formato_excel_link" xr:uid="{AC0FFB2F-03A4-4897-880A-8B54C17135F2}"/>
    <hyperlink ref="B3115" r:id="rId727" display="https://actualicese.com/formulario-445-impuesto-de-normalizacion-tributaria-2020-plantilla-en-excel/?referer=L-excel-formato&amp;utm_medium=act_formato_excel&amp;utm_source=act_formato_excel&amp;utm_campaign=act_formato_excel&amp;utm_content=act_formato_excel_link" xr:uid="{4C3B604E-4D3C-4131-8D21-820F8EBBF813}"/>
    <hyperlink ref="B3117" r:id="rId728" display="https://actualicese.com/derecho-de-peticion-para-solicitar-informacion-sobre-afiliaciones-del-empleador-al-sgss/?referer=L-excel-formato&amp;utm_medium=act_formato_excel&amp;utm_source=act_formato_excel&amp;utm_campaign=act_formato_excel&amp;utm_content=act_formato_excel_link" xr:uid="{20DAEF32-5B13-452D-9C9D-5D798F23B34B}"/>
    <hyperlink ref="B3119" r:id="rId729" display="https://actualicese.com/poder-para-adelantar-tramite-de-solicitud-de-calificacion-de-perdida-de-capacidad-laboral/?referer=L-excel-formato&amp;utm_medium=act_formato_excel&amp;utm_source=act_formato_excel&amp;utm_campaign=act_formato_excel&amp;utm_content=act_formato_excel_link" xr:uid="{DA992BDB-814F-4815-BD25-BD656F140718}"/>
    <hyperlink ref="B3121" r:id="rId730" display="https://actualicese.com/retencion-en-la-fuente-sobre-pagos-laborales-en-junio-de-2020-procedimiento-2/?referer=L-excel-formato&amp;utm_medium=act_formato_excel&amp;utm_source=act_formato_excel&amp;utm_campaign=act_formato_excel&amp;utm_content=act_formato_excel_link" xr:uid="{EAD3163F-1171-4DBA-A205-F56DFAFE384D}"/>
    <hyperlink ref="B3123" r:id="rId731" display="https://actualicese.com/modelo-para-definir-el-iva-sobre-el-aiu-en-los-servicios-del-art-462-1-del-e-t/?referer=L-excel-formato&amp;utm_medium=act_formato_excel&amp;utm_source=act_formato_excel&amp;utm_campaign=act_formato_excel&amp;utm_content=act_formato_excel_link" xr:uid="{2BED82B9-7D7C-40F3-A0CE-84D4ACA6CD94}"/>
    <hyperlink ref="B3125" r:id="rId732" display="https://actualicese.com/calculo-de-intereses-presuntivos-sobre-prestamos-entre-socios-y-sociedades-durante-2019/?referer=L-excel-formato&amp;utm_medium=act_formato_excel&amp;utm_source=act_formato_excel&amp;utm_campaign=act_formato_excel&amp;utm_content=act_formato_excel_link" xr:uid="{0DE499B8-D873-4DB9-868A-6AC3986C4A31}"/>
    <hyperlink ref="B3127" r:id="rId733" display="https://actualicese.com/certificacion-de-contador-para-acceder-al-subsidio-de-la-prima-de-servicios/?referer=L-excel-formato&amp;utm_medium=act_formato_excel&amp;utm_source=act_formato_excel&amp;utm_campaign=act_formato_excel&amp;utm_content=act_formato_excel_link" xr:uid="{E55A35A3-F928-41B9-B3BA-E4B6AA2F5E6A}"/>
    <hyperlink ref="B3129" r:id="rId734" display="https://actualicese.com/acuerdo-para-no-laborar-sabado-y-distribuir-jornada-entre-semana-sin-causar-horas-extras/?referer=L-excel-formato&amp;utm_medium=act_formato_excel&amp;utm_source=act_formato_excel&amp;utm_campaign=act_formato_excel&amp;utm_content=act_formato_excel_link" xr:uid="{BEDD9851-C0C6-4D79-AA66-E64C53F692E6}"/>
    <hyperlink ref="B3131" r:id="rId735" display="https://actualicese.com/formulario-110-y-formato-2516-para-declaracion-de-renta-2019-de-personas-naturales-obligadas-a-llevar-contabilidad/?referer=L-excel-formato&amp;utm_medium=act_formato_excel&amp;utm_source=act_formato_excel&amp;utm_campaign=act_formato_excel&amp;utm_content=act_formato_excel_link" xr:uid="{293EA45F-1C3F-4759-8500-D9D55D243286}"/>
    <hyperlink ref="B3133" r:id="rId736" display="https://actualicese.com/aplicacion-de-las-rentas-exentas-a-la-renta-presuntiva-en-el-formulario-cedulado-210/?referer=L-excel-formato&amp;utm_medium=act_formato_excel&amp;utm_source=act_formato_excel&amp;utm_campaign=act_formato_excel&amp;utm_content=act_formato_excel_link" xr:uid="{D2DFAC70-343F-4E45-B1B9-9BAF8B27317E}"/>
    <hyperlink ref="B3135" r:id="rId737" display="https://actualicese.com/formulario-110-de-declaracion-de-renta-de-personas-naturales-ag-2019-no-obligados-a-llevar-contabilidad/?referer=L-excel-formato&amp;utm_medium=act_formato_excel&amp;utm_source=act_formato_excel&amp;utm_campaign=act_formato_excel&amp;utm_content=act_formato_excel_link" xr:uid="{44059CF0-82A3-47A0-833F-830D6780ED7E}"/>
    <hyperlink ref="B3137" r:id="rId738" display="https://actualicese.com/otro-si-nuevos-plazos-para-pago-de-la-prima-de-servicios-de-2020-primer-semestre/?referer=L-excel-formato&amp;utm_medium=act_formato_excel&amp;utm_source=act_formato_excel&amp;utm_campaign=act_formato_excel&amp;utm_content=act_formato_excel_link" xr:uid="{C4FF99D6-E67D-4161-BF25-DF48C56EF2A1}"/>
    <hyperlink ref="B3139" r:id="rId739" display="https://actualicese.com/solicitud-de-no-cobro-del-iva-en-arrendamiento-de-local-o-establecimiento-comercial/?referer=L-excel-formato&amp;utm_medium=act_formato_excel&amp;utm_source=act_formato_excel&amp;utm_campaign=act_formato_excel&amp;utm_content=act_formato_excel_link" xr:uid="{3FCDE9D5-2020-42F5-83C1-2CDD3B7AC122}"/>
    <hyperlink ref="B3141" r:id="rId740" display="https://actualicese.com/plantilla-en-excel-para-diligenciar-el-formulario-350-de-retencion-en-la-fuente-en-2020/?referer=L-excel-formato&amp;utm_medium=act_formato_excel&amp;utm_source=act_formato_excel&amp;utm_campaign=act_formato_excel&amp;utm_content=act_formato_excel_link" xr:uid="{900A6C1D-40D3-4318-B9E9-93169DB7E605}"/>
    <hyperlink ref="B3143" r:id="rId741" display="https://actualicese.com/solicitud-de-trabajador-incorporacion-teletrabajo/?referer=L-excel-formato&amp;utm_medium=act_formato_excel&amp;utm_source=act_formato_excel&amp;utm_campaign=act_formato_excel&amp;utm_content=act_formato_excel_link" xr:uid="{333A4B53-EBE9-4FCF-A9DC-D87E822BCC7D}"/>
    <hyperlink ref="B3145" r:id="rId742" display="https://actualicese.com/formulario-110-y-formato-2516-declaracion-de-renta-o-ingresos-y-patrimonio-personas-juridicas-ag-2019/?referer=L-excel-formato&amp;utm_medium=act_formato_excel&amp;utm_source=act_formato_excel&amp;utm_campaign=act_formato_excel&amp;utm_content=act_formato_excel_link" xr:uid="{DFB68CEA-9344-4569-85DC-24C1F2D8F0E9}"/>
    <hyperlink ref="B3147" r:id="rId743" display="https://actualicese.com/calendario-tributario-2020-version-para-imprimir/?referer=L-excel-formato&amp;utm_medium=act_formato_excel&amp;utm_source=act_formato_excel&amp;utm_campaign=act_formato_excel&amp;utm_content=act_formato_excel_link" xr:uid="{8D58B226-F476-4C2C-BF64-165DE4FDAA82}"/>
    <hyperlink ref="B3149" r:id="rId744" display="https://actualicese.com/liquidador-del-numero-de-trabajadores-por-los-cuales-se-tiene-derecho-al-subsidio-de-nomina-del-paef/?referer=L-excel-formato&amp;utm_medium=act_formato_excel&amp;utm_source=act_formato_excel&amp;utm_campaign=act_formato_excel&amp;utm_content=act_formato_excel_link" xr:uid="{37D1F73E-9B85-4696-BCF7-B47EC19D78D6}"/>
    <hyperlink ref="B3151" r:id="rId745" display="https://actualicese.com/certificacion-para-subsidio-de-nomina-paef-entidad-sin-animo-de-lucro/?referer=L-excel-formato&amp;utm_medium=act_formato_excel&amp;utm_source=act_formato_excel&amp;utm_campaign=act_formato_excel&amp;utm_content=act_formato_excel_link" xr:uid="{BB998FB4-6409-48B8-827A-38F942C440F1}"/>
    <hyperlink ref="B3153" r:id="rId746" display="https://actualicese.com/certificacion-para-subsidio-de-nomina-paef-entidad-del-regimen-tributario-especial/?referer=L-excel-formato&amp;utm_medium=act_formato_excel&amp;utm_source=act_formato_excel&amp;utm_campaign=act_formato_excel&amp;utm_content=act_formato_excel_link" xr:uid="{3F0A5D07-C03D-4CAA-AC12-E831E55CB927}"/>
    <hyperlink ref="B3155" r:id="rId747" display="https://actualicese.com/certificacion-para-que-una-persona-natural-acceda-al-subsidio-de-nomina-paef/?referer=L-excel-formato&amp;utm_medium=act_formato_excel&amp;utm_source=act_formato_excel&amp;utm_campaign=act_formato_excel&amp;utm_content=act_formato_excel_link" xr:uid="{2FF5D382-1861-4E89-B7B1-4E9C1A780E90}"/>
    <hyperlink ref="B3157" r:id="rId748" display="https://actualicese.com/informe-del-contador-o-revisor-fiscal-para-que-una-entidad-acceda-al-subsidio-de-nomina/?referer=L-excel-formato&amp;utm_medium=act_formato_excel&amp;utm_source=act_formato_excel&amp;utm_campaign=act_formato_excel&amp;utm_content=act_formato_excel_link" xr:uid="{A3B51882-07BB-46EF-93A8-E2C3AD04B9C2}"/>
    <hyperlink ref="B3159" r:id="rId749" display="https://actualicese.com/certificado-para-modificar-o-suspender-beneficios-extralegales-a-causa-del-covid-19/?referer=L-excel-formato&amp;utm_medium=act_formato_excel&amp;utm_source=act_formato_excel&amp;utm_campaign=act_formato_excel&amp;utm_content=act_formato_excel_link" xr:uid="{D93CEB41-621E-422E-96FE-E64222CEDF2E}"/>
    <hyperlink ref="B3161" r:id="rId750" display="https://actualicese.com/simulador-de-credito-en-periodo-de-gracia-estrategia-de-entidades-financieras-ante-el-covid-19/?referer=L-excel-formato&amp;utm_medium=act_formato_excel&amp;utm_source=act_formato_excel&amp;utm_campaign=act_formato_excel&amp;utm_content=act_formato_excel_link" xr:uid="{00991DAC-8585-4D90-85F8-BA0A2C92E18A}"/>
    <hyperlink ref="B3163" r:id="rId751" display="https://actualicese.com/cuadro-tematico-cambios-de-la-resolucion-000042-de-2020-sobre-facturacion-electronica/?referer=L-excel-formato&amp;utm_medium=act_formato_excel&amp;utm_source=act_formato_excel&amp;utm_campaign=act_formato_excel&amp;utm_content=act_formato_excel_link" xr:uid="{97FDEEC4-D0FB-4D6F-8267-4D6976D7AA10}"/>
    <hyperlink ref="B3165" r:id="rId752" display="https://actualicese.com/guias-para-el-reporte-de-exogena-2019-descargalas-ya/?referer=L-excel-formato&amp;utm_medium=act_formato_excel&amp;utm_source=act_formato_excel&amp;utm_campaign=act_formato_excel&amp;utm_content=act_formato_excel_link" xr:uid="{69D43D6A-70EA-4A27-9728-8870316F8A42}"/>
    <hyperlink ref="B3167" r:id="rId753" display="https://actualicese.com/categorias-de-informantes-de-exogena-por-el-ano-gravable-2019-y-los-formatos-que-deben-usar/?referer=L-excel-formato&amp;utm_medium=act_formato_excel&amp;utm_source=act_formato_excel&amp;utm_campaign=act_formato_excel&amp;utm_content=act_formato_excel_link" xr:uid="{92895CA3-8D3B-4C56-966B-8D0938F6E105}"/>
    <hyperlink ref="B3169" r:id="rId754" display="https://actualicese.com/formatos-de-exogena-por-el-ano-gravable-2019-reportes-de-los-mandatarios/?referer=L-excel-formato&amp;utm_medium=act_formato_excel&amp;utm_source=act_formato_excel&amp;utm_campaign=act_formato_excel&amp;utm_content=act_formato_excel_link" xr:uid="{50D8F00E-89FC-44D6-A0E1-5649026BDB52}"/>
    <hyperlink ref="B3171" r:id="rId755" display="https://actualicese.com/certificado-de-licencia-remunerada-compensable-proteccion-al-empleo-ante-el-covid-19/?referer=L-excel-formato&amp;utm_medium=act_formato_excel&amp;utm_source=act_formato_excel&amp;utm_campaign=act_formato_excel&amp;utm_content=act_formato_excel_link" xr:uid="{B587C120-4DA1-4D83-8F37-650D4914D233}"/>
    <hyperlink ref="B3173" r:id="rId756" display="https://actualicese.com/plantilla-para-elaborar-el-formulario-300-para-las-declaraciones-del-iva-durante-2020/?referer=L-excel-formato&amp;utm_medium=act_formato_excel&amp;utm_source=act_formato_excel&amp;utm_campaign=act_formato_excel&amp;utm_content=act_formato_excel_link" xr:uid="{49FE4913-F7BA-415D-A5FA-7B8932CD63A1}"/>
    <hyperlink ref="B3175" r:id="rId757" display="https://actualicese.com/modelo-del-certificado-anual-para-socios-y-o-accionistas-por-el-ano-2019/?referer=L-excel-formato&amp;utm_medium=act_formato_excel&amp;utm_source=act_formato_excel&amp;utm_campaign=act_formato_excel&amp;utm_content=act_formato_excel_link" xr:uid="{D3CB01E3-2D0C-4953-816D-01915FE8E297}"/>
    <hyperlink ref="B3177" r:id="rId758" display="https://actualicese.com/modificacion-de-la-jornada-laboral-y-concertacion-de-salario-covid-19/?referer=L-excel-formato&amp;utm_medium=act_formato_excel&amp;utm_source=act_formato_excel&amp;utm_campaign=act_formato_excel&amp;utm_content=act_formato_excel_link" xr:uid="{E50754A7-441A-4F03-8798-187CFD6B38D4}"/>
    <hyperlink ref="B3179" r:id="rId759" display="https://actualicese.com/pago-parcial-del-aporte-al-sistema-general-de-pensiones-covid-19/?referer=L-excel-formato&amp;utm_medium=act_formato_excel&amp;utm_source=act_formato_excel&amp;utm_campaign=act_formato_excel&amp;utm_content=act_formato_excel_link" xr:uid="{D36B58B1-7042-4A9B-A560-59C5F75E8EFF}"/>
    <hyperlink ref="B3181" r:id="rId760" display="https://actualicese.com/sanciones-relacionadas-con-la-declaracion-informativa/?referer=L-excel-formato&amp;utm_medium=act_formato_excel&amp;utm_source=act_formato_excel&amp;utm_campaign=act_formato_excel&amp;utm_content=act_formato_excel_link" xr:uid="{0ABFAEFB-20E6-4765-B644-04EF31D7C841}"/>
    <hyperlink ref="B3183" r:id="rId761" display="https://actualicese.com/solicitud-de-retiro-parcial-de-cesantias-con-ocasion-del-covid-19/?referer=L-excel-formato&amp;utm_medium=act_formato_excel&amp;utm_source=act_formato_excel&amp;utm_campaign=act_formato_excel&amp;utm_content=act_formato_excel_link" xr:uid="{2E40B0D0-D4C9-4B59-94C2-85D4AE9E9784}"/>
    <hyperlink ref="B3185" r:id="rId762" display="https://actualicese.com/formato-exogena-1010-por-el-ano-gravable-2019-reporte-de-socios-cooperados-o-comuneros/?referer=L-excel-formato&amp;utm_medium=act_formato_excel&amp;utm_source=act_formato_excel&amp;utm_campaign=act_formato_excel&amp;utm_content=act_formato_excel_link" xr:uid="{8767356B-F58A-42EE-8EE1-35BAA67BCBEB}"/>
    <hyperlink ref="B3187" r:id="rId763" display="https://actualicese.com/formato-exogena-1004-de-2019-reporte-de-descuentos-al-impuesto-de-renta-y-regimen-simple/?referer=L-excel-formato&amp;utm_medium=act_formato_excel&amp;utm_source=act_formato_excel&amp;utm_campaign=act_formato_excel&amp;utm_content=act_formato_excel_link" xr:uid="{2B4D595B-E8C9-46B2-A860-24FB20A845EC}"/>
    <hyperlink ref="B3189" r:id="rId764" display="https://actualicese.com/formato-exogena-5253-por-el-ano-gravable-2019-informacion-de-los-beneficiarios-efectivos/?referer=L-excel-formato&amp;utm_medium=act_formato_excel&amp;utm_source=act_formato_excel&amp;utm_campaign=act_formato_excel&amp;utm_content=act_formato_excel_link" xr:uid="{E5B00297-D32C-4054-B884-A9A1D61D0C53}"/>
    <hyperlink ref="B3191" r:id="rId765" display="https://actualicese.com/formato-exogena-1007-por-el-ano-gravable-2019-reportes-de-ingresos-propios/?referer=L-excel-formato&amp;utm_medium=act_formato_excel&amp;utm_source=act_formato_excel&amp;utm_campaign=act_formato_excel&amp;utm_content=act_formato_excel_link" xr:uid="{ED395DAD-EDA9-4215-91AD-944C3885ECE3}"/>
    <hyperlink ref="B3193" r:id="rId766" display="https://actualicese.com/formato-exogena-1647-por-el-ano-gravable-2019-reporte-de-ingresos-recibidos-para-terceros/?referer=L-excel-formato&amp;utm_medium=act_formato_excel&amp;utm_source=act_formato_excel&amp;utm_campaign=act_formato_excel&amp;utm_content=act_formato_excel_link" xr:uid="{DD944C4A-3033-4E19-9D2C-F80A52E9F7C3}"/>
    <hyperlink ref="B3195" r:id="rId767" display="https://actualicese.com/formato-exogena-1009-por-el-ano-gravable-2019-reporte-de-cuentas-por-pagar/?referer=L-excel-formato&amp;utm_medium=act_formato_excel&amp;utm_source=act_formato_excel&amp;utm_campaign=act_formato_excel&amp;utm_content=act_formato_excel_link" xr:uid="{6D0A5FC1-E907-462B-B080-8B9BC62501B8}"/>
    <hyperlink ref="B3197" r:id="rId768" display="https://actualicese.com/formato-exogena-1008-por-el-ano-gravable-2019-reporte-de-cuentas-por-cobrar/?referer=L-excel-formato&amp;utm_medium=act_formato_excel&amp;utm_source=act_formato_excel&amp;utm_campaign=act_formato_excel&amp;utm_content=act_formato_excel_link" xr:uid="{1AB90EB2-3EF5-48EF-BEBF-03E64F1DE843}"/>
    <hyperlink ref="B3199" r:id="rId769" display="https://actualicese.com/formato-exogena-1003-por-el-ano-gravable-2019-retenciones-que-le-practicaron-al-informante/?referer=L-excel-formato&amp;utm_medium=act_formato_excel&amp;utm_source=act_formato_excel&amp;utm_campaign=act_formato_excel&amp;utm_content=act_formato_excel_link" xr:uid="{34E34756-8F9D-445A-9D30-2BE427F80CCC}"/>
    <hyperlink ref="B3201" r:id="rId770" display="https://actualicese.com/formatos-exogena-1005-y-1006-del-ano-gravable-2019-reportes-de-iva-generados-y-descontables/?referer=L-excel-formato&amp;utm_medium=act_formato_excel&amp;utm_source=act_formato_excel&amp;utm_campaign=act_formato_excel&amp;utm_content=act_formato_excel_link" xr:uid="{95765C11-88AF-4950-AD42-4DD29C3A1AEC}"/>
    <hyperlink ref="B3203" r:id="rId771" display="https://actualicese.com/formatos-exogena-1011-1012-y-2275-por-el-ano-gravable-2019-reporte-de-otros-datos-en-renta-e-iva/?referer=L-excel-formato&amp;utm_medium=act_formato_excel&amp;utm_source=act_formato_excel&amp;utm_campaign=act_formato_excel&amp;utm_content=act_formato_excel_link" xr:uid="{D3C6D2D0-B87C-424E-9F38-5001BE97E324}"/>
    <hyperlink ref="B3205" r:id="rId772" display="https://actualicese.com/formato-exogena-1001-por-el-ano-gravable-2019-reporte-de-pagos-o-abonos-en-cuenta/?referer=L-excel-formato&amp;utm_medium=act_formato_excel&amp;utm_source=act_formato_excel&amp;utm_campaign=act_formato_excel&amp;utm_content=act_formato_excel_link" xr:uid="{7DEB528F-16A6-4263-80DE-6BBC80F31CE3}"/>
    <hyperlink ref="B3207" r:id="rId773" display="https://actualicese.com/formatos-2276-y-2280-para-el-reporte-de-informacion-exogena-de-2019/?referer=L-excel-formato&amp;utm_medium=act_formato_excel&amp;utm_source=act_formato_excel&amp;utm_campaign=act_formato_excel&amp;utm_content=act_formato_excel_link" xr:uid="{6EAF980D-799B-44AF-8158-E8ADBE381703}"/>
    <hyperlink ref="B3209" r:id="rId774" display="https://actualicese.com/pack-de-formatos-modelos-y-guias-para-asambleas-de-accionistas-socios-y-copropietarios/?referer=L-excel-formato&amp;utm_medium=act_formato_excel&amp;utm_source=act_formato_excel&amp;utm_campaign=act_formato_excel&amp;utm_content=act_formato_excel_link" xr:uid="{E1816EBB-DC19-4302-A75F-2A0C272FA5ED}"/>
    <hyperlink ref="B3211" r:id="rId775" display="https://actualicese.com/plantilla-para-elaborar-formulario-220-certificado-de-ingresos-y-retenciones-ano-gravable-2019/?referer=L-excel-formato&amp;utm_medium=act_formato_excel&amp;utm_source=act_formato_excel&amp;utm_campaign=act_formato_excel&amp;utm_content=act_formato_excel_link" xr:uid="{268B0BF1-31D5-45FB-963F-EB6619110A65}"/>
    <hyperlink ref="B3213" r:id="rId776" display="https://actualicese.com/calendario-tributario-2019-version-para-imprimir/?referer=L-excel-formato&amp;utm_medium=act_formato_excel&amp;utm_source=act_formato_excel&amp;utm_campaign=act_formato_excel&amp;utm_content=act_formato_excel_link" xr:uid="{FA710BB6-9A52-4619-B8F5-C69E7A930B48}"/>
    <hyperlink ref="B3215" r:id="rId777" display="https://actualicese.com/dictamenes-e-informes-del-revisor-fiscal-actualizados-al-2022/?referer=L-excel-formato&amp;utm_medium=act_formato_excel&amp;utm_source=act_formato_excel&amp;utm_campaign=act_formato_excel&amp;utm_content=act_formato_excel_link" xr:uid="{F4A67EA2-8628-4355-9DB1-011F5324BD86}"/>
    <hyperlink ref="B3217" r:id="rId778" display="https://actualicese.com/clasificacion-de-las-personas-juridicas-frente-al-impuesto-de-renta-y-al-simple-ano-gravable-2019/?referer=L-excel-formato&amp;utm_medium=act_formato_excel&amp;utm_source=act_formato_excel&amp;utm_campaign=act_formato_excel&amp;utm_content=act_formato_excel_link" xr:uid="{3080C33B-381F-4C1F-A825-29E837A970A9}"/>
    <hyperlink ref="B3219" r:id="rId779" display="https://actualicese.com/informe-de-revision-de-informacion-financiera-intermedia-con-conclusion-adversa/?referer=L-excel-formato&amp;utm_medium=act_formato_excel&amp;utm_source=act_formato_excel&amp;utm_campaign=act_formato_excel&amp;utm_content=act_formato_excel_link" xr:uid="{03B8FA07-72D3-4175-B0D3-785CED6FC5CC}"/>
    <hyperlink ref="B3221" r:id="rId780" display="https://actualicese.com/informe-de-revision-de-informacion-financiera-intermedia-sin-salvedades/?referer=L-excel-formato&amp;utm_medium=act_formato_excel&amp;utm_source=act_formato_excel&amp;utm_campaign=act_formato_excel&amp;utm_content=act_formato_excel_link" xr:uid="{6F9B02C8-2157-4CD6-A2B9-140843B90C95}"/>
    <hyperlink ref="B3223" r:id="rId781" display="https://actualicese.com/calculo-del-costo-de-renovacion-de-matricula-mercantil-y-de-establecimientos-de-comercio-ano-2020/?referer=L-excel-formato&amp;utm_medium=act_formato_excel&amp;utm_source=act_formato_excel&amp;utm_campaign=act_formato_excel&amp;utm_content=act_formato_excel_link" xr:uid="{8AFFADC8-ED91-4DB6-A505-98F34BC8E242}"/>
    <hyperlink ref="B3225" r:id="rId782" display="https://actualicese.com/impuesto-de-renta-de-personas-naturales-residentes-en-el-regimen-ordinario-ano-gravable-2019-vs-2020/?referer=L-excel-formato&amp;utm_medium=act_formato_excel&amp;utm_source=act_formato_excel&amp;utm_campaign=act_formato_excel&amp;utm_content=act_formato_excel_link" xr:uid="{596F33A5-EC4D-4404-9FDD-360F3DE940BC}"/>
    <hyperlink ref="B3227" r:id="rId783" display="https://actualicese.com/sanciones-relacionadas-con-la-documentacion-comprobatoria/?referer=L-excel-formato&amp;utm_medium=act_formato_excel&amp;utm_source=act_formato_excel&amp;utm_campaign=act_formato_excel&amp;utm_content=act_formato_excel_link" xr:uid="{602C4E77-B3CC-4F75-8921-8487672E9EB9}"/>
    <hyperlink ref="B3229" r:id="rId784" display="https://actualicese.com/listado-de-contribuyentes-inscritos-en-el-regimen-simple-con-corte-a-septiembre-30-de-2019/?referer=L-excel-formato&amp;utm_medium=act_formato_excel&amp;utm_source=act_formato_excel&amp;utm_campaign=act_formato_excel&amp;utm_content=act_formato_excel_link" xr:uid="{EC243AB6-CBC4-4182-8493-8DD99E1CE1BE}"/>
    <hyperlink ref="B3231" r:id="rId785" display="https://actualicese.com/proyeccion-del-impuesto-al-patrimonio-y-calculo-del-de-normalizacion-y-o-saneamiento-2020/?referer=L-excel-formato&amp;utm_medium=act_formato_excel&amp;utm_source=act_formato_excel&amp;utm_campaign=act_formato_excel&amp;utm_content=act_formato_excel_link" xr:uid="{F1250F90-0010-4FA1-A0D3-69E2C170B6C0}"/>
    <hyperlink ref="B3233" r:id="rId786" display="https://actualicese.com/simulador-de-tributacion-en-el-regimen-simple-vs-regimen-ordinario-ano-gravable-2020/?referer=L-excel-formato&amp;utm_medium=act_formato_excel&amp;utm_source=act_formato_excel&amp;utm_campaign=act_formato_excel&amp;utm_content=act_formato_excel_link" xr:uid="{AB695FE2-8639-4B55-8303-1C9AA691628D}"/>
    <hyperlink ref="B3235" r:id="rId787" display="https://actualicese.com/tablas-de-retencion-en-la-fuente-a-titulo-de-impuestos-nacionales-durante-el-ano-fiscal-2020/?referer=L-excel-formato&amp;utm_medium=act_formato_excel&amp;utm_source=act_formato_excel&amp;utm_campaign=act_formato_excel&amp;utm_content=act_formato_excel_link" xr:uid="{2306FA6C-700E-4B43-A0F2-934A5510EFB5}"/>
    <hyperlink ref="B3237" r:id="rId788" display="https://actualicese.com/comparativo-de-normas-afectadas-con-la-ley-de-crecimiento-economico-2010-de-diciembre-27-de-2019/?referer=L-excel-formato&amp;utm_medium=act_formato_excel&amp;utm_source=act_formato_excel&amp;utm_campaign=act_formato_excel&amp;utm_content=act_formato_excel_link" xr:uid="{5EEB77F5-3D92-43D6-831C-5642BB96C365}"/>
    <hyperlink ref="B3239" r:id="rId789" display="https://actualicese.com/calculo-de-renta-presuntiva-para-el-periodo-gravable-2019/?referer=L-excel-formato&amp;utm_medium=act_formato_excel&amp;utm_source=act_formato_excel&amp;utm_campaign=act_formato_excel&amp;utm_content=act_formato_excel_link" xr:uid="{FF8E1A71-EC5E-4537-AEB0-EACD4B91642B}"/>
    <hyperlink ref="B3241" r:id="rId790" display="https://actualicese.com/carta-para-solicitar-un-incremento-de-salario-al-empleador/?referer=L-excel-formato&amp;utm_medium=act_formato_excel&amp;utm_source=act_formato_excel&amp;utm_campaign=act_formato_excel&amp;utm_content=act_formato_excel_link" xr:uid="{3F718FA2-757D-4CB0-AFDC-A55D2FE78C93}"/>
    <hyperlink ref="B3243" r:id="rId791" display="https://actualicese.com/tributacion-sobre-dividendos-y-su-respectiva-retencion-fue-reglamentada-por-el-ministerio-de-hacienda/?referer=L-excel-formato&amp;utm_medium=act_formato_excel&amp;utm_source=act_formato_excel&amp;utm_campaign=act_formato_excel&amp;utm_content=act_formato_excel_link" xr:uid="{FB03E1B5-840D-4D58-A2A6-30B66D846C6A}"/>
    <hyperlink ref="B3245" r:id="rId792" display="https://actualicese.com/retencion-en-la-fuente-con-procedimiento-1-sobre-rentas-de-trabajo-durante-2020/?referer=L-excel-formato&amp;utm_medium=act_formato_excel&amp;utm_source=act_formato_excel&amp;utm_campaign=act_formato_excel&amp;utm_content=act_formato_excel_link" xr:uid="{4CE52B8F-2A20-4291-8A8C-AF75FF743610}"/>
    <hyperlink ref="B3247" r:id="rId793" display="https://actualicese.com/guia-tabla-de-retencion-en-la-fuente-para-el-ano-fiscal-2020/?referer=L-excel-formato&amp;utm_medium=act_formato_excel&amp;utm_source=act_formato_excel&amp;utm_campaign=act_formato_excel&amp;utm_content=act_formato_excel_link" xr:uid="{B3356187-FA4A-4635-A23A-961069EAB7A0}"/>
    <hyperlink ref="B3249" r:id="rId794" display="https://actualicese.com/guia-tasa-representativa-del-mercado-trm-2019/?referer=L-excel-formato&amp;utm_medium=act_formato_excel&amp;utm_source=act_formato_excel&amp;utm_campaign=act_formato_excel&amp;utm_content=act_formato_excel_link" xr:uid="{AE90B1CB-54E7-4427-BA32-38CBB923150E}"/>
    <hyperlink ref="B3251" r:id="rId795" display="https://actualicese.com/2020-historico-de-la-variacion-nominal-del-salario-minimo-vs-la-inflacion-1993-2019/?referer=L-excel-formato&amp;utm_medium=act_formato_excel&amp;utm_source=act_formato_excel&amp;utm_campaign=act_formato_excel&amp;utm_content=act_formato_excel_link" xr:uid="{E79533A4-BADB-4B2A-8DDB-851351E68FFF}"/>
    <hyperlink ref="B3253" r:id="rId796" display="https://actualicese.com/novedades-en-la-clasificacion-de-bienes-y-servicios-frente-al-iva-y-el-inc-con-la-ley-2010-de-2019/?referer=L-excel-formato&amp;utm_medium=act_formato_excel&amp;utm_source=act_formato_excel&amp;utm_campaign=act_formato_excel&amp;utm_content=act_formato_excel_link" xr:uid="{CD61762C-9157-410E-A645-8778B4358BF4}"/>
    <hyperlink ref="B3255" r:id="rId797" display="https://actualicese.com/calendario-calendario-tributario-distrital-2020/?referer=L-excel-formato&amp;utm_medium=act_formato_excel&amp;utm_source=act_formato_excel&amp;utm_campaign=act_formato_excel&amp;utm_content=act_formato_excel_link" xr:uid="{1AC3A76D-EC34-4D83-99BD-5E819D601510}"/>
    <hyperlink ref="B3257" r:id="rId798" display="https://actualicese.com/cuadro-tematico-con-los-cambios-introducidos-por-la-ley-de-reforma-tributaria-2019/?referer=L-excel-formato&amp;utm_medium=act_formato_excel&amp;utm_source=act_formato_excel&amp;utm_campaign=act_formato_excel&amp;utm_content=act_formato_excel_link" xr:uid="{73285936-3898-47AF-9D7D-BEB94A890E31}"/>
    <hyperlink ref="B3259" r:id="rId799" display="https://actualicese.com/2020-historico-de-salario-minimo-y-auxilio-de-transporte/?referer=L-excel-formato&amp;utm_medium=act_formato_excel&amp;utm_source=act_formato_excel&amp;utm_campaign=act_formato_excel&amp;utm_content=act_formato_excel_link" xr:uid="{F146F228-D050-43FF-9016-81D3514B7A9A}"/>
    <hyperlink ref="B3261" r:id="rId800" display="https://actualicese.com/informacion-laboral-2020/?referer=L-excel-formato&amp;utm_medium=act_formato_excel&amp;utm_source=act_formato_excel&amp;utm_campaign=act_formato_excel&amp;utm_content=act_formato_excel_link" xr:uid="{4220A0F8-B589-482A-94EB-65BB4E8194DE}"/>
    <hyperlink ref="B3263" r:id="rId801" display="https://actualicese.com/porcentaje-fijo-de-retencion-en-la-fuente-sobre-salarios-en-diciembre-de-2019-procedimiento-2/?referer=L-excel-formato&amp;utm_medium=act_formato_excel&amp;utm_source=act_formato_excel&amp;utm_campaign=act_formato_excel&amp;utm_content=act_formato_excel_link" xr:uid="{19F8E48E-E1E9-45A6-9773-86C94A0F961F}"/>
    <hyperlink ref="B3265" r:id="rId802" display="https://actualicese.com/certificado-de-persona-natural-no-declarante-del-impuesto-de-renta-y-complementario-2019/?referer=L-excel-formato&amp;utm_medium=act_formato_excel&amp;utm_source=act_formato_excel&amp;utm_campaign=act_formato_excel&amp;utm_content=act_formato_excel_link" xr:uid="{776AC22E-8546-4966-AF3A-2A74A64D27A1}"/>
    <hyperlink ref="B3267" r:id="rId803" display="https://actualicese.com/cuestionario-control-interno-efectivo-y-equivalentes-de-efectivo/?referer=L-excel-formato&amp;utm_medium=act_formato_excel&amp;utm_source=act_formato_excel&amp;utm_campaign=act_formato_excel&amp;utm_content=act_formato_excel_link" xr:uid="{269BBB92-338F-4D70-8DB9-51AC4C113ECC}"/>
    <hyperlink ref="B3269" r:id="rId804" display="https://actualicese.com/lista-de-chequeo-informacion-esf-patrimonio-formato-de-conciliacion-fiscal-2516-version-3-ag-2019/?referer=L-excel-formato&amp;utm_medium=act_formato_excel&amp;utm_source=act_formato_excel&amp;utm_campaign=act_formato_excel&amp;utm_content=act_formato_excel_link" xr:uid="{ADEACC9A-6221-4AF8-BEBF-5BFA6EE2E01D}"/>
    <hyperlink ref="B3271" r:id="rId805" display="https://actualicese.com/convenios-para-evitar-la-doble-tributacion-aplicables-al-ano-gravable-2019/?referer=L-excel-formato&amp;utm_medium=act_formato_excel&amp;utm_source=act_formato_excel&amp;utm_campaign=act_formato_excel&amp;utm_content=act_formato_excel_link" xr:uid="{A4E42A92-9CFC-48EB-AFB8-76F1D7C3A6BB}"/>
    <hyperlink ref="B3273" r:id="rId806" display="https://actualicese.com/ingresos-que-no-se-consideran-de-fuente-nacional-periodo-gravable-2019/?referer=L-excel-formato&amp;utm_medium=act_formato_excel&amp;utm_source=act_formato_excel&amp;utm_campaign=act_formato_excel&amp;utm_content=act_formato_excel_link" xr:uid="{C98F2687-96C8-4B79-96C7-8E0DA2346B96}"/>
    <hyperlink ref="B3275" r:id="rId807" display="https://actualicese.com/rentas-exentas-para-personas-juridicas-periodo-gravable-2019/?referer=L-excel-formato&amp;utm_medium=act_formato_excel&amp;utm_source=act_formato_excel&amp;utm_campaign=act_formato_excel&amp;utm_content=act_formato_excel_link" xr:uid="{D4A48864-86B0-4122-A4B8-C339C48B3121}"/>
    <hyperlink ref="B3277" r:id="rId808" display="https://actualicese.com/aportes-a-seguridad-social-para-trabajadores-independientes-con-un-contrato-por-dias/?referer=L-excel-formato&amp;utm_medium=act_formato_excel&amp;utm_source=act_formato_excel&amp;utm_campaign=act_formato_excel&amp;utm_content=act_formato_excel_link" xr:uid="{5281FE9B-C6DD-4D7F-AF1A-0211984D9757}"/>
    <hyperlink ref="B3279" r:id="rId809" display="https://actualicese.com/carta-para-notificar-terminacion-de-contrato-mercantil-de-forma-unilateral/?referer=L-excel-formato&amp;utm_medium=act_formato_excel&amp;utm_source=act_formato_excel&amp;utm_campaign=act_formato_excel&amp;utm_content=act_formato_excel_link" xr:uid="{92826EEF-8678-40CE-9A70-6D6211FB9DF9}"/>
    <hyperlink ref="B3281" r:id="rId810" display="https://actualicese.com/simulador-de-subsidio-de-vivienda-de-interes-social-o-prioritario/?referer=L-excel-formato&amp;utm_medium=act_formato_excel&amp;utm_source=act_formato_excel&amp;utm_campaign=act_formato_excel&amp;utm_content=act_formato_excel_link" xr:uid="{55DBE61B-5B15-4D1E-9E6E-40451C3F0B72}"/>
    <hyperlink ref="B3283" r:id="rId811" display="https://actualicese.com/formulario-350-plantilla-para-elaborar-su-borrador/?referer=L-excel-formato&amp;utm_medium=act_formato_excel&amp;utm_source=act_formato_excel&amp;utm_campaign=act_formato_excel&amp;utm_content=act_formato_excel_link" xr:uid="{9E938082-932A-47C8-B077-B3DBAFB29A07}"/>
    <hyperlink ref="B3285" r:id="rId812" display="https://actualicese.com/plantilla-para-elaborar-el-formulario-445-complementario-de-normalizacion-tributaria-2019/?referer=L-excel-formato&amp;utm_medium=act_formato_excel&amp;utm_source=act_formato_excel&amp;utm_campaign=act_formato_excel&amp;utm_content=act_formato_excel_link" xr:uid="{4DCE86D4-C436-43C3-9A39-66F98F129CD1}"/>
    <hyperlink ref="B3287" r:id="rId813" display="https://actualicese.com/formulario-350-de-retencion-en-la-fuente-plantilla-avanzada/?referer=L-excel-formato&amp;utm_medium=act_formato_excel&amp;utm_source=act_formato_excel&amp;utm_campaign=act_formato_excel&amp;utm_content=act_formato_excel_link" xr:uid="{10A9AA70-033A-472F-8274-B341248A3F81}"/>
    <hyperlink ref="B3289" r:id="rId814" display="https://actualicese.com/conozca-quienes-estan-obligados-a-aplicar-la-nicc-1/?referer=L-excel-formato&amp;utm_medium=act_formato_excel&amp;utm_source=act_formato_excel&amp;utm_campaign=act_formato_excel&amp;utm_content=act_formato_excel_link" xr:uid="{7B63B03D-0DC2-4D87-9FFA-0BD7866C84C6}"/>
    <hyperlink ref="B3291" r:id="rId815" display="https://actualicese.com/lista-de-chequeo-requisitos-por-cumplir-para-solicitar-ser-autorretenedor-de-renta/?referer=L-excel-formato&amp;utm_medium=act_formato_excel&amp;utm_source=act_formato_excel&amp;utm_campaign=act_formato_excel&amp;utm_content=act_formato_excel_link" xr:uid="{12646D3D-879D-4C2F-8DFA-F98239F2080E}"/>
    <hyperlink ref="B3293" r:id="rId816" display="https://actualicese.com/recomendaciones-a-la-junta-directiva-emitida-por-empleado-que-renuncia-con-justa-causa/?referer=L-excel-formato&amp;utm_medium=act_formato_excel&amp;utm_source=act_formato_excel&amp;utm_campaign=act_formato_excel&amp;utm_content=act_formato_excel_link" xr:uid="{634505D1-87A9-408D-BEBE-4FE23B913917}"/>
    <hyperlink ref="B3295" r:id="rId817" display="https://actualicese.com/terminacion-de-contrato-justa-causa/?referer=L-excel-formato&amp;utm_medium=act_formato_excel&amp;utm_source=act_formato_excel&amp;utm_campaign=act_formato_excel&amp;utm_content=act_formato_excel_link" xr:uid="{10BFB2F0-2F83-4068-8B09-8BD3DE97A44F}"/>
    <hyperlink ref="B3297" r:id="rId818" display="https://actualicese.com/evaluacion-de-las-competencias-y-recursos-de-la-firma/?referer=L-excel-formato&amp;utm_medium=act_formato_excel&amp;utm_source=act_formato_excel&amp;utm_campaign=act_formato_excel&amp;utm_content=act_formato_excel_link" xr:uid="{C6AD164C-5702-47A9-A575-F23C9A490F9A}"/>
    <hyperlink ref="B3299" r:id="rId819" display="https://actualicese.com/formulario-310-declaracion-del-impuesto-nacional-al-consumo-plantilla-para-borrador/?referer=L-excel-formato&amp;utm_medium=act_formato_excel&amp;utm_source=act_formato_excel&amp;utm_campaign=act_formato_excel&amp;utm_content=act_formato_excel_link" xr:uid="{E8764416-E5D3-49EF-815A-308F5F62A6A0}"/>
    <hyperlink ref="B3301" r:id="rId820" display="https://actualicese.com/diligencias-en-la-dian/?referer=L-excel-formato&amp;utm_medium=act_formato_excel&amp;utm_source=act_formato_excel&amp;utm_campaign=act_formato_excel&amp;utm_content=act_formato_excel_link" xr:uid="{D40D1D6D-FE49-4646-9B08-10E4FC1F89DB}"/>
    <hyperlink ref="B3303" r:id="rId821" display="https://actualicese.com/calculo-de-intereses-presuntivos-sobre-prestamos-entre-socios-y-sociedades-durante-2018/?referer=L-excel-formato&amp;utm_medium=act_formato_excel&amp;utm_source=act_formato_excel&amp;utm_campaign=act_formato_excel&amp;utm_content=act_formato_excel_link" xr:uid="{891A6EF3-DAAB-45B4-A4C4-F64BA5028986}"/>
    <hyperlink ref="B3305" r:id="rId822" display="https://actualicese.com/tablas-para-el-calculo-del-tiempo-entre-dos-fechas/?referer=L-excel-formato&amp;utm_medium=act_formato_excel&amp;utm_source=act_formato_excel&amp;utm_campaign=act_formato_excel&amp;utm_content=act_formato_excel_link" xr:uid="{0EAE8043-F92B-4F34-B753-7286E1EAE62E}"/>
    <hyperlink ref="B3307" r:id="rId823" display="https://actualicese.com/calculo-de-la-contribucion-2019-a-supersociedades/?referer=L-excel-formato&amp;utm_medium=act_formato_excel&amp;utm_source=act_formato_excel&amp;utm_campaign=act_formato_excel&amp;utm_content=act_formato_excel_link" xr:uid="{A06351EB-D642-4F4E-9990-D9FD97CBECAD}"/>
    <hyperlink ref="B3309" r:id="rId824" display="https://actualicese.com/convenios-para-evitar-la-doble-tributacion-aplicables-al-ano-gravable-2018/?referer=L-excel-formato&amp;utm_medium=act_formato_excel&amp;utm_source=act_formato_excel&amp;utm_campaign=act_formato_excel&amp;utm_content=act_formato_excel_link" xr:uid="{3C444864-E9DB-4113-89E0-FEFBF25CEEE3}"/>
    <hyperlink ref="B3311" r:id="rId825" display="https://actualicese.com/formulario-420-declaracion-de-impuesto-al-patrimonio/?referer=L-excel-formato&amp;utm_medium=act_formato_excel&amp;utm_source=act_formato_excel&amp;utm_campaign=act_formato_excel&amp;utm_content=act_formato_excel_link" xr:uid="{BFF20BE7-60D4-4BBD-8164-F697E126B327}"/>
    <hyperlink ref="B3313" r:id="rId826" display="https://actualicese.com/aspectos-generales-del-contrato-de-aprendizaje/?referer=L-excel-formato&amp;utm_medium=act_formato_excel&amp;utm_source=act_formato_excel&amp;utm_campaign=act_formato_excel&amp;utm_content=act_formato_excel_link" xr:uid="{B159AF10-0514-4DC8-8086-B3F0916DAC64}"/>
    <hyperlink ref="B3315" r:id="rId827" display="https://actualicese.com/indicadores-financieros-de-liquidez-endeudamiento-actividad-y-rentabilidad/?referer=L-excel-formato&amp;utm_medium=act_formato_excel&amp;utm_source=act_formato_excel&amp;utm_campaign=act_formato_excel&amp;utm_content=act_formato_excel_link" xr:uid="{78C8C5B1-2411-4A13-818C-603A611BDB4A}"/>
    <hyperlink ref="B3317" r:id="rId828" display="https://actualicese.com/consecuencias-derivadas-de-la-obligacion-de-llevar-contabilidad/?referer=L-excel-formato&amp;utm_medium=act_formato_excel&amp;utm_source=act_formato_excel&amp;utm_campaign=act_formato_excel&amp;utm_content=act_formato_excel_link" xr:uid="{D3053313-8A4F-4950-8691-424938DFD920}"/>
    <hyperlink ref="B3319" r:id="rId829" display="https://actualicese.com/tabla-para-liquidar-indemnizaciones-por-perdida-de-capacidad-laboral/?referer=L-excel-formato&amp;utm_medium=act_formato_excel&amp;utm_source=act_formato_excel&amp;utm_campaign=act_formato_excel&amp;utm_content=act_formato_excel_link" xr:uid="{D2A59399-A9B3-4949-A29E-EE6C67C7B432}"/>
    <hyperlink ref="B3321" r:id="rId830" display="https://actualicese.com/calendario-tributario-2019-avanzado/?referer=L-excel-formato&amp;utm_medium=act_formato_excel&amp;utm_source=act_formato_excel&amp;utm_campaign=act_formato_excel&amp;utm_content=act_formato_excel_link" xr:uid="{4E079857-74C2-415F-9CC5-A1C8A48816BB}"/>
    <hyperlink ref="B3323" r:id="rId831" display="https://actualicese.com/depuracion-del-impuesto-de-renta-para-personas-naturales-por-el-ano-gravable-2018/?referer=L-excel-formato&amp;utm_medium=act_formato_excel&amp;utm_source=act_formato_excel&amp;utm_campaign=act_formato_excel&amp;utm_content=act_formato_excel_link" xr:uid="{0938AEAB-8896-4460-82A4-72E9B1F1966D}"/>
    <hyperlink ref="B3325" r:id="rId832" display="https://actualicese.com/residentes-vs-no-residentes-frente-al-impuesto-de-renta-y-ganancia-ocasional-2018/?referer=L-excel-formato&amp;utm_medium=act_formato_excel&amp;utm_source=act_formato_excel&amp;utm_campaign=act_formato_excel&amp;utm_content=act_formato_excel_link" xr:uid="{80F7BB93-C904-43ED-A655-3770B9E8D2EF}"/>
    <hyperlink ref="B3327" r:id="rId833" display="https://actualicese.com/certificacion-del-socio-gestor-en-contratos-de-cuentas-en-participacion/?referer=L-excel-formato&amp;utm_medium=act_formato_excel&amp;utm_source=act_formato_excel&amp;utm_campaign=act_formato_excel&amp;utm_content=act_formato_excel_link" xr:uid="{DEC9BF1D-2A7E-4DFD-B3F4-5E5EEF3C3411}"/>
    <hyperlink ref="B3329" r:id="rId834" display="https://actualicese.com/certificacion-del-mandatario-en-contratos-de-mandato/?referer=L-excel-formato&amp;utm_medium=act_formato_excel&amp;utm_source=act_formato_excel&amp;utm_campaign=act_formato_excel&amp;utm_content=act_formato_excel_link" xr:uid="{076E2DC1-5769-4084-A293-DEEDDF4511DD}"/>
    <hyperlink ref="B3331" r:id="rId835" display="https://actualicese.com/formulario-210-declaracion-renta-ano-gravable-2018-residentes-no-obligados-a-llevar-contabilidad/?referer=L-excel-formato&amp;utm_medium=act_formato_excel&amp;utm_source=act_formato_excel&amp;utm_campaign=act_formato_excel&amp;utm_content=act_formato_excel_link" xr:uid="{E2C4F503-5BBD-4FCA-AAAE-865AA0FD01A8}"/>
    <hyperlink ref="B3333" r:id="rId836" display="https://actualicese.com/formulario-110-declaracion-de-renta-de-naturales-ag-2018-no-obligados-a-llevar-contabilidad/?referer=L-excel-formato&amp;utm_medium=act_formato_excel&amp;utm_source=act_formato_excel&amp;utm_campaign=act_formato_excel&amp;utm_content=act_formato_excel_link" xr:uid="{43498458-BFF6-4467-8958-AEBEB662DCCE}"/>
    <hyperlink ref="B3335" r:id="rId837" display="https://actualicese.com/formulario-210-de-declaracion-de-renta-por-el-ag-2018-residentes-obligados-a-llevar-contabilidad/?referer=L-excel-formato&amp;utm_medium=act_formato_excel&amp;utm_source=act_formato_excel&amp;utm_campaign=act_formato_excel&amp;utm_content=act_formato_excel_link" xr:uid="{0D3BF84F-18CB-4682-B9FA-24AF278A375D}"/>
    <hyperlink ref="B3337" r:id="rId838" display="https://actualicese.com/formulario-110-y-formato-2516-declaracion-de-renta-2018-de-personas-naturales-obligadas-a-llevar-contabilidad/?referer=L-excel-formato&amp;utm_medium=act_formato_excel&amp;utm_source=act_formato_excel&amp;utm_campaign=act_formato_excel&amp;utm_content=act_formato_excel_link" xr:uid="{9B789E80-F686-4F55-94D4-7C93CB10289A}"/>
    <hyperlink ref="B3339" r:id="rId839" display="https://actualicese.com/reglamentacion-a-tener-en-cuenta-en-la-declaracion-de-renta-de-personas-naturales-ano-gravable-2018/?referer=L-excel-formato&amp;utm_medium=act_formato_excel&amp;utm_source=act_formato_excel&amp;utm_campaign=act_formato_excel&amp;utm_content=act_formato_excel_link" xr:uid="{023843CB-0C07-4042-90D8-78BD345F12A1}"/>
    <hyperlink ref="B3341" r:id="rId840" display="https://actualicese.com/indicadores-basicos-para-la-declaracion-de-renta-de-personas-naturales-por-el-ano-gravable-2018/?referer=L-excel-formato&amp;utm_medium=act_formato_excel&amp;utm_source=act_formato_excel&amp;utm_campaign=act_formato_excel&amp;utm_content=act_formato_excel_link" xr:uid="{11571531-C46D-4914-948C-A0A80BFBB782}"/>
    <hyperlink ref="B3343" r:id="rId841" display="https://actualicese.com/retencion-en-la-fuente-sobre-pagos-laborales-en-junio-de-2019-procedimiento-2/?referer=L-excel-formato&amp;utm_medium=act_formato_excel&amp;utm_source=act_formato_excel&amp;utm_campaign=act_formato_excel&amp;utm_content=act_formato_excel_link" xr:uid="{90DD06D2-64A0-4AAF-B826-85EB074417BE}"/>
    <hyperlink ref="B3345" r:id="rId842" display="https://actualicese.com/modelo-para-determinar-quien-puede-pertenecer-al-regimen-simple-de-tributacion/?referer=L-excel-formato&amp;utm_medium=act_formato_excel&amp;utm_source=act_formato_excel&amp;utm_campaign=act_formato_excel&amp;utm_content=act_formato_excel_link" xr:uid="{FE87CE03-B464-4636-B740-B7C86B312C63}"/>
    <hyperlink ref="B3347" r:id="rId843" display="https://actualicese.com/guia-diferencias-entre-el-registro-de-una-marca-y-una-empresa/?referer=L-excel-formato&amp;utm_medium=act_formato_excel&amp;utm_source=act_formato_excel&amp;utm_campaign=act_formato_excel&amp;utm_content=act_formato_excel_link" xr:uid="{C787157A-F949-4729-88AB-40FA9A3D6139}"/>
    <hyperlink ref="B3349" r:id="rId844" display="https://actualicese.com/plantilla-para-elaborar-el-formulario-300-para-las-declaraciones-del-iva-durante-2019/?referer=L-excel-formato&amp;utm_medium=act_formato_excel&amp;utm_source=act_formato_excel&amp;utm_campaign=act_formato_excel&amp;utm_content=act_formato_excel_link" xr:uid="{4FAA3427-09DE-460E-90EB-E800DCB9B4FB}"/>
    <hyperlink ref="B3351" r:id="rId845" display="https://actualicese.com/inscripcion-de-libros-en-las-camaras-de-comercio/?referer=L-excel-formato&amp;utm_medium=act_formato_excel&amp;utm_source=act_formato_excel&amp;utm_campaign=act_formato_excel&amp;utm_content=act_formato_excel_link" xr:uid="{835350A7-B592-4BF1-BA95-7F9499DA11C6}"/>
    <hyperlink ref="B3353" r:id="rId846" display="https://actualicese.com/requisitos-a-verificar-de-la-factura-electronica-de-venta-antes-de-su-emision/?referer=L-excel-formato&amp;utm_medium=act_formato_excel&amp;utm_source=act_formato_excel&amp;utm_campaign=act_formato_excel&amp;utm_content=act_formato_excel_link" xr:uid="{35897521-85C5-43EA-ADE8-48C44EA75038}"/>
    <hyperlink ref="B3355" r:id="rId847" display="https://actualicese.com/formato-exogena-1011-1012-y-2275-por-el-ano-gravable-2018-reporte-de-otros-datos-en-renta-e-iva/?referer=L-excel-formato&amp;utm_medium=act_formato_excel&amp;utm_source=act_formato_excel&amp;utm_campaign=act_formato_excel&amp;utm_content=act_formato_excel_link" xr:uid="{79E7039C-F66E-4299-BBB0-141B8F3B1D41}"/>
    <hyperlink ref="B3357" r:id="rId848" display="https://actualicese.com/categorias-de-informantes-de-exogena-por-el-ano-gravable-2018-y-los-formatos-que-deben-usar/?referer=L-excel-formato&amp;utm_medium=act_formato_excel&amp;utm_source=act_formato_excel&amp;utm_campaign=act_formato_excel&amp;utm_content=act_formato_excel_link" xr:uid="{905C3B24-0851-49AB-82C0-D5365722C8DF}"/>
    <hyperlink ref="B3359" r:id="rId849" display="https://actualicese.com/formatos-2276-y-2280-para-el-reporte-de-informacion-exogena-de-2018/?referer=L-excel-formato&amp;utm_medium=act_formato_excel&amp;utm_source=act_formato_excel&amp;utm_campaign=act_formato_excel&amp;utm_content=act_formato_excel_link" xr:uid="{97497E48-B762-4ED8-A0B4-8911C12FA135}"/>
    <hyperlink ref="B3361" r:id="rId850" display="https://actualicese.com/formato-exogena-5253-por-el-ano-gravable-2018-informacion-de-los-beneficiarios-efectivos/?referer=L-excel-formato&amp;utm_medium=act_formato_excel&amp;utm_source=act_formato_excel&amp;utm_campaign=act_formato_excel&amp;utm_content=act_formato_excel_link" xr:uid="{B614044D-1319-464E-AA5F-9F7A0CDD55B2}"/>
    <hyperlink ref="B3363" r:id="rId851" display="https://actualicese.com/formatos-de-exogena-por-el-ano-gravable-2018-reportes-de-los-mandatarios/?referer=L-excel-formato&amp;utm_medium=act_formato_excel&amp;utm_source=act_formato_excel&amp;utm_campaign=act_formato_excel&amp;utm_content=act_formato_excel_link" xr:uid="{2C33679E-CC10-4834-AE26-4400049237E1}"/>
    <hyperlink ref="B3365" r:id="rId852" display="https://actualicese.com/formato-exogena-1647-por-el-ano-gravable-2018-reporte-de-ingresos-recibidos-para-terceros/?referer=L-excel-formato&amp;utm_medium=act_formato_excel&amp;utm_source=act_formato_excel&amp;utm_campaign=act_formato_excel&amp;utm_content=act_formato_excel_link" xr:uid="{52F3F9A5-AB2B-443F-B642-41E32EA0132E}"/>
    <hyperlink ref="B3367" r:id="rId853" display="https://actualicese.com/formato-exogena-1010-por-el-ano-gravable-2018-reporte-de-socios-cooperados-o-comuneros/?referer=L-excel-formato&amp;utm_medium=act_formato_excel&amp;utm_source=act_formato_excel&amp;utm_campaign=act_formato_excel&amp;utm_content=act_formato_excel_link" xr:uid="{560830E5-38DE-4CBB-9929-70C2D92C4A07}"/>
    <hyperlink ref="B3369" r:id="rId854" display="https://actualicese.com/formato-exogena-1009-por-el-ano-gravable-2018-reporte-de-cuentas-por-pagar/?referer=L-excel-formato&amp;utm_medium=act_formato_excel&amp;utm_source=act_formato_excel&amp;utm_campaign=act_formato_excel&amp;utm_content=act_formato_excel_link" xr:uid="{1F3CE235-08F2-4ED8-A681-A8DB70560F37}"/>
    <hyperlink ref="B3371" r:id="rId855" display="https://actualicese.com/formato-exogena-1008-por-el-ano-gravable-2018-reporte-de-cuentas-por-cobrar/?referer=L-excel-formato&amp;utm_medium=act_formato_excel&amp;utm_source=act_formato_excel&amp;utm_campaign=act_formato_excel&amp;utm_content=act_formato_excel_link" xr:uid="{68B329E8-F818-4E51-B094-7ACDA75C4A77}"/>
    <hyperlink ref="B3373" r:id="rId856" display="https://actualicese.com/formato-exogena-1004-de-2018-reporte-de-descuentos-al-impuesto-de-renta-y-ganancia-ocasional/?referer=L-excel-formato&amp;utm_medium=act_formato_excel&amp;utm_source=act_formato_excel&amp;utm_campaign=act_formato_excel&amp;utm_content=act_formato_excel_link" xr:uid="{D5D2E58C-C100-4ABA-B0F9-B42C23544250}"/>
    <hyperlink ref="B3375" r:id="rId857" display="https://actualicese.com/comunicacion-de-asuntos-que-generan-amenazas-a-la-independencia/?referer=L-excel-formato&amp;utm_medium=act_formato_excel&amp;utm_source=act_formato_excel&amp;utm_campaign=act_formato_excel&amp;utm_content=act_formato_excel_link" xr:uid="{61178CAE-FACB-4E59-9EA7-73E0541AC9EF}"/>
    <hyperlink ref="B3377" r:id="rId858" display="https://actualicese.com/formato-exogena-1007-por-el-ano-gravable-2018-reportes-de-ingresos-propios/?referer=L-excel-formato&amp;utm_medium=act_formato_excel&amp;utm_source=act_formato_excel&amp;utm_campaign=act_formato_excel&amp;utm_content=act_formato_excel_link" xr:uid="{D0F58968-DC5F-4526-A7DC-BA2A581FB2FA}"/>
    <hyperlink ref="B3379" r:id="rId859" display="https://actualicese.com/formato-exogena-1001-por-el-ano-gravable-2018-reporte-de-pagos-o-abonos-en-cuenta/?referer=L-excel-formato&amp;utm_medium=act_formato_excel&amp;utm_source=act_formato_excel&amp;utm_campaign=act_formato_excel&amp;utm_content=act_formato_excel_link" xr:uid="{AA59268D-4B03-4118-A530-298C5C158AB2}"/>
    <hyperlink ref="B3381" r:id="rId860" display="https://actualicese.com/formatos-exogena-1005-y-1006-del-ano-gravable-2018-reportes-de-iva-generados-y-descontables/?referer=L-excel-formato&amp;utm_medium=act_formato_excel&amp;utm_source=act_formato_excel&amp;utm_campaign=act_formato_excel&amp;utm_content=act_formato_excel_link" xr:uid="{77252594-7099-432E-BFDD-FB4C6F3CFB7A}"/>
    <hyperlink ref="B3383" r:id="rId861" display="https://actualicese.com/formato-exogena-1003-por-el-ano-gravable-2018-retenciones-que-le-practicaron-al-informante/?referer=L-excel-formato&amp;utm_medium=act_formato_excel&amp;utm_source=act_formato_excel&amp;utm_campaign=act_formato_excel&amp;utm_content=act_formato_excel_link" xr:uid="{00CA45A5-5357-441E-B149-61CB7B769F1F}"/>
    <hyperlink ref="B3385" r:id="rId862" display="https://actualicese.com/devolucion-del-iva-pagado-en-adquisicion-de-materiales-para-construccion-de-vis/?referer=L-excel-formato&amp;utm_medium=act_formato_excel&amp;utm_source=act_formato_excel&amp;utm_campaign=act_formato_excel&amp;utm_content=act_formato_excel_link" xr:uid="{F3E85565-C0CC-4D88-BA67-7CF7B2BBA810}"/>
    <hyperlink ref="B3387" r:id="rId863" display="https://actualicese.com/listado-de-actividades-economicas-codigos-ciiu-2/?referer=L-excel-formato&amp;utm_medium=act_formato_excel&amp;utm_source=act_formato_excel&amp;utm_campaign=act_formato_excel&amp;utm_content=act_formato_excel_link" xr:uid="{59DD19F1-0F63-4A90-9696-40DDFC2CCAF7}"/>
    <hyperlink ref="B3389" r:id="rId864" display="https://actualicese.com/seguimiento-de-control-de-calidad-en-un-encargo-de-auditoria-bajo-nicc-1/?referer=L-excel-formato&amp;utm_medium=act_formato_excel&amp;utm_source=act_formato_excel&amp;utm_campaign=act_formato_excel&amp;utm_content=act_formato_excel_link" xr:uid="{3C58817A-C8E7-4778-B19E-82762B5EE469}"/>
    <hyperlink ref="B3391" r:id="rId865" display="https://actualicese.com/reglamentacion-para-la-declaracion-de-renta-de-personas-juridicas-por-el-ano-gravable-2018/?referer=L-excel-formato&amp;utm_medium=act_formato_excel&amp;utm_source=act_formato_excel&amp;utm_campaign=act_formato_excel&amp;utm_content=act_formato_excel_link" xr:uid="{50AA3C61-0275-4C74-88B9-4E0444B23566}"/>
    <hyperlink ref="B3393" r:id="rId866" display="https://actualicese.com/formulario-110-y-formato-2516-para-declaracion-de-renta-o-ingresos-y-patrimonio-2018/?referer=L-excel-formato&amp;utm_medium=act_formato_excel&amp;utm_source=act_formato_excel&amp;utm_campaign=act_formato_excel&amp;utm_content=act_formato_excel_link" xr:uid="{85F4E1F5-1EBA-479E-82CE-9B5D1299FA9B}"/>
    <hyperlink ref="B3395" r:id="rId867" display="https://actualicese.com/estructura-general-del-decreto-unico-tributario-1625-de-2016/?referer=L-excel-formato&amp;utm_medium=act_formato_excel&amp;utm_source=act_formato_excel&amp;utm_campaign=act_formato_excel&amp;utm_content=act_formato_excel_link" xr:uid="{8F3CA63C-2751-4A35-AF00-789C038DEF05}"/>
    <hyperlink ref="B3397" r:id="rId868" display="https://actualicese.com/clasificacion-general-de-personas-juridicas-frente-al-impuesto-de-renta-por-el-ano-gravable-2018/?referer=L-excel-formato&amp;utm_medium=act_formato_excel&amp;utm_source=act_formato_excel&amp;utm_campaign=act_formato_excel&amp;utm_content=act_formato_excel_link" xr:uid="{3C4EC325-8F5D-445F-AE00-E342A0502DA8}"/>
    <hyperlink ref="B3399" r:id="rId869" display="https://actualicese.com/indicadores-basicos-para-declaracion-de-renta-de-personas-juridicas-ano-gravable-2018/?referer=L-excel-formato&amp;utm_medium=act_formato_excel&amp;utm_source=act_formato_excel&amp;utm_campaign=act_formato_excel&amp;utm_content=act_formato_excel_link" xr:uid="{DB2BD0DB-301E-4DF9-8AEC-F8C203C3FEA7}"/>
    <hyperlink ref="B3401" r:id="rId870" display="https://actualicese.com/guia-lista-de-chequeo-estandares-minimos-de-seguridad-para-empresas-grandes-y-medianas/?referer=L-excel-formato&amp;utm_medium=act_formato_excel&amp;utm_source=act_formato_excel&amp;utm_campaign=act_formato_excel&amp;utm_content=act_formato_excel_link" xr:uid="{3AD362E7-B2C3-4B10-AC5C-23A53A3EC354}"/>
    <hyperlink ref="B3403" r:id="rId871" display="https://actualicese.com/guia-requisitos-para-acceder-a-beneficios-de-la-economia-naranja-y-desarrollo-del-campo-colombiano/?referer=L-excel-formato&amp;utm_medium=act_formato_excel&amp;utm_source=act_formato_excel&amp;utm_campaign=act_formato_excel&amp;utm_content=act_formato_excel_link" xr:uid="{B7FF2724-26F5-4849-8DA9-35ADA1013F1D}"/>
    <hyperlink ref="B3405" r:id="rId872" display="https://actualicese.com/lista-de-chequeo-estandares-minimos-de-seguridad-para-empresas-medianas/?referer=L-excel-formato&amp;utm_medium=act_formato_excel&amp;utm_source=act_formato_excel&amp;utm_campaign=act_formato_excel&amp;utm_content=act_formato_excel_link" xr:uid="{37265D4B-264F-414C-BADC-AA53B6279867}"/>
    <hyperlink ref="B3407" r:id="rId873" display="https://actualicese.com/comunicacion-de-deficiencias-en-el-proceso-de-inspeccion-seguimiento-del-control-de-calidad/?referer=L-excel-formato&amp;utm_medium=act_formato_excel&amp;utm_source=act_formato_excel&amp;utm_campaign=act_formato_excel&amp;utm_content=act_formato_excel_link" xr:uid="{C9D482D2-2814-4026-8416-3D24151D3394}"/>
    <hyperlink ref="B3409" r:id="rId874" display="https://actualicese.com/lista-de-chequeo-estandares-minimos-de-seguridad-para-pequenas-empresas/?referer=L-excel-formato&amp;utm_medium=act_formato_excel&amp;utm_source=act_formato_excel&amp;utm_campaign=act_formato_excel&amp;utm_content=act_formato_excel_link" xr:uid="{65F6B991-C95E-46BC-88E3-6D87B3DAD9F7}"/>
    <hyperlink ref="B3411" r:id="rId875" display="https://actualicese.com/costo-de-renovacion-de-matricula-mercantil-y-establecimientos-de-comercio-en-2019/?referer=L-excel-formato&amp;utm_medium=act_formato_excel&amp;utm_source=act_formato_excel&amp;utm_campaign=act_formato_excel&amp;utm_content=act_formato_excel_link" xr:uid="{143D7166-EEE0-486F-9800-9C3316E414CB}"/>
    <hyperlink ref="B3413" r:id="rId876" display="https://actualicese.com/compraventa-de-un-establecimiento-de-comercio/?referer=L-excel-formato&amp;utm_medium=act_formato_excel&amp;utm_source=act_formato_excel&amp;utm_campaign=act_formato_excel&amp;utm_content=act_formato_excel_link" xr:uid="{2E7DCEE8-F563-4BFE-9E02-8B611AEA28A1}"/>
    <hyperlink ref="B3415" r:id="rId877" display="https://actualicese.com/proyeccion-del-impuesto-al-patrimonio-y-calculo-del-de-normalizacion-y-o-saneamiento-2019/?referer=L-excel-formato&amp;utm_medium=act_formato_excel&amp;utm_source=act_formato_excel&amp;utm_campaign=act_formato_excel&amp;utm_content=act_formato_excel_link" xr:uid="{8CA31C02-4295-434E-B7A0-F90B82636BD5}"/>
    <hyperlink ref="B3417" r:id="rId878" display="https://actualicese.com/modelo-del-certificado-anual-a-socios-o-accionistas-por-el-ano-2018/?referer=L-excel-formato&amp;utm_medium=act_formato_excel&amp;utm_source=act_formato_excel&amp;utm_campaign=act_formato_excel&amp;utm_content=act_formato_excel_link" xr:uid="{576F36DA-E37A-4612-95C0-A04A2E4A317F}"/>
    <hyperlink ref="B3419" r:id="rId879" display="https://actualicese.com/cambios-en-la-tributacion-sobre-dividendos-luego-de-la-ley-de-financiamiento/?referer=L-excel-formato&amp;utm_medium=act_formato_excel&amp;utm_source=act_formato_excel&amp;utm_campaign=act_formato_excel&amp;utm_content=act_formato_excel_link" xr:uid="{347F1398-C5B7-4F5B-A446-6A2F81012044}"/>
    <hyperlink ref="B3421" r:id="rId880" display="https://actualicese.com/depuracion-del-impuesto-de-renta-de-personas-juridicas-en-el-regimen-ordinario-2018-vs-2019/?referer=L-excel-formato&amp;utm_medium=act_formato_excel&amp;utm_source=act_formato_excel&amp;utm_campaign=act_formato_excel&amp;utm_content=act_formato_excel_link" xr:uid="{50596F02-ACB6-4003-BCB5-D1E66187E2B2}"/>
    <hyperlink ref="B3423" r:id="rId881" display="https://actualicese.com/cambios-en-el-impuesto-de-renta-de-las-personas-naturales-luego-de-la-ley-de-financiamiento/?referer=L-excel-formato&amp;utm_medium=act_formato_excel&amp;utm_source=act_formato_excel&amp;utm_campaign=act_formato_excel&amp;utm_content=act_formato_excel_link" xr:uid="{FF5E5FB8-DB0B-4705-9403-E04E72694A52}"/>
    <hyperlink ref="B3425" r:id="rId882" display="https://actualicese.com/comparativo-entre-la-depuracion-de-la-renta-en-el-regimen-ordinario-y-en-el-regimen-simple/?referer=L-excel-formato&amp;utm_medium=act_formato_excel&amp;utm_source=act_formato_excel&amp;utm_campaign=act_formato_excel&amp;utm_content=act_formato_excel_link" xr:uid="{4DFB801D-1774-4E44-8210-159A34E44D4A}"/>
    <hyperlink ref="B3427" r:id="rId883" display="https://actualicese.com/formulario-220-certificado-por-rentas-de-trabajo-ano-gravable-2018/?referer=L-excel-formato&amp;utm_medium=act_formato_excel&amp;utm_source=act_formato_excel&amp;utm_campaign=act_formato_excel&amp;utm_content=act_formato_excel_link" xr:uid="{8426728E-53F5-46E8-B1E9-ACC6E8D355FB}"/>
    <hyperlink ref="B3429" r:id="rId884" display="https://actualicese.com/impuesto-de-renta-ordinario-vs-impuesto-simple-cual-es-la-decision-mas-conveniente/?referer=L-excel-formato&amp;utm_medium=act_formato_excel&amp;utm_source=act_formato_excel&amp;utm_campaign=act_formato_excel&amp;utm_content=act_formato_excel_link" xr:uid="{3F49DF2D-5CD1-4872-AB19-FB09267560EB}"/>
    <hyperlink ref="B3431" r:id="rId885" display="https://actualicese.com/requisitos-para-acceder-al-subsidio-de-desempleo/?referer=L-excel-formato&amp;utm_medium=act_formato_excel&amp;utm_source=act_formato_excel&amp;utm_campaign=act_formato_excel&amp;utm_content=act_formato_excel_link" xr:uid="{02DB4AED-3A99-4D87-9C37-B61A4E758529}"/>
    <hyperlink ref="B3433" r:id="rId886" display="https://actualicese.com/tarifas-de-autorretencion-especial-en-renta-automatizado/?referer=L-excel-formato&amp;utm_medium=act_formato_excel&amp;utm_source=act_formato_excel&amp;utm_campaign=act_formato_excel&amp;utm_content=act_formato_excel_link" xr:uid="{908A41B3-0C44-4A01-A0BE-5F2C4349123F}"/>
    <hyperlink ref="B3435" r:id="rId887" display="https://actualicese.com/indicadores-basicos-para-tener-en-cuenta-durante-2019/?referer=L-excel-formato&amp;utm_medium=act_formato_excel&amp;utm_source=act_formato_excel&amp;utm_campaign=act_formato_excel&amp;utm_content=act_formato_excel_link" xr:uid="{96101E25-6A7F-4A5B-B9B0-56DD80F630EB}"/>
    <hyperlink ref="B3437" r:id="rId888" display="https://actualicese.com/novedades-en-clasificacion-de-bienes-y-servicios-frente-a-iva-e-inc/?referer=L-excel-formato&amp;utm_medium=act_formato_excel&amp;utm_source=act_formato_excel&amp;utm_campaign=act_formato_excel&amp;utm_content=act_formato_excel_link" xr:uid="{E8519049-EA66-405F-AE5B-E9BAB371F1D9}"/>
    <hyperlink ref="B3439" r:id="rId889" display="https://actualicese.com/requisitos-para-pertenecer-al-regimen-simple-de-tributacion/?referer=L-excel-formato&amp;utm_medium=act_formato_excel&amp;utm_source=act_formato_excel&amp;utm_campaign=act_formato_excel&amp;utm_content=act_formato_excel_link" xr:uid="{49FD620C-AB4D-438F-BB55-FC7A5CA480F0}"/>
    <hyperlink ref="B3441" r:id="rId890" display="https://actualicese.com/porcentaje-fijo-y-retencion-en-la-fuente-con-procedimiento-2-durante-2019-tras-ley-de-financiamiento/?referer=L-excel-formato&amp;utm_medium=act_formato_excel&amp;utm_source=act_formato_excel&amp;utm_campaign=act_formato_excel&amp;utm_content=act_formato_excel_link" xr:uid="{8F72505F-5A5A-4520-9B0E-CAA62B5BA654}"/>
    <hyperlink ref="B3443" r:id="rId891" display="https://actualicese.com/retencion-en-la-fuente-con-procedimiento-1-sobre-rentas-de-trabajo-2019-tras-ley-de-financiamiento/?referer=L-excel-formato&amp;utm_medium=act_formato_excel&amp;utm_source=act_formato_excel&amp;utm_campaign=act_formato_excel&amp;utm_content=act_formato_excel_link" xr:uid="{3D8E58E3-0BE6-4593-A680-FF043AAC8304}"/>
    <hyperlink ref="B3445" r:id="rId892" display="https://actualicese.com/retencion-en-la-fuente-con-procedimiento-1-sobre-rentas-de-trabajo-durante-2019/?referer=L-excel-formato&amp;utm_medium=act_formato_excel&amp;utm_source=act_formato_excel&amp;utm_campaign=act_formato_excel&amp;utm_content=act_formato_excel_link" xr:uid="{3A997B3F-FE94-459C-869D-7AEC2A8FDF46}"/>
    <hyperlink ref="B3447" r:id="rId893" display="https://actualicese.com/porcentaje-fijo-diciembre-2018-y-junio-2019-y-retencion-en-la-fuente-con-procedimiento-2-por-2019/?referer=L-excel-formato&amp;utm_medium=act_formato_excel&amp;utm_source=act_formato_excel&amp;utm_campaign=act_formato_excel&amp;utm_content=act_formato_excel_link" xr:uid="{2C2FC0BC-59C0-4E47-9CA4-E38B523A5281}"/>
    <hyperlink ref="B3449" r:id="rId894" display="https://actualicese.com/informacion-laboral-2019/?referer=L-excel-formato&amp;utm_medium=act_formato_excel&amp;utm_source=act_formato_excel&amp;utm_campaign=act_formato_excel&amp;utm_content=act_formato_excel_link" xr:uid="{F04D0B40-AAAF-4C07-8436-D3C494B5745C}"/>
    <hyperlink ref="B3451" r:id="rId895" display="https://actualicese.com/radicacion-de-licencia-de-maternidad-ante-eps-al-no-cotizar-todo-el-periodo-de-gestacion/?referer=L-excel-formato&amp;utm_medium=act_formato_excel&amp;utm_source=act_formato_excel&amp;utm_campaign=act_formato_excel&amp;utm_content=act_formato_excel_link" xr:uid="{D211EC85-8AD8-4E32-B2C3-B88B65B31EE3}"/>
    <hyperlink ref="B3453" r:id="rId896" display="https://actualicese.com/tasa-representativa-del-mercado-trm-2018/?referer=L-excel-formato&amp;utm_medium=act_formato_excel&amp;utm_source=act_formato_excel&amp;utm_campaign=act_formato_excel&amp;utm_content=act_formato_excel_link" xr:uid="{6222DE96-9C76-463A-B42C-E42283606926}"/>
    <hyperlink ref="B3455" r:id="rId897" display="https://actualicese.com/historico-de-la-variacion-nominal-del-salario-minimo-vs-la-inflacion-1993-2018/?referer=L-excel-formato&amp;utm_medium=act_formato_excel&amp;utm_source=act_formato_excel&amp;utm_campaign=act_formato_excel&amp;utm_content=act_formato_excel_link" xr:uid="{6A1373C2-96D0-4A93-8B17-0A0C8EE80811}"/>
    <hyperlink ref="B3457" r:id="rId898" display="https://actualicese.com/guia-avanzada-tablas-de-retencion-en-la-fuente-a-titulo-de-impuestos-nacionales-2019/?referer=L-excel-formato&amp;utm_medium=act_formato_excel&amp;utm_source=act_formato_excel&amp;utm_campaign=act_formato_excel&amp;utm_content=act_formato_excel_link" xr:uid="{534F2F45-A197-4E37-90DA-8E17BC9A3890}"/>
    <hyperlink ref="B3459" r:id="rId899" display="https://actualicese.com/tabla-de-retenciones-en-la-fuente-por-renta-para-ano-fiscal-2019/?referer=L-excel-formato&amp;utm_medium=act_formato_excel&amp;utm_source=act_formato_excel&amp;utm_campaign=act_formato_excel&amp;utm_content=act_formato_excel_link" xr:uid="{5E3CE38F-8C56-47E4-B919-734E7A3F7F7D}"/>
    <hyperlink ref="B3461" r:id="rId900" display="https://actualicese.com/calendario-tributario-distrital-2019/?referer=L-excel-formato&amp;utm_medium=act_formato_excel&amp;utm_source=act_formato_excel&amp;utm_campaign=act_formato_excel&amp;utm_content=act_formato_excel_link" xr:uid="{6F0B4620-AD1F-461F-9B1B-DB31CC8490BD}"/>
    <hyperlink ref="B3463" r:id="rId901" display="https://actualicese.com/cambios-introducidos-por-la-ley-de-financiamiento-1943-de-2018/?referer=L-excel-formato&amp;utm_medium=act_formato_excel&amp;utm_source=act_formato_excel&amp;utm_campaign=act_formato_excel&amp;utm_content=act_formato_excel_link" xr:uid="{EFC5433C-4AF7-497C-8870-7F1500B03CC3}"/>
    <hyperlink ref="B3465" r:id="rId902" display="https://actualicese.com/comparativo-de-normas-afectadas-por-la-ley-de-financiamiento-1943-de-diciembre-28-de-2018/?referer=L-excel-formato&amp;utm_medium=act_formato_excel&amp;utm_source=act_formato_excel&amp;utm_campaign=act_formato_excel&amp;utm_content=act_formato_excel_link" xr:uid="{6AD70BCE-E8A5-47C0-B458-FBAD4DBE1E3C}"/>
    <hyperlink ref="B3467" r:id="rId903" display="https://actualicese.com/dictamen-para-empresas-que-aplican-el-estandar-internacional-para-pymes/?referer=L-excel-formato&amp;utm_medium=act_formato_excel&amp;utm_source=act_formato_excel&amp;utm_campaign=act_formato_excel&amp;utm_content=act_formato_excel_link" xr:uid="{C01CAA7A-66B3-4B29-91FA-93052F0308B6}"/>
    <hyperlink ref="B3469" r:id="rId904" display="https://actualicese.com/certificado-de-ingresos-por-rendimientos-financieros-expedido-por-contador-publico/?referer=L-excel-formato&amp;utm_medium=act_formato_excel&amp;utm_source=act_formato_excel&amp;utm_campaign=act_formato_excel&amp;utm_content=act_formato_excel_link" xr:uid="{32A21C7D-BD24-4395-8629-466B8A25E1F3}"/>
    <hyperlink ref="B3471" r:id="rId905" display="https://actualicese.com/2019-historico-de-salario-minimo-y-auxilio-de-transporte/?referer=L-excel-formato&amp;utm_medium=act_formato_excel&amp;utm_source=act_formato_excel&amp;utm_campaign=act_formato_excel&amp;utm_content=act_formato_excel_link" xr:uid="{0378D190-4E0D-41DA-B4BC-3340721BB12D}"/>
    <hyperlink ref="B3473" r:id="rId906" display="https://actualicese.com/disminucion-de-la-base-de-retencion-por-pagos-a-terceros-por-concepto-de-alimentacion/?referer=L-excel-formato&amp;utm_medium=act_formato_excel&amp;utm_source=act_formato_excel&amp;utm_campaign=act_formato_excel&amp;utm_content=act_formato_excel_link" xr:uid="{D6617A08-B821-48FC-99D1-800AFA1C76CD}"/>
    <hyperlink ref="B3475" r:id="rId907" display="https://actualicese.com/solicitud-de-aplicacion-de-tarifa-superior-de-retencion-en-la-fuente/?referer=L-excel-formato&amp;utm_medium=act_formato_excel&amp;utm_source=act_formato_excel&amp;utm_campaign=act_formato_excel&amp;utm_content=act_formato_excel_link" xr:uid="{D894F020-A80F-4CEB-8388-1D2A6BA98EAF}"/>
    <hyperlink ref="B3477" r:id="rId908" display="https://actualicese.com/equivalencias-entre-cuentas-contables-y-formato-de-conciliacion-fiscal-2516/?referer=L-excel-formato&amp;utm_medium=act_formato_excel&amp;utm_source=act_formato_excel&amp;utm_campaign=act_formato_excel&amp;utm_content=act_formato_excel_link" xr:uid="{E9F3F12E-24C4-4815-84A2-8962AA475F4B}"/>
    <hyperlink ref="B3479" r:id="rId909" display="https://actualicese.com/anuncio-de-modificacion-a-terminos-de-descuento-por-pronto-pago/?referer=L-excel-formato&amp;utm_medium=act_formato_excel&amp;utm_source=act_formato_excel&amp;utm_campaign=act_formato_excel&amp;utm_content=act_formato_excel_link" xr:uid="{2CBE7A2D-9D46-43D5-A399-FC3A4D815E5A}"/>
    <hyperlink ref="B3481" r:id="rId910" display="https://actualicese.com/nota-debito/?referer=L-excel-formato&amp;utm_medium=act_formato_excel&amp;utm_source=act_formato_excel&amp;utm_campaign=act_formato_excel&amp;utm_content=act_formato_excel_link" xr:uid="{9539D18B-0CE2-46A3-8C5C-ABB89F7A08D9}"/>
    <hyperlink ref="B3483" r:id="rId911" display="https://actualicese.com/proveedores-tecnologicos-autorizados-para-prestar-servicios-de-facturacion-electronica/?referer=L-excel-formato&amp;utm_medium=act_formato_excel&amp;utm_source=act_formato_excel&amp;utm_campaign=act_formato_excel&amp;utm_content=act_formato_excel_link" xr:uid="{9E442524-537C-4DCF-B04D-C27D0E371BEF}"/>
    <hyperlink ref="B3485" r:id="rId912" display="https://actualicese.com/certificacion-para-efectos-de-retencion-en-la-fuente-de-trabajador-independiente/?referer=L-excel-formato&amp;utm_medium=act_formato_excel&amp;utm_source=act_formato_excel&amp;utm_campaign=act_formato_excel&amp;utm_content=act_formato_excel_link" xr:uid="{FF235986-2617-4803-82D9-F01FD8C5112A}"/>
    <hyperlink ref="B3487" r:id="rId913" display="https://actualicese.com/carta-otorgando-poder/?referer=L-excel-formato&amp;utm_medium=act_formato_excel&amp;utm_source=act_formato_excel&amp;utm_campaign=act_formato_excel&amp;utm_content=act_formato_excel_link" xr:uid="{26A0A527-07BC-4F1F-9560-8C756EA2AF38}"/>
    <hyperlink ref="B3489" r:id="rId914" display="https://actualicese.com/liquidador-historico-de-porcentajes-de-reajuste-fiscal/?referer=L-excel-formato&amp;utm_medium=act_formato_excel&amp;utm_source=act_formato_excel&amp;utm_campaign=act_formato_excel&amp;utm_content=act_formato_excel_link" xr:uid="{4627CC9E-EDC9-443D-9AFF-19FF9E5EFA08}"/>
    <hyperlink ref="B3491" r:id="rId915" display="https://actualicese.com/demanda-de-nulidad-y-restablecimiento-del-derecho-contra-la-dian/?referer=L-excel-formato&amp;utm_medium=act_formato_excel&amp;utm_source=act_formato_excel&amp;utm_campaign=act_formato_excel&amp;utm_content=act_formato_excel_link" xr:uid="{549D6BB5-A1C6-4D0E-BE1A-D81FCD8E6387}"/>
    <hyperlink ref="B3493" r:id="rId916" display="https://actualicese.com/recurso-de-reconsideracion-presentado-ante-la-dian/?referer=L-excel-formato&amp;utm_medium=act_formato_excel&amp;utm_source=act_formato_excel&amp;utm_campaign=act_formato_excel&amp;utm_content=act_formato_excel_link" xr:uid="{0D0A1610-2ACA-42CB-A429-83C0C6574380}"/>
    <hyperlink ref="B3495" r:id="rId917" display="https://actualicese.com/modelo-recurso-de-suplica-proceso-laboral/?referer=L-excel-formato&amp;utm_medium=act_formato_excel&amp;utm_source=act_formato_excel&amp;utm_campaign=act_formato_excel&amp;utm_content=act_formato_excel_link" xr:uid="{03879C7E-0359-4E6F-8AE6-403E8D6E0AA4}"/>
    <hyperlink ref="B3497" r:id="rId918" display="https://actualicese.com/carta-de-agradecimiento-a-empleador/?referer=L-excel-formato&amp;utm_medium=act_formato_excel&amp;utm_source=act_formato_excel&amp;utm_campaign=act_formato_excel&amp;utm_content=act_formato_excel_link" xr:uid="{430A3EBC-6884-4979-AC8D-C0861D3C4092}"/>
    <hyperlink ref="B3499" r:id="rId919" display="https://actualicese.com/modelo-recurso-de-queja-proceso-laboral/?referer=L-excel-formato&amp;utm_medium=act_formato_excel&amp;utm_source=act_formato_excel&amp;utm_campaign=act_formato_excel&amp;utm_content=act_formato_excel_link" xr:uid="{27C093DB-FC2F-4401-99AF-DBE72F5F0D3B}"/>
    <hyperlink ref="B3501" r:id="rId920" display="https://actualicese.com/conceptos-y-orientaciones-que-abordan-el-tratamiento-contable-de-los-contratos-de-concesion/?referer=L-excel-formato&amp;utm_medium=act_formato_excel&amp;utm_source=act_formato_excel&amp;utm_campaign=act_formato_excel&amp;utm_content=act_formato_excel_link" xr:uid="{84AE63D0-7B77-4C97-983E-550949912A28}"/>
    <hyperlink ref="B3503" r:id="rId921" display="https://actualicese.com/ofrecimiento-de-disculpas-a-un-cliente-por-la-no-prestacion-de-un-servicio/?referer=L-excel-formato&amp;utm_medium=act_formato_excel&amp;utm_source=act_formato_excel&amp;utm_campaign=act_formato_excel&amp;utm_content=act_formato_excel_link" xr:uid="{846F5B41-F701-45DD-829A-563D7DC5F188}"/>
    <hyperlink ref="B3505" r:id="rId922" display="https://actualicese.com/acuerdo-de-terminacion-voluntaria-del-contrato-de-trabajo-con-bonificacion-por-servicios-prestados/?referer=L-excel-formato&amp;utm_medium=act_formato_excel&amp;utm_source=act_formato_excel&amp;utm_campaign=act_formato_excel&amp;utm_content=act_formato_excel_link" xr:uid="{6A3F2229-9847-4A77-A4CE-06C3FABA6BE5}"/>
    <hyperlink ref="B3507" r:id="rId923" display="https://actualicese.com/normas-del-estatuto-tributario-sobre-el-patrimonio-y-renta-segun-obligacion-de-llevar-contabilidad/?referer=L-excel-formato&amp;utm_medium=act_formato_excel&amp;utm_source=act_formato_excel&amp;utm_campaign=act_formato_excel&amp;utm_content=act_formato_excel_link" xr:uid="{15081335-7B82-4629-BD19-309892C82C65}"/>
    <hyperlink ref="B3509" r:id="rId924" display="https://actualicese.com/solicitud-de-empleo/?referer=L-excel-formato&amp;utm_medium=act_formato_excel&amp;utm_source=act_formato_excel&amp;utm_campaign=act_formato_excel&amp;utm_content=act_formato_excel_link" xr:uid="{43256903-57AA-47B9-BFD7-EF80C03079BE}"/>
    <hyperlink ref="B3511" r:id="rId925" display="https://actualicese.com/sistema-de-control-de-calidad-aplicado-a-recursos-humanos-en-un-encargo-de-auditoria/?referer=L-excel-formato&amp;utm_medium=act_formato_excel&amp;utm_source=act_formato_excel&amp;utm_campaign=act_formato_excel&amp;utm_content=act_formato_excel_link" xr:uid="{0DCF435C-D5E8-49EE-B7A0-2CEB91FF7F29}"/>
    <hyperlink ref="B3513" r:id="rId926" display="https://actualicese.com/resoluciones-y-circulares-para-declaracion-de-renta-de-personas-naturales-ano-gravable-2017/?referer=L-excel-formato&amp;utm_medium=act_formato_excel&amp;utm_source=act_formato_excel&amp;utm_campaign=act_formato_excel&amp;utm_content=act_formato_excel_link" xr:uid="{B6FE7A2E-1B78-4039-882A-FB526D8F266C}"/>
    <hyperlink ref="B3515" r:id="rId927" display="https://actualicese.com/modelo-recurso-de-apelacion-audiencia-laboral/?referer=L-excel-formato&amp;utm_medium=act_formato_excel&amp;utm_source=act_formato_excel&amp;utm_campaign=act_formato_excel&amp;utm_content=act_formato_excel_link" xr:uid="{605C7045-F0FC-474D-A4D3-1E04A65B14A5}"/>
    <hyperlink ref="B3517" r:id="rId928" display="https://actualicese.com/decretos-para-la-declaracion-de-renta-de-personas-naturales-por-el-ano-gravable-2017/?referer=L-excel-formato&amp;utm_medium=act_formato_excel&amp;utm_source=act_formato_excel&amp;utm_campaign=act_formato_excel&amp;utm_content=act_formato_excel_link" xr:uid="{82A25D4F-E045-4804-B1C9-D2367E59F80B}"/>
    <hyperlink ref="B3519" r:id="rId929" display="https://actualicese.com/solicitud-pago-de-acreencias-laborales/?referer=L-excel-formato&amp;utm_medium=act_formato_excel&amp;utm_source=act_formato_excel&amp;utm_campaign=act_formato_excel&amp;utm_content=act_formato_excel_link" xr:uid="{F5BC375A-CFF3-4F15-A261-DAECED83A5B0}"/>
    <hyperlink ref="B3521" r:id="rId930" display="https://actualicese.com/informe-de-un-auditor-sobre-el-diseno-y-la-eficacia-de-los-controles-de-la-entidad/?referer=L-excel-formato&amp;utm_medium=act_formato_excel&amp;utm_source=act_formato_excel&amp;utm_campaign=act_formato_excel&amp;utm_content=act_formato_excel_link" xr:uid="{C91BE588-EC3D-457C-BA71-475B7CE314FC}"/>
    <hyperlink ref="B3523" r:id="rId931" display="https://actualicese.com/personas-naturales-no-residentes-obligadas-o-no-a-declarar-impuesto-de-renta/?referer=L-excel-formato&amp;utm_medium=act_formato_excel&amp;utm_source=act_formato_excel&amp;utm_campaign=act_formato_excel&amp;utm_content=act_formato_excel_link" xr:uid="{65B64519-4E89-428E-BDD6-FBA97AD0FF98}"/>
    <hyperlink ref="B3525" r:id="rId932" display="https://actualicese.com/tratamiento-contable-arrendamiento-financiero-con-opcion-de-compra/?referer=L-excel-formato&amp;utm_medium=act_formato_excel&amp;utm_source=act_formato_excel&amp;utm_campaign=act_formato_excel&amp;utm_content=act_formato_excel_link" xr:uid="{47A75495-186A-4D29-AC08-73143B059A3C}"/>
    <hyperlink ref="B3527" r:id="rId933" display="https://actualicese.com/residencia-fiscal-y-sus-implicaciones-fiscales/?referer=L-excel-formato&amp;utm_medium=act_formato_excel&amp;utm_source=act_formato_excel&amp;utm_campaign=act_formato_excel&amp;utm_content=act_formato_excel_link" xr:uid="{BC0D5FF3-2EAC-421D-9141-D2A8854587B8}"/>
    <hyperlink ref="B3529" r:id="rId934" display="https://actualicese.com/impuesto-de-renta-y-ganancia-ocasional-segun-residencia-fiscal-de-la-persona-natural/?referer=L-excel-formato&amp;utm_medium=act_formato_excel&amp;utm_source=act_formato_excel&amp;utm_campaign=act_formato_excel&amp;utm_content=act_formato_excel_link" xr:uid="{69EA52D3-A0CB-4DE2-BD0E-F655EF86D1E7}"/>
    <hyperlink ref="B3531" r:id="rId935" display="https://actualicese.com/solicitud-compensacion-de-vacaciones/?referer=L-excel-formato&amp;utm_medium=act_formato_excel&amp;utm_source=act_formato_excel&amp;utm_campaign=act_formato_excel&amp;utm_content=act_formato_excel_link" xr:uid="{CE834ADA-EF3E-4FE9-8F03-E5AE58A9E75B}"/>
    <hyperlink ref="B3533" r:id="rId936" display="https://actualicese.com/politica-contable-de-arrendamientos-para-entidades-de-grupo-1/?referer=L-excel-formato&amp;utm_medium=act_formato_excel&amp;utm_source=act_formato_excel&amp;utm_campaign=act_formato_excel&amp;utm_content=act_formato_excel_link" xr:uid="{5AE8433D-7665-438B-A14E-E18473AB49A4}"/>
    <hyperlink ref="B3535" r:id="rId937" display="https://actualicese.com/requisitos-para-que-persona-natural-quede-exonerada-de-declarar-renta-por-el-ano-gravable-2017/?referer=L-excel-formato&amp;utm_medium=act_formato_excel&amp;utm_source=act_formato_excel&amp;utm_campaign=act_formato_excel&amp;utm_content=act_formato_excel_link" xr:uid="{648D34F1-554A-46F2-B2CF-0A1613C8B5C5}"/>
    <hyperlink ref="B3537" r:id="rId938" display="https://actualicese.com/personas-naturales-obligadas-o-no-a-llevar-contabilidad-e-implicaciones-contables-y-tributarias/?referer=L-excel-formato&amp;utm_medium=act_formato_excel&amp;utm_source=act_formato_excel&amp;utm_campaign=act_formato_excel&amp;utm_content=act_formato_excel_link" xr:uid="{2822DA09-C51B-4D1F-8982-B327207058FD}"/>
    <hyperlink ref="B3539" r:id="rId939" display="https://actualicese.com/politicas-contables-en-pymes-para-los-intangibles/?referer=L-excel-formato&amp;utm_medium=act_formato_excel&amp;utm_source=act_formato_excel&amp;utm_campaign=act_formato_excel&amp;utm_content=act_formato_excel_link" xr:uid="{6B0A7D66-61E7-4332-8AF9-30703328AE59}"/>
    <hyperlink ref="B3541" r:id="rId940" display="https://actualicese.com/porcentaje-fijo-de-retencion-en-la-fuente-sobre-salarios-en-junio-de-2018-procedimiento-2/?referer=L-excel-formato&amp;utm_medium=act_formato_excel&amp;utm_source=act_formato_excel&amp;utm_campaign=act_formato_excel&amp;utm_content=act_formato_excel_link" xr:uid="{D9978E7C-C592-4A17-A381-A61795825C4C}"/>
    <hyperlink ref="B3543" r:id="rId941" display="https://actualicese.com/contestacion-de-demanda-proceso-ordinario-laboral/?referer=L-excel-formato&amp;utm_medium=act_formato_excel&amp;utm_source=act_formato_excel&amp;utm_campaign=act_formato_excel&amp;utm_content=act_formato_excel_link" xr:uid="{019BB307-97A6-4ECA-9176-F733B1008C8E}"/>
    <hyperlink ref="B3545" r:id="rId942" display="https://actualicese.com/calculo-de-la-contribucion-2018-a-supersociedades/?referer=L-excel-formato&amp;utm_medium=act_formato_excel&amp;utm_source=act_formato_excel&amp;utm_campaign=act_formato_excel&amp;utm_content=act_formato_excel_link" xr:uid="{4AD279BE-20EF-48B7-B319-4F346A8F0AC1}"/>
    <hyperlink ref="B3547" r:id="rId943" display="https://actualicese.com/conceptos-que-se-someten-o-no-a-limites-de-rentas-y-deducciones-especiales/?referer=L-excel-formato&amp;utm_medium=act_formato_excel&amp;utm_source=act_formato_excel&amp;utm_campaign=act_formato_excel&amp;utm_content=act_formato_excel_link" xr:uid="{A52C064E-0E5C-44FE-90F9-2FF9AC5837B4}"/>
    <hyperlink ref="B3549" r:id="rId944" display="https://actualicese.com/recurso-de-reposicion-proceso-laboral/?referer=L-excel-formato&amp;utm_medium=act_formato_excel&amp;utm_source=act_formato_excel&amp;utm_campaign=act_formato_excel&amp;utm_content=act_formato_excel_link" xr:uid="{12A7F4A5-414A-4A64-9EFC-C46010AE6E4B}"/>
    <hyperlink ref="B3551" r:id="rId945" display="https://actualicese.com/liquidador-de-vacaciones/?referer=L-excel-formato&amp;utm_medium=act_formato_excel&amp;utm_source=act_formato_excel&amp;utm_campaign=act_formato_excel&amp;utm_content=act_formato_excel_link" xr:uid="{1E130293-FD9F-49F6-8B3B-2FDB9EDC747F}"/>
    <hyperlink ref="B3553" r:id="rId946" display="https://actualicese.com/poder-de-sustitucion/?referer=L-excel-formato&amp;utm_medium=act_formato_excel&amp;utm_source=act_formato_excel&amp;utm_campaign=act_formato_excel&amp;utm_content=act_formato_excel_link" xr:uid="{39FE40B7-4301-4AEB-8EF7-02EF2B013F16}"/>
    <hyperlink ref="B3555" r:id="rId947" display="https://actualicese.com/informe-sobre-los-hallazgos-obtenidos-en-las-propiedades-planta-y-equipo/?referer=L-excel-formato&amp;utm_medium=act_formato_excel&amp;utm_source=act_formato_excel&amp;utm_campaign=act_formato_excel&amp;utm_content=act_formato_excel_link" xr:uid="{443208E7-02F6-4A97-AEA2-D18E81490F59}"/>
    <hyperlink ref="B3557" r:id="rId948" display="https://actualicese.com/doctrinas-de-la-dian-para-tener-en-cuenta-al-elaborar-declaracion-de-renta-personas-naturales-2017/?referer=L-excel-formato&amp;utm_medium=act_formato_excel&amp;utm_source=act_formato_excel&amp;utm_campaign=act_formato_excel&amp;utm_content=act_formato_excel_link" xr:uid="{9457BF3A-15B6-4F80-A4CA-5BA6BE7D7308}"/>
    <hyperlink ref="B3559" r:id="rId949" display="https://actualicese.com/depuracion-a-efectuar-dentro-de-las-5-cedulas-de-la-declaracion-de-renta-de-personas-naturales/?referer=L-excel-formato&amp;utm_medium=act_formato_excel&amp;utm_source=act_formato_excel&amp;utm_campaign=act_formato_excel&amp;utm_content=act_formato_excel_link" xr:uid="{6D79920B-95E0-4AC4-903D-43C34C439D69}"/>
    <hyperlink ref="B3561" r:id="rId950" display="https://actualicese.com/formulario-210-para-declaracion-renta-ano-gravable-2017-obligados-a-llevar-contabilidad/?referer=L-excel-formato&amp;utm_medium=act_formato_excel&amp;utm_source=act_formato_excel&amp;utm_campaign=act_formato_excel&amp;utm_content=act_formato_excel_link" xr:uid="{DCDFE4D5-70D8-4F03-A92B-EAE2881D1974}"/>
    <hyperlink ref="B3563" r:id="rId951" display="https://actualicese.com/solicitud-de-deposito-de-recursos-a-cuenta-afc-para-que-no-se-practique-retefuente/?referer=L-excel-formato&amp;utm_medium=act_formato_excel&amp;utm_source=act_formato_excel&amp;utm_campaign=act_formato_excel&amp;utm_content=act_formato_excel_link" xr:uid="{356D0019-4AD7-4C28-8BD6-98EED6D2EE5E}"/>
    <hyperlink ref="B3565" r:id="rId952" display="https://actualicese.com/formulario-110-declaracion-de-renta-2017-de-personas-naturales-obligadas-a-llevar-contabilidad/?referer=L-excel-formato&amp;utm_medium=act_formato_excel&amp;utm_source=act_formato_excel&amp;utm_campaign=act_formato_excel&amp;utm_content=act_formato_excel_link" xr:uid="{78AE402B-C8F9-4F19-96CA-D02C715BC8D0}"/>
    <hyperlink ref="B3567" r:id="rId953" display="https://actualicese.com/notificacion-de-no-renovacion-de-contrato-laboral-a-termino-fijo/?referer=L-excel-formato&amp;utm_medium=act_formato_excel&amp;utm_source=act_formato_excel&amp;utm_campaign=act_formato_excel&amp;utm_content=act_formato_excel_link" xr:uid="{0C0BDAA4-B339-4DCC-8FE6-32CB5977FA52}"/>
    <hyperlink ref="B3569" r:id="rId954" display="https://actualicese.com/formulario-210-para-declaracion-renta-ano-gravable-2017-no-obligados-a-llevar-contabilidad/?referer=L-excel-formato&amp;utm_medium=act_formato_excel&amp;utm_source=act_formato_excel&amp;utm_campaign=act_formato_excel&amp;utm_content=act_formato_excel_link" xr:uid="{1B638D87-CB6A-4A91-ADB9-580DF28A45AA}"/>
    <hyperlink ref="B3571" r:id="rId955" display="https://actualicese.com/informe-sobre-los-hallazgos-obtenidos-en-las-cuentas-por-cobrar-en-una-pyme/?referer=L-excel-formato&amp;utm_medium=act_formato_excel&amp;utm_source=act_formato_excel&amp;utm_campaign=act_formato_excel&amp;utm_content=act_formato_excel_link" xr:uid="{486805A9-005C-4774-BDD1-7336B3FEB25B}"/>
    <hyperlink ref="B3573" r:id="rId956" display="https://actualicese.com/beneficios-tributarios-por-venta-o-herencia-de-bien-inmueble/?referer=L-excel-formato&amp;utm_medium=act_formato_excel&amp;utm_source=act_formato_excel&amp;utm_campaign=act_formato_excel&amp;utm_content=act_formato_excel_link" xr:uid="{1E6E70F4-C671-499D-857D-C8C017F57539}"/>
    <hyperlink ref="B3575" r:id="rId957" display="https://actualicese.com/declaracion-de-renta-ano-gravable-2017-indicadores-y-otros-datos-basicos-para-su-elaboracion/?referer=L-excel-formato&amp;utm_medium=act_formato_excel&amp;utm_source=act_formato_excel&amp;utm_campaign=act_formato_excel&amp;utm_content=act_formato_excel_link" xr:uid="{132BE566-8FBE-4325-AE1D-89B61F17BE6B}"/>
    <hyperlink ref="B3577" r:id="rId958" display="https://actualicese.com/cobro-coactivo-conozca-si-la-dian-deberia-levantar-medida-cautelar-sobre-un-bien-del-contribuyente/?referer=L-excel-formato&amp;utm_medium=act_formato_excel&amp;utm_source=act_formato_excel&amp;utm_campaign=act_formato_excel&amp;utm_content=act_formato_excel_link" xr:uid="{8314B46F-DB4E-422F-BE64-9F1E2B7CEE3C}"/>
    <hyperlink ref="B3579" r:id="rId959" display="https://actualicese.com/revocatoria-de-poder-otorgado-a-un-abogado/?referer=L-excel-formato&amp;utm_medium=act_formato_excel&amp;utm_source=act_formato_excel&amp;utm_campaign=act_formato_excel&amp;utm_content=act_formato_excel_link" xr:uid="{F3EAA60D-D12B-4833-BBE3-12079976AC69}"/>
    <hyperlink ref="B3581" r:id="rId960" display="https://actualicese.com/formulario-110-declaracion-de-renta-2017-de-personas-naturales-no-obligadas-a-llevar-contabilidad/?referer=L-excel-formato&amp;utm_medium=act_formato_excel&amp;utm_source=act_formato_excel&amp;utm_campaign=act_formato_excel&amp;utm_content=act_formato_excel_link" xr:uid="{F1751565-5EF6-4B7F-9B7B-3342734F3506}"/>
    <hyperlink ref="B3583" r:id="rId961" display="https://actualicese.com/rentas-exentas-y-deducciones-aplicables-a-cada-cedula/?referer=L-excel-formato&amp;utm_medium=act_formato_excel&amp;utm_source=act_formato_excel&amp;utm_campaign=act_formato_excel&amp;utm_content=act_formato_excel_link" xr:uid="{27FE99BD-E3EE-43B2-B0F1-A747AF2C8138}"/>
    <hyperlink ref="B3585" r:id="rId962" display="https://actualicese.com/notificacion-de-ultimo-cobro-extrajudicial/?referer=L-excel-formato&amp;utm_medium=act_formato_excel&amp;utm_source=act_formato_excel&amp;utm_campaign=act_formato_excel&amp;utm_content=act_formato_excel_link" xr:uid="{156A9C12-6EB8-4555-9FB3-E1A2221C5321}"/>
    <hyperlink ref="B3587" r:id="rId963" display="https://actualicese.com/cumplimiento-de-requisitos-para-solicitar-permanencia-en-el-regimen-tributario-especial/?referer=L-excel-formato&amp;utm_medium=act_formato_excel&amp;utm_source=act_formato_excel&amp;utm_campaign=act_formato_excel&amp;utm_content=act_formato_excel_link" xr:uid="{7D95C9E4-1203-4815-8D8A-1F0E06A9467B}"/>
    <hyperlink ref="B3589" r:id="rId964" display="https://actualicese.com/antecedentes-de-directivos-en-entidades-del-regimen-especial/?referer=L-excel-formato&amp;utm_medium=act_formato_excel&amp;utm_source=act_formato_excel&amp;utm_campaign=act_formato_excel&amp;utm_content=act_formato_excel_link" xr:uid="{BBE29E4A-57A0-4022-ADF6-F9FCC284E046}"/>
    <hyperlink ref="B3591" r:id="rId965" display="https://actualicese.com/plantilla-para-elaborar-xml-de-formatos-1004-1011-y-2275-para-el-ano-gravable-2017/?referer=L-excel-formato&amp;utm_medium=act_formato_excel&amp;utm_source=act_formato_excel&amp;utm_campaign=act_formato_excel&amp;utm_content=act_formato_excel_link" xr:uid="{49B0E93F-C3EC-42BB-87E1-059256D4191B}"/>
    <hyperlink ref="B3593" r:id="rId966" display="https://actualicese.com/registro-web-de-las-entidades-del-regimen-especial-tramites-que-debe-realizar-cada-tipo-de-entidad/?referer=L-excel-formato&amp;utm_medium=act_formato_excel&amp;utm_source=act_formato_excel&amp;utm_campaign=act_formato_excel&amp;utm_content=act_formato_excel_link" xr:uid="{36F5062C-A401-4A43-842E-E4238357F63F}"/>
    <hyperlink ref="B3595" r:id="rId967" display="https://actualicese.com/reforma-al-acuerdo-de-reorganizacion/?referer=L-excel-formato&amp;utm_medium=act_formato_excel&amp;utm_source=act_formato_excel&amp;utm_campaign=act_formato_excel&amp;utm_content=act_formato_excel_link" xr:uid="{CD5B9EE4-91CE-4FB7-867D-8B1ABD391906}"/>
    <hyperlink ref="B3597" r:id="rId968" display="https://actualicese.com/clasificacion-general-de-personas-juridicas-en-relacion-con-el-impuesto-de-renta-por-el-2017/?referer=L-excel-formato&amp;utm_medium=act_formato_excel&amp;utm_source=act_formato_excel&amp;utm_campaign=act_formato_excel&amp;utm_content=act_formato_excel_link" xr:uid="{604A7757-E235-473C-B150-38A2FF729206}"/>
    <hyperlink ref="B3599" r:id="rId969" display="https://actualicese.com/informe-de-revision-de-estados-financieros-de-una-pyme-conforme-a-la-nier-2400/?referer=L-excel-formato&amp;utm_medium=act_formato_excel&amp;utm_source=act_formato_excel&amp;utm_campaign=act_formato_excel&amp;utm_content=act_formato_excel_link" xr:uid="{F2D8CB9C-7A5C-4775-A878-A1C307229D06}"/>
    <hyperlink ref="B3601" r:id="rId970" display="https://actualicese.com/solicitud-de-normalizacion-de-acreencias/?referer=L-excel-formato&amp;utm_medium=act_formato_excel&amp;utm_source=act_formato_excel&amp;utm_campaign=act_formato_excel&amp;utm_content=act_formato_excel_link" xr:uid="{66C48B4A-1071-454B-9FC7-3AE91CA3B410}"/>
    <hyperlink ref="B3603" r:id="rId971" display="https://actualicese.com/normalizacion-de-acreencias-incumplidas-en-proceso-de-reorganizacion/?referer=L-excel-formato&amp;utm_medium=act_formato_excel&amp;utm_source=act_formato_excel&amp;utm_campaign=act_formato_excel&amp;utm_content=act_formato_excel_link" xr:uid="{737596BF-A8BA-412F-BB52-0C922639B800}"/>
    <hyperlink ref="B3605" r:id="rId972" display="https://actualicese.com/levantamiento-de-medida-cautelar-en-proceso-de-reorganizacion/?referer=L-excel-formato&amp;utm_medium=act_formato_excel&amp;utm_source=act_formato_excel&amp;utm_campaign=act_formato_excel&amp;utm_content=act_formato_excel_link" xr:uid="{4EF636D6-6EC9-45C9-AFD8-FB44532C45A3}"/>
    <hyperlink ref="B3607" r:id="rId973" display="https://actualicese.com/incorporacion-de-procesos-ejecutivos-en-proceso-de-reorganizacion-empresarial/?referer=L-excel-formato&amp;utm_medium=act_formato_excel&amp;utm_source=act_formato_excel&amp;utm_campaign=act_formato_excel&amp;utm_content=act_formato_excel_link" xr:uid="{866E34F3-5360-43C3-963E-B2F678BB1DFB}"/>
    <hyperlink ref="B3609" r:id="rId974" display="https://actualicese.com/remision-de-documentos-reunion-de-acreedores/?referer=L-excel-formato&amp;utm_medium=act_formato_excel&amp;utm_source=act_formato_excel&amp;utm_campaign=act_formato_excel&amp;utm_content=act_formato_excel_link" xr:uid="{BDD2C9F8-BFD9-453F-A5C7-EEFC99B1CB24}"/>
    <hyperlink ref="B3611" r:id="rId975" display="https://actualicese.com/presentacion-de-reforma-de-acuerdo-de-reorganizacion/?referer=L-excel-formato&amp;utm_medium=act_formato_excel&amp;utm_source=act_formato_excel&amp;utm_campaign=act_formato_excel&amp;utm_content=act_formato_excel_link" xr:uid="{F3CCC16D-2C71-468D-B04E-8DD53D53B56A}"/>
    <hyperlink ref="B3613" r:id="rId976" display="https://actualicese.com/denuncia-por-incumplimiento-de-obligacion-de-hacer-en-acuerdo-de-reorganizacion/?referer=L-excel-formato&amp;utm_medium=act_formato_excel&amp;utm_source=act_formato_excel&amp;utm_campaign=act_formato_excel&amp;utm_content=act_formato_excel_link" xr:uid="{33C6D4C1-796C-400F-9CE3-85F2DA300F53}"/>
    <hyperlink ref="B3615" r:id="rId977" display="https://actualicese.com/denuncia-de-incumplimiento-de-acuerdo-de-reestructuracion/?referer=L-excel-formato&amp;utm_medium=act_formato_excel&amp;utm_source=act_formato_excel&amp;utm_campaign=act_formato_excel&amp;utm_content=act_formato_excel_link" xr:uid="{E648F238-A045-4231-83E8-E68C97EA8FA2}"/>
    <hyperlink ref="B3617" r:id="rId978" display="https://actualicese.com/certificacion-certificacion-trimestral-de-cumplimiento-total-de-la-circular-156-000005-de-2011/?referer=L-excel-formato&amp;utm_medium=act_formato_excel&amp;utm_source=act_formato_excel&amp;utm_campaign=act_formato_excel&amp;utm_content=act_formato_excel_link" xr:uid="{ADA57A9E-6780-4968-84B0-DA08FC5A9E2E}"/>
    <hyperlink ref="B3619" r:id="rId979" display="https://actualicese.com/oficio-de-cumplimiento-de-la-circular-156-000005-de-2011/?referer=L-excel-formato&amp;utm_medium=act_formato_excel&amp;utm_source=act_formato_excel&amp;utm_campaign=act_formato_excel&amp;utm_content=act_formato_excel_link" xr:uid="{FD238363-92E6-4A60-A84E-12BBDA9005C2}"/>
    <hyperlink ref="B3621" r:id="rId980" display="https://actualicese.com/certificacion-de-cumplimiento-de-circular-156-000005-de-2011/?referer=L-excel-formato&amp;utm_medium=act_formato_excel&amp;utm_source=act_formato_excel&amp;utm_campaign=act_formato_excel&amp;utm_content=act_formato_excel_link" xr:uid="{1194AFD7-B0E8-4632-BA90-696F77FD8E32}"/>
    <hyperlink ref="B3623" r:id="rId981" display="https://actualicese.com/formatos-exogena-1011-1012-y-2275-por-el-ano-gravable-2017-reporte-de-otros-datos-en-renta-e-iva/?referer=L-excel-formato&amp;utm_medium=act_formato_excel&amp;utm_source=act_formato_excel&amp;utm_campaign=act_formato_excel&amp;utm_content=act_formato_excel_link" xr:uid="{30532CDB-0725-46A2-B12C-00351861BF3B}"/>
    <hyperlink ref="B3625" r:id="rId982" display="https://actualicese.com/formato-exogena-1009-por-el-ano-gravable-2017-reporte-de-cuentas-por-pagar/?referer=L-excel-formato&amp;utm_medium=act_formato_excel&amp;utm_source=act_formato_excel&amp;utm_campaign=act_formato_excel&amp;utm_content=act_formato_excel_link" xr:uid="{246A4D8B-6403-4885-93D0-61E6D05021BE}"/>
    <hyperlink ref="B3627" r:id="rId983" display="https://actualicese.com/formatos-de-exogena-por-el-ano-gravable-2017-reportes-de-los-mandatarios/?referer=L-excel-formato&amp;utm_medium=act_formato_excel&amp;utm_source=act_formato_excel&amp;utm_campaign=act_formato_excel&amp;utm_content=act_formato_excel_link" xr:uid="{A8AB3917-6D40-488E-ADFA-F3D175A83F09}"/>
    <hyperlink ref="B3629" r:id="rId984" display="https://actualicese.com/formato-exogena-1008-por-el-ano-gravable-2017-reporte-de-cuentas-por-cobrar/?referer=L-excel-formato&amp;utm_medium=act_formato_excel&amp;utm_source=act_formato_excel&amp;utm_campaign=act_formato_excel&amp;utm_content=act_formato_excel_link" xr:uid="{168C57A3-B7D3-4234-9700-2AF9B8A63CD3}"/>
    <hyperlink ref="B3631" r:id="rId985" display="https://actualicese.com/formato-exogena-1007-por-el-ano-gravable-2017-reportes-de-ingresos-propios/?referer=L-excel-formato&amp;utm_medium=act_formato_excel&amp;utm_source=act_formato_excel&amp;utm_campaign=act_formato_excel&amp;utm_content=act_formato_excel_link" xr:uid="{85F6C16F-8D43-469A-BC5D-A0B9E7DCCD40}"/>
    <hyperlink ref="B3633" r:id="rId986" display="https://actualicese.com/formatos-exogena-1005-y-1006-por-el-ano-gravable-2017-reportes-de-iva-generados-y-descontables/?referer=L-excel-formato&amp;utm_medium=act_formato_excel&amp;utm_source=act_formato_excel&amp;utm_campaign=act_formato_excel&amp;utm_content=act_formato_excel_link" xr:uid="{95007646-6AC8-4A6A-BC6A-8AFAAF8AE41D}"/>
    <hyperlink ref="B3635" r:id="rId987" display="https://actualicese.com/formato-exogena-1003-por-el-ano-gravable-2017-retenciones-que-le-practicaron-al-informante/?referer=L-excel-formato&amp;utm_medium=act_formato_excel&amp;utm_source=act_formato_excel&amp;utm_campaign=act_formato_excel&amp;utm_content=act_formato_excel_link" xr:uid="{1CE99C4E-58CF-42D9-99B9-F3AFB9E869A4}"/>
    <hyperlink ref="B3637" r:id="rId988" display="https://actualicese.com/resumen-de-categorias-de-informantes-de-exogena-por-el-ano-gravable-2017-y-formatos-que-deben-usar/?referer=L-excel-formato&amp;utm_medium=act_formato_excel&amp;utm_source=act_formato_excel&amp;utm_campaign=act_formato_excel&amp;utm_content=act_formato_excel_link" xr:uid="{A3C20CE7-991E-4490-BAD7-F6ADB611BFE8}"/>
    <hyperlink ref="B3639" r:id="rId989" display="https://actualicese.com/formato-exogena-1004-por-2017-reporte-de-descuentos-al-impuesto-de-renta-y-ganancia-ocasional/?referer=L-excel-formato&amp;utm_medium=act_formato_excel&amp;utm_source=act_formato_excel&amp;utm_campaign=act_formato_excel&amp;utm_content=act_formato_excel_link" xr:uid="{B3482EF8-9EB9-457B-9163-B90C1ADE947B}"/>
    <hyperlink ref="B3641" r:id="rId990" display="https://actualicese.com/formatos-2276-2278-y-2280-para-el-reporte-de-informacion-exogena-por-2017/?referer=L-excel-formato&amp;utm_medium=act_formato_excel&amp;utm_source=act_formato_excel&amp;utm_campaign=act_formato_excel&amp;utm_content=act_formato_excel_link" xr:uid="{EB4A60C7-CC68-4F2F-99C1-604B20D2251E}"/>
    <hyperlink ref="B3643" r:id="rId991" display="https://actualicese.com/formato-exogena-1647-por-el-ano-gravable-2017-reporte-de-ingresos-recibidos-para-terceros/?referer=L-excel-formato&amp;utm_medium=act_formato_excel&amp;utm_source=act_formato_excel&amp;utm_campaign=act_formato_excel&amp;utm_content=act_formato_excel_link" xr:uid="{4FB085C7-D18F-4A9B-B599-38FFF9055824}"/>
    <hyperlink ref="B3645" r:id="rId992" display="https://actualicese.com/formato-exogena-1010-por-el-ano-gravable-2017-reporte-de-socios-cooperados-o-comuneros/?referer=L-excel-formato&amp;utm_medium=act_formato_excel&amp;utm_source=act_formato_excel&amp;utm_campaign=act_formato_excel&amp;utm_content=act_formato_excel_link" xr:uid="{3FA71507-66C2-4C5B-8C59-063BF26604E0}"/>
    <hyperlink ref="B3647" r:id="rId993" display="https://actualicese.com/formato-exogena-1001-por-el-ano-gravable-2017-reporte-de-pagos-o-abonos-en-cuenta/?referer=L-excel-formato&amp;utm_medium=act_formato_excel&amp;utm_source=act_formato_excel&amp;utm_campaign=act_formato_excel&amp;utm_content=act_formato_excel_link" xr:uid="{D9E550DC-3613-461B-8071-1512F490B1DF}"/>
    <hyperlink ref="B3649" r:id="rId994" display="https://actualicese.com/reglamentacion-para-la-declaracion-de-renta-de-personas-juridicas-2017/?referer=L-excel-formato&amp;utm_medium=act_formato_excel&amp;utm_source=act_formato_excel&amp;utm_campaign=act_formato_excel&amp;utm_content=act_formato_excel_link" xr:uid="{56BD7065-80D1-4E36-BF1C-CB6D75F1F5D3}"/>
    <hyperlink ref="B3651" r:id="rId995" display="https://actualicese.com/formulario-110-y-formato-2516-para-declaracion-de-renta-o-ingresos-y-patrimonio-2017/?referer=L-excel-formato&amp;utm_medium=act_formato_excel&amp;utm_source=act_formato_excel&amp;utm_campaign=act_formato_excel&amp;utm_content=act_formato_excel_link" xr:uid="{261B018C-00CA-4EC1-ADB4-6833E70EF750}"/>
    <hyperlink ref="B3653" r:id="rId996" display="https://actualicese.com/arqueo-de-caja/?referer=L-excel-formato&amp;utm_medium=act_formato_excel&amp;utm_source=act_formato_excel&amp;utm_campaign=act_formato_excel&amp;utm_content=act_formato_excel_link" xr:uid="{2EB8D14F-95F2-42A6-9EF1-8BA3F6DDDF3F}"/>
    <hyperlink ref="B3655" r:id="rId997" display="https://actualicese.com/beneficio-neto-o-excedente-de-las-entidades-del-regimen-tributario-especial/?referer=L-excel-formato&amp;utm_medium=act_formato_excel&amp;utm_source=act_formato_excel&amp;utm_campaign=act_formato_excel&amp;utm_content=act_formato_excel_link" xr:uid="{D155D818-EAB0-4596-A443-503828FBF75E}"/>
    <hyperlink ref="B3657" r:id="rId998" display="https://actualicese.com/liquidador-basico-de-nomina/?referer=L-excel-formato&amp;utm_medium=act_formato_excel&amp;utm_source=act_formato_excel&amp;utm_campaign=act_formato_excel&amp;utm_content=act_formato_excel_link" xr:uid="{AB576F9B-916E-4B68-BED0-001FBCC2D009}"/>
    <hyperlink ref="B3659" r:id="rId999" display="https://actualicese.com/explotacion-de-areas-comunes-por-copropiedades-comerciales-o-mixtas/?referer=L-excel-formato&amp;utm_medium=act_formato_excel&amp;utm_source=act_formato_excel&amp;utm_campaign=act_formato_excel&amp;utm_content=act_formato_excel_link" xr:uid="{614DC9BA-326F-4824-BD7F-82FB9B92516F}"/>
    <hyperlink ref="B3661" r:id="rId1000" display="https://actualicese.com/costo-de-renovacion-2018-de-matricula-mercantil-y-establecimientos-de-comercio/?referer=L-excel-formato&amp;utm_medium=act_formato_excel&amp;utm_source=act_formato_excel&amp;utm_campaign=act_formato_excel&amp;utm_content=act_formato_excel_link" xr:uid="{32A0AFE8-D610-407E-B45A-F8482153E4AB}"/>
    <hyperlink ref="B3663" r:id="rId1001" display="https://actualicese.com/formulario-220-certificado-por-rentas-de-trabajo-del-ano-gravable-2017-ejemplo-de-asalariados/?referer=L-excel-formato&amp;utm_medium=act_formato_excel&amp;utm_source=act_formato_excel&amp;utm_campaign=act_formato_excel&amp;utm_content=act_formato_excel_link" xr:uid="{5390D3E9-0978-4239-B792-BC8A239FB270}"/>
    <hyperlink ref="B3665" r:id="rId1002" display="https://actualicese.com/testamento-abierto-o-publico-cuando-no-hay-hijos-herederos/?referer=L-excel-formato&amp;utm_medium=act_formato_excel&amp;utm_source=act_formato_excel&amp;utm_campaign=act_formato_excel&amp;utm_content=act_formato_excel_link" xr:uid="{BB99E945-1F61-4BB7-9276-B8E8B8FCC3C0}"/>
    <hyperlink ref="B3667" r:id="rId1003" display="https://actualicese.com/aplicativo-simulador-y-comparativo-de-creditos-cuota-fija/?referer=L-excel-formato&amp;utm_medium=act_formato_excel&amp;utm_source=act_formato_excel&amp;utm_campaign=act_formato_excel&amp;utm_content=act_formato_excel_link" xr:uid="{2790E01A-44C7-4DC2-9207-C31805C47303}"/>
    <hyperlink ref="B3669" r:id="rId1004" display="https://actualicese.com/calendarios-tributarios-2018-de-los-distritos-y-municipios-principales-de-colombia/?referer=L-excel-formato&amp;utm_medium=act_formato_excel&amp;utm_source=act_formato_excel&amp;utm_campaign=act_formato_excel&amp;utm_content=act_formato_excel_link" xr:uid="{36DFFE8A-84D2-46C8-A7BB-906B9A4446C5}"/>
    <hyperlink ref="B3671" r:id="rId1005" display="https://actualicese.com/amparo-de-pobreza/?referer=L-excel-formato&amp;utm_medium=act_formato_excel&amp;utm_source=act_formato_excel&amp;utm_campaign=act_formato_excel&amp;utm_content=act_formato_excel_link" xr:uid="{7D9723C3-7D65-476E-9575-46EB3711E014}"/>
    <hyperlink ref="B3673" r:id="rId1006" display="https://actualicese.com/sanciones-relacionadas-con-ica-impuesto-predial-y-de-vehiculos-en-bogota/?referer=L-excel-formato&amp;utm_medium=act_formato_excel&amp;utm_source=act_formato_excel&amp;utm_campaign=act_formato_excel&amp;utm_content=act_formato_excel_link" xr:uid="{6848824E-3B65-4661-9790-BEBFD0F8E699}"/>
    <hyperlink ref="B3675" r:id="rId1007" display="https://actualicese.com/calculo-de-tasa-de-interes-efectiva-implicita-en-una-cuota/?referer=L-excel-formato&amp;utm_medium=act_formato_excel&amp;utm_source=act_formato_excel&amp;utm_campaign=act_formato_excel&amp;utm_content=act_formato_excel_link" xr:uid="{5B495F23-51BB-4ACA-BF8E-2275B5C43A3F}"/>
    <hyperlink ref="B3677" r:id="rId1008" display="https://actualicese.com/poder-para-adelantar-sucesion-ante-notaria/?referer=L-excel-formato&amp;utm_medium=act_formato_excel&amp;utm_source=act_formato_excel&amp;utm_campaign=act_formato_excel&amp;utm_content=act_formato_excel_link" xr:uid="{6D8836B8-F1AB-41EF-ADFF-C9A9FFBB4220}"/>
    <hyperlink ref="B3679" r:id="rId1009" display="https://actualicese.com/conversion-de-tasas-de-interes/?referer=L-excel-formato&amp;utm_medium=act_formato_excel&amp;utm_source=act_formato_excel&amp;utm_campaign=act_formato_excel&amp;utm_content=act_formato_excel_link" xr:uid="{E6667A5B-A935-4E88-B744-D710086F3FD1}"/>
    <hyperlink ref="B3681" r:id="rId1010" display="https://actualicese.com/calendario-tributario-de-cali-2018/?referer=L-excel-formato&amp;utm_medium=act_formato_excel&amp;utm_source=act_formato_excel&amp;utm_campaign=act_formato_excel&amp;utm_content=act_formato_excel_link" xr:uid="{7E52A6B8-84BF-4EFA-924B-9E7E5C758F6C}"/>
    <hyperlink ref="B3683" r:id="rId1011" display="https://actualicese.com/calendario-tributario-de-medellin-2018/?referer=L-excel-formato&amp;utm_medium=act_formato_excel&amp;utm_source=act_formato_excel&amp;utm_campaign=act_formato_excel&amp;utm_content=act_formato_excel_link" xr:uid="{712BC1B1-B009-408D-9C49-494BC090DA0C}"/>
    <hyperlink ref="B3685" r:id="rId1012" display="https://actualicese.com/calendarios-tributarios-de-las-tres-principales-ciudades-de-colombia-2018/?referer=L-excel-formato&amp;utm_medium=act_formato_excel&amp;utm_source=act_formato_excel&amp;utm_campaign=act_formato_excel&amp;utm_content=act_formato_excel_link" xr:uid="{81958F6F-2C68-45CF-9BD8-8FF55E957A85}"/>
    <hyperlink ref="B3687" r:id="rId1013" display="https://actualicese.com/escritura-publica-de-disolucion-de-sociedad-comercial/?referer=L-excel-formato&amp;utm_medium=act_formato_excel&amp;utm_source=act_formato_excel&amp;utm_campaign=act_formato_excel&amp;utm_content=act_formato_excel_link" xr:uid="{722333EA-20A4-49BD-BF14-E3422F336B15}"/>
    <hyperlink ref="B3689" r:id="rId1014" display="https://actualicese.com/plantilla-para-elaborar-formulario-220-certificado-por-rentas-de-trabajo-del-ano-gravable-2017/?referer=L-excel-formato&amp;utm_medium=act_formato_excel&amp;utm_source=act_formato_excel&amp;utm_campaign=act_formato_excel&amp;utm_content=act_formato_excel_link" xr:uid="{99B5D803-56F8-49AA-AFDA-FE9777216F8A}"/>
    <hyperlink ref="B3691" r:id="rId1015" display="https://actualicese.com/decretos-reglamentarios-de-la-ley-de-reforma-tributaria-1819-de-2016-expedidos-a-finales-de-2017/?referer=L-excel-formato&amp;utm_medium=act_formato_excel&amp;utm_source=act_formato_excel&amp;utm_campaign=act_formato_excel&amp;utm_content=act_formato_excel_link" xr:uid="{FD65F8FC-3233-4050-A25C-1E8B4ADFA98F}"/>
    <hyperlink ref="B3693" r:id="rId1016" display="https://actualicese.com/demanda-para-fijacion-de-nuevo-valor-de-arrendamiento-de-local-comercial/?referer=L-excel-formato&amp;utm_medium=act_formato_excel&amp;utm_source=act_formato_excel&amp;utm_campaign=act_formato_excel&amp;utm_content=act_formato_excel_link" xr:uid="{984DAE0E-0494-497A-A250-1ED33C204AD0}"/>
    <hyperlink ref="B3695" r:id="rId1017" display="https://actualicese.com/impuesto-diferido-aplicado-a-propiedades-de-inversion-caso-practico/?referer=L-excel-formato&amp;utm_medium=act_formato_excel&amp;utm_source=act_formato_excel&amp;utm_campaign=act_formato_excel&amp;utm_content=act_formato_excel_link" xr:uid="{03E5C0FB-ADBF-4593-ACCF-7505598082C9}"/>
    <hyperlink ref="B3697" r:id="rId1018" display="https://actualicese.com/indicadores-basicos-a-tener-en-cuenta-en-el-2018/?referer=L-excel-formato&amp;utm_medium=act_formato_excel&amp;utm_source=act_formato_excel&amp;utm_campaign=act_formato_excel&amp;utm_content=act_formato_excel_link" xr:uid="{EDA8D287-7F63-4805-8FF5-A3D91DE52BE9}"/>
    <hyperlink ref="B3699" r:id="rId1019" display="https://actualicese.com/declaracion-de-extincion-de-la-obligacion-hipotecaria/?referer=L-excel-formato&amp;utm_medium=act_formato_excel&amp;utm_source=act_formato_excel&amp;utm_campaign=act_formato_excel&amp;utm_content=act_formato_excel_link" xr:uid="{D20DFB6B-B9B4-4FD7-A1FC-EACCAE087860}"/>
    <hyperlink ref="B3701" r:id="rId1020" display="https://actualicese.com/limite-de-pagos-en-efectivo-a-tener-en-cuenta-para-2018/?referer=L-excel-formato&amp;utm_medium=act_formato_excel&amp;utm_source=act_formato_excel&amp;utm_campaign=act_formato_excel&amp;utm_content=act_formato_excel_link" xr:uid="{B34E9ED4-F651-431B-83FA-910D0B7F5BA9}"/>
    <hyperlink ref="B3703" r:id="rId1021" display="https://actualicese.com/demanda-de-cancelacion-y-reposicion-de-titulo-valor-contra-entidad-bancaria/?referer=L-excel-formato&amp;utm_medium=act_formato_excel&amp;utm_source=act_formato_excel&amp;utm_campaign=act_formato_excel&amp;utm_content=act_formato_excel_link" xr:uid="{4445F0BB-6106-4701-997B-E2FA1B674050}"/>
    <hyperlink ref="B3705" r:id="rId1022" display="https://actualicese.com/revision-de-control-de-calidad-en-un-encargo-de-auditoria/?referer=L-excel-formato&amp;utm_medium=act_formato_excel&amp;utm_source=act_formato_excel&amp;utm_campaign=act_formato_excel&amp;utm_content=act_formato_excel_link" xr:uid="{EC187442-2DCB-45D8-88B3-632A820A3BCC}"/>
    <hyperlink ref="B3707" r:id="rId1023" display="https://actualicese.com/retencion-en-la-fuente-con-procedimiento-1-sobre-rentas-de-trabajo-durante-el-2018/?referer=L-excel-formato&amp;utm_medium=act_formato_excel&amp;utm_source=act_formato_excel&amp;utm_campaign=act_formato_excel&amp;utm_content=act_formato_excel_link" xr:uid="{41646FA0-235A-4DFF-9AAC-7E0C987B3F9A}"/>
    <hyperlink ref="B3709" r:id="rId1024" display="https://actualicese.com/contrato-de-comodato/?referer=L-excel-formato&amp;utm_medium=act_formato_excel&amp;utm_source=act_formato_excel&amp;utm_campaign=act_formato_excel&amp;utm_content=act_formato_excel_link" xr:uid="{BBA3FC4D-9A0A-449E-BE67-1C7786D94EAD}"/>
    <hyperlink ref="B3711" r:id="rId1025" display="https://actualicese.com/tipos-de-terminos-de-firmeza-de-las-declaraciones-tributarias/?referer=L-excel-formato&amp;utm_medium=act_formato_excel&amp;utm_source=act_formato_excel&amp;utm_campaign=act_formato_excel&amp;utm_content=act_formato_excel_link" xr:uid="{3C656592-B7F6-4263-8266-BD3014D89B13}"/>
    <hyperlink ref="B3713" r:id="rId1026" display="https://actualicese.com/informacion-laboral-2018/?referer=L-excel-formato&amp;utm_medium=act_formato_excel&amp;utm_source=act_formato_excel&amp;utm_campaign=act_formato_excel&amp;utm_content=act_formato_excel_link" xr:uid="{0544E72A-7DAE-40CB-A8B6-2AEFE73E3F94}"/>
    <hyperlink ref="B3715" r:id="rId1027" display="https://actualicese.com/2018-historico-de-salario-minimo-y-auxilio-de-transporte/?referer=L-excel-formato&amp;utm_medium=act_formato_excel&amp;utm_source=act_formato_excel&amp;utm_campaign=act_formato_excel&amp;utm_content=act_formato_excel_link" xr:uid="{F4ED1C44-2278-4F5D-8504-01454951BC14}"/>
    <hyperlink ref="B3717" r:id="rId1028" display="https://actualicese.com/calendario-para-personas-naturales-2018/?referer=L-excel-formato&amp;utm_medium=act_formato_excel&amp;utm_source=act_formato_excel&amp;utm_campaign=act_formato_excel&amp;utm_content=act_formato_excel_link" xr:uid="{5FC7CCE6-46CB-4B18-AEA8-852450DA9692}"/>
    <hyperlink ref="B3719" r:id="rId1029" display="https://actualicese.com/calendario-tributario-distrital-2018/?referer=L-excel-formato&amp;utm_medium=act_formato_excel&amp;utm_source=act_formato_excel&amp;utm_campaign=act_formato_excel&amp;utm_content=act_formato_excel_link" xr:uid="{D2C2285D-85CE-42DA-8444-E7AD0A38F802}"/>
    <hyperlink ref="B3721" r:id="rId1030" display="https://actualicese.com/tasa-representativa-de-mercado-trm/?referer=L-excel-formato&amp;utm_medium=act_formato_excel&amp;utm_source=act_formato_excel&amp;utm_campaign=act_formato_excel&amp;utm_content=act_formato_excel_link" xr:uid="{BB8094CD-F3CE-47A6-A9A8-1426CA8B1E70}"/>
    <hyperlink ref="B3723" r:id="rId1031" display="https://actualicese.com/calendario-tributario-automatizado-2018/?referer=L-excel-formato&amp;utm_medium=act_formato_excel&amp;utm_source=act_formato_excel&amp;utm_campaign=act_formato_excel&amp;utm_content=act_formato_excel_link" xr:uid="{EED18C10-DDB8-412B-81C4-07B5D1678150}"/>
    <hyperlink ref="B3725" r:id="rId1032" display="https://actualicese.com/tabla-de-retenciones-en-la-fuente-por-renta-para-ano-fiscal-2018/?referer=L-excel-formato&amp;utm_medium=act_formato_excel&amp;utm_source=act_formato_excel&amp;utm_campaign=act_formato_excel&amp;utm_content=act_formato_excel_link" xr:uid="{C0E1E2DA-9009-4C64-917C-53CD87354451}"/>
    <hyperlink ref="B3727" r:id="rId1033" display="https://actualicese.com/calendario-tributario-2018/?referer=L-excel-formato&amp;utm_medium=act_formato_excel&amp;utm_source=act_formato_excel&amp;utm_campaign=act_formato_excel&amp;utm_content=act_formato_excel_link" xr:uid="{6BBB928B-D220-4D13-BE15-3FBA5030E51E}"/>
    <hyperlink ref="B3729" r:id="rId1034" display="https://actualicese.com/modelo-del-certificado-anual-a-socios-y-o-accionistas-por-el-ano-2017/?referer=L-excel-formato&amp;utm_medium=act_formato_excel&amp;utm_source=act_formato_excel&amp;utm_campaign=act_formato_excel&amp;utm_content=act_formato_excel_link" xr:uid="{32F6DF28-E756-4B0B-85E9-B8C3803BD7E8}"/>
    <hyperlink ref="B3731" r:id="rId1035" display="https://actualicese.com/porcentaje-fijo-de-retencion-en-la-fuente-sobre-salarios-en-diciembre-de-2017-procedimiento-2/?referer=L-excel-formato&amp;utm_medium=act_formato_excel&amp;utm_source=act_formato_excel&amp;utm_campaign=act_formato_excel&amp;utm_content=act_formato_excel_link" xr:uid="{3F388EE6-1FC4-4763-BA4C-605ECC6FD4B1}"/>
    <hyperlink ref="B3733" r:id="rId1036" display="https://actualicese.com/poder-para-constituir-una-sociedad-anonima-otorgado-por-persona-juridica-extranjera/?referer=L-excel-formato&amp;utm_medium=act_formato_excel&amp;utm_source=act_formato_excel&amp;utm_campaign=act_formato_excel&amp;utm_content=act_formato_excel_link" xr:uid="{6010374E-400E-4099-8F76-4F34F560A951}"/>
    <hyperlink ref="B3735" r:id="rId1037" display="https://actualicese.com/independencia-del-revisor-fiscal-o-auditor-de-la-firma/?referer=L-excel-formato&amp;utm_medium=act_formato_excel&amp;utm_source=act_formato_excel&amp;utm_campaign=act_formato_excel&amp;utm_content=act_formato_excel_link" xr:uid="{C06FB9CA-34F9-4C3B-AE78-86FBE555CE51}"/>
    <hyperlink ref="B3737" r:id="rId1038" display="https://actualicese.com/categorias-de-informantes-de-exogena-por-el-ano-gravable-2017-y-formatos-que-deben-usar/?referer=L-excel-formato&amp;utm_medium=act_formato_excel&amp;utm_source=act_formato_excel&amp;utm_campaign=act_formato_excel&amp;utm_content=act_formato_excel_link" xr:uid="{DBA4789D-80A0-4979-8F25-30B087D529AF}"/>
    <hyperlink ref="B3739" r:id="rId1039" display="https://actualicese.com/restitucion-de-bien-inmueble-arrendado-local-de-comercio/?referer=L-excel-formato&amp;utm_medium=act_formato_excel&amp;utm_source=act_formato_excel&amp;utm_campaign=act_formato_excel&amp;utm_content=act_formato_excel_link" xr:uid="{0FB6731B-5736-41CD-B595-835CA25740AB}"/>
    <hyperlink ref="B3741" r:id="rId1040" display="https://actualicese.com/confirmacion-del-auditor-de-un-componente/?referer=L-excel-formato&amp;utm_medium=act_formato_excel&amp;utm_source=act_formato_excel&amp;utm_campaign=act_formato_excel&amp;utm_content=act_formato_excel_link" xr:uid="{E8A5AEF4-B201-4409-9773-4D941E894097}"/>
    <hyperlink ref="B3743" r:id="rId1041" display="https://actualicese.com/regimen-simplificado-del-iva-y-del-impuesto-al-consumo-diferencias-y-similitudes/?referer=L-excel-formato&amp;utm_medium=act_formato_excel&amp;utm_source=act_formato_excel&amp;utm_campaign=act_formato_excel&amp;utm_content=act_formato_excel_link" xr:uid="{6789DB79-2230-4EC1-B152-F5FA64402C8D}"/>
    <hyperlink ref="B3745" r:id="rId1042" display="https://actualicese.com/persona-natural-empresa-unipersonal-o-sas-caracteristicas-frente-a-obligaciones-tributarias/?referer=L-excel-formato&amp;utm_medium=act_formato_excel&amp;utm_source=act_formato_excel&amp;utm_campaign=act_formato_excel&amp;utm_content=act_formato_excel_link" xr:uid="{2049875A-3445-46A3-BD78-9B9516C1E8E5}"/>
    <hyperlink ref="B3747" r:id="rId1043" display="https://actualicese.com/recurso-de-queja-por-denegar-liquidacion-de-credito-en-proceso-ejecutivo/?referer=L-excel-formato&amp;utm_medium=act_formato_excel&amp;utm_source=act_formato_excel&amp;utm_campaign=act_formato_excel&amp;utm_content=act_formato_excel_link" xr:uid="{E4CA8D8A-2E3D-4EBB-812F-0FC0C36E19B0}"/>
    <hyperlink ref="B3749" r:id="rId1044" display="https://actualicese.com/solicitud-de-pruebas-extraprocesales/?referer=L-excel-formato&amp;utm_medium=act_formato_excel&amp;utm_source=act_formato_excel&amp;utm_campaign=act_formato_excel&amp;utm_content=act_formato_excel_link" xr:uid="{FEDA378A-3E4F-4196-9A3A-C1220BACD27B}"/>
    <hyperlink ref="B3751" r:id="rId1045" display="https://actualicese.com/conciliacion-contable-y-tributaria-casos-de-descuentos-y-deducciones-parte-iv/?referer=L-excel-formato&amp;utm_medium=act_formato_excel&amp;utm_source=act_formato_excel&amp;utm_campaign=act_formato_excel&amp;utm_content=act_formato_excel_link" xr:uid="{0DB7F0FC-A549-4165-A58D-CA11F5ED7E47}"/>
    <hyperlink ref="B3753" r:id="rId1046" display="https://actualicese.com/conciliacion-contable-y-tributaria-casos-de-descuentos-tributarios/?referer=L-excel-formato&amp;utm_medium=act_formato_excel&amp;utm_source=act_formato_excel&amp;utm_campaign=act_formato_excel&amp;utm_content=act_formato_excel_link" xr:uid="{ABFB900B-0A83-44D6-817F-BDCDE5F29903}"/>
    <hyperlink ref="B3755" r:id="rId1047" display="https://actualicese.com/demanda-de-proceso-ejecutivo-singular-letra-de-cambio/?referer=L-excel-formato&amp;utm_medium=act_formato_excel&amp;utm_source=act_formato_excel&amp;utm_campaign=act_formato_excel&amp;utm_content=act_formato_excel_link" xr:uid="{F4BDC070-49BA-4703-8075-C3B2BB404309}"/>
    <hyperlink ref="B3757" r:id="rId1048" display="https://actualicese.com/conciliacion-contable-y-tributaria-casos-de-costos-y-deducciones-parte-ii/?referer=L-excel-formato&amp;utm_medium=act_formato_excel&amp;utm_source=act_formato_excel&amp;utm_campaign=act_formato_excel&amp;utm_content=act_formato_excel_link" xr:uid="{10CD30C5-5C39-45EF-BF74-D0CDCDE5BFF7}"/>
    <hyperlink ref="B3759" r:id="rId1049" display="https://actualicese.com/descuentos-tributarios-para-personas-juridicas-y-sus-limites-al-momento-de-aplicarlos/?referer=L-excel-formato&amp;utm_medium=act_formato_excel&amp;utm_source=act_formato_excel&amp;utm_campaign=act_formato_excel&amp;utm_content=act_formato_excel_link" xr:uid="{9E2941D9-C03E-470D-95DB-59EB05701B26}"/>
    <hyperlink ref="B3761" r:id="rId1050" display="https://actualicese.com/distribucion-exclusiva/?referer=L-excel-formato&amp;utm_medium=act_formato_excel&amp;utm_source=act_formato_excel&amp;utm_campaign=act_formato_excel&amp;utm_content=act_formato_excel_link" xr:uid="{FDD4EFCE-2063-4E27-A1F6-FA1F2191B46F}"/>
    <hyperlink ref="B3763" r:id="rId1051" display="https://actualicese.com/conciliacion-contable-y-tributaria-casos-costos-y-deducciones-parte-i/?referer=L-excel-formato&amp;utm_medium=act_formato_excel&amp;utm_source=act_formato_excel&amp;utm_campaign=act_formato_excel&amp;utm_content=act_formato_excel_link" xr:uid="{A6BBAC61-688A-42BF-8294-7BC4841A1E89}"/>
    <hyperlink ref="B3765" r:id="rId1052" display="https://actualicese.com/formatos-para-acceder-a-exclusion-de-iva-en-equipos-en-pro-del-medio-ambiente/?referer=L-excel-formato&amp;utm_medium=act_formato_excel&amp;utm_source=act_formato_excel&amp;utm_campaign=act_formato_excel&amp;utm_content=act_formato_excel_link" xr:uid="{62747ED8-ACA6-461D-8E71-85618775F012}"/>
    <hyperlink ref="B3767" r:id="rId1053" display="https://actualicese.com/compromiso-de-fusion/?referer=L-excel-formato&amp;utm_medium=act_formato_excel&amp;utm_source=act_formato_excel&amp;utm_campaign=act_formato_excel&amp;utm_content=act_formato_excel_link" xr:uid="{8E752D91-A1DE-469B-A23A-B1278A730EE2}"/>
    <hyperlink ref="B3769" r:id="rId1054" display="https://actualicese.com/lista-de-chequeo-evidencia-relativa-a-los-controles-en-una-organizacion-de-servicios/?referer=L-excel-formato&amp;utm_medium=act_formato_excel&amp;utm_source=act_formato_excel&amp;utm_campaign=act_formato_excel&amp;utm_content=act_formato_excel_link" xr:uid="{B5C85A84-DEA5-4A84-B436-002053A3DFE5}"/>
    <hyperlink ref="B3771" r:id="rId1055" display="https://actualicese.com/zomac-listado-automatizado-de-municipios-pertenecientes-a-estas-zonas/?referer=L-excel-formato&amp;utm_medium=act_formato_excel&amp;utm_source=act_formato_excel&amp;utm_campaign=act_formato_excel&amp;utm_content=act_formato_excel_link" xr:uid="{F3A06362-42B1-4BB3-A245-591E7E4013CC}"/>
    <hyperlink ref="B3773" r:id="rId1056" display="https://actualicese.com/convocatoria-de-integracion-de-tribunal-de-arbitramento-comercial/?referer=L-excel-formato&amp;utm_medium=act_formato_excel&amp;utm_source=act_formato_excel&amp;utm_campaign=act_formato_excel&amp;utm_content=act_formato_excel_link" xr:uid="{A159F733-C85E-4A3F-BD4E-48E6D79DE3B5}"/>
    <hyperlink ref="B3775" r:id="rId1057" display="https://actualicese.com/beneficio-en-renta-para-sociedades-ubicadas-en-zomac-requisitos-segun-el-tamano-de-la-empresa/?referer=L-excel-formato&amp;utm_medium=act_formato_excel&amp;utm_source=act_formato_excel&amp;utm_campaign=act_formato_excel&amp;utm_content=act_formato_excel_link" xr:uid="{B14AEB2F-46DB-41F2-8085-6F6F0B093EAF}"/>
    <hyperlink ref="B3777" r:id="rId1058" display="https://actualicese.com/acta-final-de-arreglo-directo/?referer=L-excel-formato&amp;utm_medium=act_formato_excel&amp;utm_source=act_formato_excel&amp;utm_campaign=act_formato_excel&amp;utm_content=act_formato_excel_link" xr:uid="{77074BAA-3D9B-4C3C-BAAA-348581D3EFF3}"/>
    <hyperlink ref="B3779" r:id="rId1059" display="https://actualicese.com/cesion-de-derechos-litigiosos/?referer=L-excel-formato&amp;utm_medium=act_formato_excel&amp;utm_source=act_formato_excel&amp;utm_campaign=act_formato_excel&amp;utm_content=act_formato_excel_link" xr:uid="{7FEF2C50-59C6-4F11-AD12-0DBE1EB22F1F}"/>
    <hyperlink ref="B3781" r:id="rId1060" display="https://actualicese.com/cuenta-de-cobro-para-una-persona-que-presta-servicios-en-el-regimen-simplificado-del-iva/?referer=L-excel-formato&amp;utm_medium=act_formato_excel&amp;utm_source=act_formato_excel&amp;utm_campaign=act_formato_excel&amp;utm_content=act_formato_excel_link" xr:uid="{F1B4A240-C4FF-4957-8452-3C62F149BDDE}"/>
    <hyperlink ref="B3783" r:id="rId1061" display="https://actualicese.com/levantamiento-de-fuero-sindical/?referer=L-excel-formato&amp;utm_medium=act_formato_excel&amp;utm_source=act_formato_excel&amp;utm_campaign=act_formato_excel&amp;utm_content=act_formato_excel_link" xr:uid="{169A8530-B5D6-481B-B19D-58CED9350FD1}"/>
    <hyperlink ref="B3785" r:id="rId1062" display="https://actualicese.com/requisitos-para-no-estar-obligado-a-declarar-renta-por-el-ano-gravable-2016/?referer=L-excel-formato&amp;utm_medium=act_formato_excel&amp;utm_source=act_formato_excel&amp;utm_campaign=act_formato_excel&amp;utm_content=act_formato_excel_link" xr:uid="{9CB42E9D-9FE1-40BC-91E2-A8953D08B1E9}"/>
    <hyperlink ref="B3787" r:id="rId1063" display="https://actualicese.com/patrimonio-y-rentas-a-declarar-segun-la-residencia-fiscal-del-contribuyente/?referer=L-excel-formato&amp;utm_medium=act_formato_excel&amp;utm_source=act_formato_excel&amp;utm_campaign=act_formato_excel&amp;utm_content=act_formato_excel_link" xr:uid="{73E90E12-0C5A-449C-BF1C-6114EEC4F2AB}"/>
    <hyperlink ref="B3789" r:id="rId1064" display="https://actualicese.com/demanda-para-iniciar-proceso-ejecutivo-laboral/?referer=L-excel-formato&amp;utm_medium=act_formato_excel&amp;utm_source=act_formato_excel&amp;utm_campaign=act_formato_excel&amp;utm_content=act_formato_excel_link" xr:uid="{6DF3FDC7-1329-4B6A-8611-6D11026730D2}"/>
    <hyperlink ref="B3791" r:id="rId1065" display="https://actualicese.com/conducta-sancionable-en-que-consiste-para-efectos-de-liquidar-sancion-reducida/?referer=L-excel-formato&amp;utm_medium=act_formato_excel&amp;utm_source=act_formato_excel&amp;utm_campaign=act_formato_excel&amp;utm_content=act_formato_excel_link" xr:uid="{BF2C7943-2B8F-4495-8279-5780F2238D37}"/>
    <hyperlink ref="B3793" r:id="rId1066" display="https://actualicese.com/contrato-de-outsourcing/?referer=L-excel-formato&amp;utm_medium=act_formato_excel&amp;utm_source=act_formato_excel&amp;utm_campaign=act_formato_excel&amp;utm_content=act_formato_excel_link" xr:uid="{938845DB-256B-4984-9820-6754D63848F0}"/>
    <hyperlink ref="B3795" r:id="rId1067" display="https://actualicese.com/convenios-para-evitar-la-doble-tributacion-aplicables-al-ano-gravable-2016/?referer=L-excel-formato&amp;utm_medium=act_formato_excel&amp;utm_source=act_formato_excel&amp;utm_campaign=act_formato_excel&amp;utm_content=act_formato_excel_link" xr:uid="{0FECD2B7-C1AE-4492-9D05-52A625B6A05F}"/>
    <hyperlink ref="B3797" r:id="rId1068" display="https://actualicese.com/declaracion-de-renta-ano-gravable-2016-indicadores-y-otros-datos-basicos-para-su-elaboracion/?referer=L-excel-formato&amp;utm_medium=act_formato_excel&amp;utm_source=act_formato_excel&amp;utm_campaign=act_formato_excel&amp;utm_content=act_formato_excel_link" xr:uid="{7AE27412-2E72-473D-B2EF-78ABA29936F5}"/>
    <hyperlink ref="B3799" r:id="rId1069" display="https://actualicese.com/lista-de-chequeo-de-requisitos-para-obtener-la-tarjeta-profesional-de-contador-publico/?referer=L-excel-formato&amp;utm_medium=act_formato_excel&amp;utm_source=act_formato_excel&amp;utm_campaign=act_formato_excel&amp;utm_content=act_formato_excel_link" xr:uid="{B72E258B-B936-4D25-A4FD-0BF25AEA2C6D}"/>
    <hyperlink ref="B3801" r:id="rId1070" display="https://actualicese.com/clasificacion-tributaria-de-una-persona-natural-segun-el-concepto-885-de-julio-31-de-2014/?referer=L-excel-formato&amp;utm_medium=act_formato_excel&amp;utm_source=act_formato_excel&amp;utm_campaign=act_formato_excel&amp;utm_content=act_formato_excel_link" xr:uid="{5FF5DF2A-49A8-4532-AA06-8557E810F613}"/>
    <hyperlink ref="B3803" r:id="rId1071" display="https://actualicese.com/formulario-de-reclamos-del-usuario-o-cliente/?referer=L-excel-formato&amp;utm_medium=act_formato_excel&amp;utm_source=act_formato_excel&amp;utm_campaign=act_formato_excel&amp;utm_content=act_formato_excel_link" xr:uid="{EFBBB0DC-FBDF-404A-9351-22163F6470B5}"/>
    <hyperlink ref="B3805" r:id="rId1072" display="https://actualicese.com/lista-de-chequeo-de-requisitos-para-la-expedicion-de-la-tarjeta-de-registro-de-entidades/?referer=L-excel-formato&amp;utm_medium=act_formato_excel&amp;utm_source=act_formato_excel&amp;utm_campaign=act_formato_excel&amp;utm_content=act_formato_excel_link" xr:uid="{A6006260-1628-497A-953C-D0C19002773F}"/>
    <hyperlink ref="B3807" r:id="rId1073" display="https://actualicese.com/conducta-sancionable-comision-de-la-misma-conducta-no-permite-liquidar-sancion-reducida/?referer=L-excel-formato&amp;utm_medium=act_formato_excel&amp;utm_source=act_formato_excel&amp;utm_campaign=act_formato_excel&amp;utm_content=act_formato_excel_link" xr:uid="{9DAAC3AC-D1C1-4042-B563-B0950FD98B9D}"/>
    <hyperlink ref="B3809" r:id="rId1074" display="https://actualicese.com/modelo-de-circularizacion-con-companias-de-seguros/?referer=L-excel-formato&amp;utm_medium=act_formato_excel&amp;utm_source=act_formato_excel&amp;utm_campaign=act_formato_excel&amp;utm_content=act_formato_excel_link" xr:uid="{ADDDEC98-7581-4357-A21B-9AC02C48594E}"/>
    <hyperlink ref="B3811" r:id="rId1075" display="https://actualicese.com/prorrateo-de-iva-comunes-hoja-de-trabajo-con-calculos-basicos/?referer=L-excel-formato&amp;utm_medium=act_formato_excel&amp;utm_source=act_formato_excel&amp;utm_campaign=act_formato_excel&amp;utm_content=act_formato_excel_link" xr:uid="{E0084540-CC8F-4ACC-BBFD-6B025B56C9A1}"/>
    <hyperlink ref="B3813" r:id="rId1076" display="https://actualicese.com/personas-naturales-obligadas-y-no-obligadas-a-llevar-contabilidad/?referer=L-excel-formato&amp;utm_medium=act_formato_excel&amp;utm_source=act_formato_excel&amp;utm_campaign=act_formato_excel&amp;utm_content=act_formato_excel_link" xr:uid="{C7A8D37F-ED62-4791-ADA6-0DE61D08F4DD}"/>
    <hyperlink ref="B3815" r:id="rId1077" display="https://actualicese.com/modelo-de-certificado-laboral/?referer=L-excel-formato&amp;utm_medium=act_formato_excel&amp;utm_source=act_formato_excel&amp;utm_campaign=act_formato_excel&amp;utm_content=act_formato_excel_link" xr:uid="{FD2AE18B-9421-410C-A486-DB19C4217CFF}"/>
    <hyperlink ref="B3817" r:id="rId1078" display="https://actualicese.com/calculo-de-la-contribucion-2017-a-la-supersociedades/?referer=L-excel-formato&amp;utm_medium=act_formato_excel&amp;utm_source=act_formato_excel&amp;utm_campaign=act_formato_excel&amp;utm_content=act_formato_excel_link" xr:uid="{8DD51F61-CF3D-4996-885E-7A7875DC63AF}"/>
    <hyperlink ref="B3819" r:id="rId1079" display="https://actualicese.com/lista-de-chequeo-de-revelaciones-para-microempresas/?referer=L-excel-formato&amp;utm_medium=act_formato_excel&amp;utm_source=act_formato_excel&amp;utm_campaign=act_formato_excel&amp;utm_content=act_formato_excel_link" xr:uid="{FFAC425A-3541-40D6-B6F4-63CFCA38CADC}"/>
    <hyperlink ref="B3821" r:id="rId1080" display="https://actualicese.com/clasificacion-tributaria-de-una-persona-natural-segun-decreto-3032-de-2013/?referer=L-excel-formato&amp;utm_medium=act_formato_excel&amp;utm_source=act_formato_excel&amp;utm_campaign=act_formato_excel&amp;utm_content=act_formato_excel_link" xr:uid="{87776BF4-1929-430C-BE7A-C1B5F9E315E6}"/>
    <hyperlink ref="B3823" r:id="rId1081" display="https://actualicese.com/transaccion-para-terminar-contrato-de-obra-en-propiedad-horizontal/?referer=L-excel-formato&amp;utm_medium=act_formato_excel&amp;utm_source=act_formato_excel&amp;utm_campaign=act_formato_excel&amp;utm_content=act_formato_excel_link" xr:uid="{7EA913E8-6584-4CE5-8F09-82EA4126EC7C}"/>
    <hyperlink ref="B3825" r:id="rId1082" display="https://actualicese.com/residente-para-efectos-fiscales/?referer=L-excel-formato&amp;utm_medium=act_formato_excel&amp;utm_source=act_formato_excel&amp;utm_campaign=act_formato_excel&amp;utm_content=act_formato_excel_link" xr:uid="{8FBA43B0-A7D7-4726-B47F-FFF190C6DE4C}"/>
    <hyperlink ref="B3827" r:id="rId1083" display="https://actualicese.com/carta-de-interrupcion-de-la-prescripcion-de-las-acciones-laborales/?referer=L-excel-formato&amp;utm_medium=act_formato_excel&amp;utm_source=act_formato_excel&amp;utm_campaign=act_formato_excel&amp;utm_content=act_formato_excel_link" xr:uid="{99BBC51B-F3C5-42D0-94F8-458395168CE5}"/>
    <hyperlink ref="B3829" r:id="rId1084" display="https://actualicese.com/tabla-de-equivalencias-de-terminos-sobre-normas-internacionales-de-auditoria/?referer=L-excel-formato&amp;utm_medium=act_formato_excel&amp;utm_source=act_formato_excel&amp;utm_campaign=act_formato_excel&amp;utm_content=act_formato_excel_link" xr:uid="{0E6A48FB-5DE5-4E33-94B5-8CCB5A64BAFA}"/>
    <hyperlink ref="B3831" r:id="rId1085" display="https://actualicese.com/habilitacion-para-expedir-factura-electronica-proceso-a-seguir/?referer=L-excel-formato&amp;utm_medium=act_formato_excel&amp;utm_source=act_formato_excel&amp;utm_campaign=act_formato_excel&amp;utm_content=act_formato_excel_link" xr:uid="{34E604EA-BFB9-4F2E-AF58-45E9C13BB274}"/>
    <hyperlink ref="B3833" r:id="rId1086" display="https://actualicese.com/contrato-de-obra-para-construccion/?referer=L-excel-formato&amp;utm_medium=act_formato_excel&amp;utm_source=act_formato_excel&amp;utm_campaign=act_formato_excel&amp;utm_content=act_formato_excel_link" xr:uid="{B64539A9-C508-4FE3-BCD3-F99419F80397}"/>
    <hyperlink ref="B3835" r:id="rId1087" display="https://actualicese.com/pasos-que-debe-seguir-el-consumidor-financiero-para-exponer-una-inconformidad/?referer=L-excel-formato&amp;utm_medium=act_formato_excel&amp;utm_source=act_formato_excel&amp;utm_campaign=act_formato_excel&amp;utm_content=act_formato_excel_link" xr:uid="{E44DC1A7-E2F0-4AE9-82F1-A76AE803CDF0}"/>
    <hyperlink ref="B3837" r:id="rId1088" display="https://actualicese.com/terminos-a-tener-en-cuenta-en-el-tramite-de-solicitud-de-devolucion-de-saldos-a-favor/?referer=L-excel-formato&amp;utm_medium=act_formato_excel&amp;utm_source=act_formato_excel&amp;utm_campaign=act_formato_excel&amp;utm_content=act_formato_excel_link" xr:uid="{B22B2820-7664-43CD-9738-733F14C46657}"/>
    <hyperlink ref="B3839" r:id="rId1089" display="https://actualicese.com/cuestionario-de-auditoria-para-area-de-sistemas/?referer=L-excel-formato&amp;utm_medium=act_formato_excel&amp;utm_source=act_formato_excel&amp;utm_campaign=act_formato_excel&amp;utm_content=act_formato_excel_link" xr:uid="{2DA14FAA-D9A1-456F-AE3F-6B77CD69FF4D}"/>
    <hyperlink ref="B3841" r:id="rId1090" display="https://actualicese.com/cedula-rentas-de-capital-y-su-renta-liquida-segun-concepto-5984-de-marzo-17-de-2017/?referer=L-excel-formato&amp;utm_medium=act_formato_excel&amp;utm_source=act_formato_excel&amp;utm_campaign=act_formato_excel&amp;utm_content=act_formato_excel_link" xr:uid="{42884537-DDB0-42E3-9233-CCABBA388461}"/>
    <hyperlink ref="B3843" r:id="rId1091" display="https://actualicese.com/renta-presuntiva-y-las-novedades-de-la-reforma-tributaria-en-su-determinacion/?referer=L-excel-formato&amp;utm_medium=act_formato_excel&amp;utm_source=act_formato_excel&amp;utm_campaign=act_formato_excel&amp;utm_content=act_formato_excel_link" xr:uid="{ACAB53D7-2B57-4B69-844F-1CC3BBCC11F1}"/>
    <hyperlink ref="B3845" r:id="rId1092" display="https://actualicese.com/carta-radicacion-de-licencia-de-maternidad-cuando-no-se-cotizo-todo-el-embarazo/?referer=L-excel-formato&amp;utm_medium=act_formato_excel&amp;utm_source=act_formato_excel&amp;utm_campaign=act_formato_excel&amp;utm_content=act_formato_excel_link" xr:uid="{57E9BF83-D8D3-43F5-AAF8-5B7F7F592A2B}"/>
    <hyperlink ref="B3847" r:id="rId1093" display="https://actualicese.com/formato-cuestionario-de-auditoria-para-area-de-produccion/?referer=L-excel-formato&amp;utm_medium=act_formato_excel&amp;utm_source=act_formato_excel&amp;utm_campaign=act_formato_excel&amp;utm_content=act_formato_excel_link" xr:uid="{998125F3-0243-47E4-B5E6-8B3ED8EC8342}"/>
    <hyperlink ref="B3849" r:id="rId1094" display="https://actualicese.com/listado-de-relaciones-de-intercambio-de-informacion-de-cuentas-financieras-que-tiene-colombia/?referer=L-excel-formato&amp;utm_medium=act_formato_excel&amp;utm_source=act_formato_excel&amp;utm_campaign=act_formato_excel&amp;utm_content=act_formato_excel_link" xr:uid="{69AFD62E-BEBB-4683-9C47-1B52728BF2FE}"/>
    <hyperlink ref="B3851" r:id="rId1095" display="https://actualicese.com/tasas-generalidades-y-conceptos/?referer=L-excel-formato&amp;utm_medium=act_formato_excel&amp;utm_source=act_formato_excel&amp;utm_campaign=act_formato_excel&amp;utm_content=act_formato_excel_link" xr:uid="{30239BE8-1EDB-4C08-B62A-B84091DBCFCB}"/>
    <hyperlink ref="B3853" r:id="rId1096" display="https://actualicese.com/contribuyentes-de-monotributo-arl-y-valor-a-pagar-por-cada-componente-por-2017/?referer=L-excel-formato&amp;utm_medium=act_formato_excel&amp;utm_source=act_formato_excel&amp;utm_campaign=act_formato_excel&amp;utm_content=act_formato_excel_link" xr:uid="{FDBC8603-AEE9-4A96-B371-6E43B1B11A24}"/>
    <hyperlink ref="B3855" r:id="rId1097" display="https://actualicese.com/reclamacion-ante-empresas-de-telefonia-celular-por-reporte-negativo-a-centrales-de-riesgo/?referer=L-excel-formato&amp;utm_medium=act_formato_excel&amp;utm_source=act_formato_excel&amp;utm_campaign=act_formato_excel&amp;utm_content=act_formato_excel_link" xr:uid="{6822F94D-6EA0-4662-8D49-48C5292DE5A6}"/>
    <hyperlink ref="B3857" r:id="rId1098" display="https://actualicese.com/intereses-moratorios-sobre-deudas-tributarias-luego-de-la-ley-1819-de-2016/?referer=L-excel-formato&amp;utm_medium=act_formato_excel&amp;utm_source=act_formato_excel&amp;utm_campaign=act_formato_excel&amp;utm_content=act_formato_excel_link" xr:uid="{33C4A75B-DAD0-4846-B3D1-FF4CE82DC24C}"/>
    <hyperlink ref="B3859" r:id="rId1099" display="https://actualicese.com/formularios-210-y-230-con-anexos-para-declaracion-de-renta-ano-gravable-2016/?referer=L-excel-formato&amp;utm_medium=act_formato_excel&amp;utm_source=act_formato_excel&amp;utm_campaign=act_formato_excel&amp;utm_content=act_formato_excel_link" xr:uid="{1700C28E-53D5-4B90-A3CE-26F015B0DA2F}"/>
    <hyperlink ref="B3861" r:id="rId1100" display="https://actualicese.com/formularios-110-y-240-con-anexos-para-declaracion-de-renta-ano-gravable-2016/?referer=L-excel-formato&amp;utm_medium=act_formato_excel&amp;utm_source=act_formato_excel&amp;utm_campaign=act_formato_excel&amp;utm_content=act_formato_excel_link" xr:uid="{20F9ADE9-64C3-483D-8A9D-956BC98DB30B}"/>
    <hyperlink ref="B3863" r:id="rId1101" display="https://actualicese.com/modelo-para-proyectar-efectos-iman-e-imas-en-declaraciones-de-renta-2016-de-empleados/?referer=L-excel-formato&amp;utm_medium=act_formato_excel&amp;utm_source=act_formato_excel&amp;utm_campaign=act_formato_excel&amp;utm_content=act_formato_excel_link" xr:uid="{CF780AE7-EDDB-4B23-8C5E-D23FEDC8102F}"/>
    <hyperlink ref="B3865" r:id="rId1102" display="https://actualicese.com/clasificacion-tributaria-de-las-personas-naturales-y-sucesiones-iliquidas-por-el-ano-2016/?referer=L-excel-formato&amp;utm_medium=act_formato_excel&amp;utm_source=act_formato_excel&amp;utm_campaign=act_formato_excel&amp;utm_content=act_formato_excel_link" xr:uid="{7F143F74-0907-4899-A715-3E006CC292F7}"/>
    <hyperlink ref="B3867" r:id="rId1103" display="https://actualicese.com/modelo-para-proyectar-efectos-de-imas-por-2016-de-trabajadores-por-cuenta-propia/?referer=L-excel-formato&amp;utm_medium=act_formato_excel&amp;utm_source=act_formato_excel&amp;utm_campaign=act_formato_excel&amp;utm_content=act_formato_excel_link" xr:uid="{D9A78C3B-D964-4AC4-93A7-560853008B39}"/>
    <hyperlink ref="B3869" r:id="rId1104" display="https://actualicese.com/contribuyentes-de-monotributo-beps-y-valor-a-pagar-por-cada-componente/?referer=L-excel-formato&amp;utm_medium=act_formato_excel&amp;utm_source=act_formato_excel&amp;utm_campaign=act_formato_excel&amp;utm_content=act_formato_excel_link" xr:uid="{1188947C-AFDB-4740-B3BD-8251583D6041}"/>
    <hyperlink ref="B3871" r:id="rId1105" display="https://actualicese.com/aprobacion-de-disolucion-de-sociedad-de-responsabilidad-limitada/?referer=L-excel-formato&amp;utm_medium=act_formato_excel&amp;utm_source=act_formato_excel&amp;utm_campaign=act_formato_excel&amp;utm_content=act_formato_excel_link" xr:uid="{00B1ADAF-32A0-4846-95DA-B24115097920}"/>
    <hyperlink ref="B3873" r:id="rId1106" display="https://actualicese.com/acta-de-junta-para-transformacion-de-sa-a-sas/?referer=L-excel-formato&amp;utm_medium=act_formato_excel&amp;utm_source=act_formato_excel&amp;utm_campaign=act_formato_excel&amp;utm_content=act_formato_excel_link" xr:uid="{2F1D3578-60A6-4C48-8D4E-E6F7514221A4}"/>
    <hyperlink ref="B3875" r:id="rId1107" display="https://actualicese.com/requisitos-para-acceder-a-beneficios-en-registro-mercantil-de-la-ley-projoven/?referer=L-excel-formato&amp;utm_medium=act_formato_excel&amp;utm_source=act_formato_excel&amp;utm_campaign=act_formato_excel&amp;utm_content=act_formato_excel_link" xr:uid="{9894855B-4B8F-44B6-A39F-EE2EB9182622}"/>
    <hyperlink ref="B3877" r:id="rId1108" display="https://actualicese.com/porcentaje-fijo-de-retencion-en-la-fuente-sobre-salarios-en-junio-de-2017-procedimiento-2/?referer=L-excel-formato&amp;utm_medium=act_formato_excel&amp;utm_source=act_formato_excel&amp;utm_campaign=act_formato_excel&amp;utm_content=act_formato_excel_link" xr:uid="{17849C32-43E0-4905-904C-833FFCB6DBFA}"/>
    <hyperlink ref="B3879" r:id="rId1109" display="https://actualicese.com/acta-de-junta-para-transformacion-de-ltda-a-sas/?referer=L-excel-formato&amp;utm_medium=act_formato_excel&amp;utm_source=act_formato_excel&amp;utm_campaign=act_formato_excel&amp;utm_content=act_formato_excel_link" xr:uid="{4BF10D90-C584-45A8-A5C4-81BB04807D6F}"/>
    <hyperlink ref="B3881" r:id="rId1110" display="https://actualicese.com/reclamacion-por-garantias-sobre-bienes-o-servicios/?referer=L-excel-formato&amp;utm_medium=act_formato_excel&amp;utm_source=act_formato_excel&amp;utm_campaign=act_formato_excel&amp;utm_content=act_formato_excel_link" xr:uid="{0690FBAA-B72B-4293-8E56-A8A4F93ECC19}"/>
    <hyperlink ref="B3883" r:id="rId1111" display="https://actualicese.com/manifestacion-de-temas-a-tratar-en-informes-de-control-interno/?referer=L-excel-formato&amp;utm_medium=act_formato_excel&amp;utm_source=act_formato_excel&amp;utm_campaign=act_formato_excel&amp;utm_content=act_formato_excel_link" xr:uid="{EDC95FF9-A648-4C39-8AB9-237C9EB85CB0}"/>
    <hyperlink ref="B3885" r:id="rId1112" display="https://actualicese.com/retefuente-con-procedimiento-1-para-quienes-perciban-rentas-de-trabajo/?referer=L-excel-formato&amp;utm_medium=act_formato_excel&amp;utm_source=act_formato_excel&amp;utm_campaign=act_formato_excel&amp;utm_content=act_formato_excel_link" xr:uid="{DA37750D-24B2-4437-885B-8818DEF6FE9C}"/>
    <hyperlink ref="B3887" r:id="rId1113" display="https://actualicese.com/regimen-tributario-especial-informacion-que-debe-contener-el-registro-de-inscripcion/?referer=L-excel-formato&amp;utm_medium=act_formato_excel&amp;utm_source=act_formato_excel&amp;utm_campaign=act_formato_excel&amp;utm_content=act_formato_excel_link" xr:uid="{D306DB90-DBB6-4AFD-B646-B4C56B0E86F5}"/>
    <hyperlink ref="B3889" r:id="rId1114" display="https://actualicese.com/formulario-300-para-declaraciones-de-iva-bimestrales-yo-cuatrimestrales-durante-2017/?referer=L-excel-formato&amp;utm_medium=act_formato_excel&amp;utm_source=act_formato_excel&amp;utm_campaign=act_formato_excel&amp;utm_content=act_formato_excel_link" xr:uid="{4171CF88-5A57-4656-BB53-2C3E59524CBD}"/>
    <hyperlink ref="B3891" r:id="rId1115" display="https://actualicese.com/escrituras-de-venta-de-inmueble-que-no-esta-ubicado-en-propiedad-horizontal/?referer=L-excel-formato&amp;utm_medium=act_formato_excel&amp;utm_source=act_formato_excel&amp;utm_campaign=act_formato_excel&amp;utm_content=act_formato_excel_link" xr:uid="{6852A4D5-04CA-4D69-9A0A-AE8ECA99EFC3}"/>
    <hyperlink ref="B3893" r:id="rId1116" display="https://actualicese.com/escrituras-de-venta-de-inmueble-ubicado-en-propiedad-horizontal/?referer=L-excel-formato&amp;utm_medium=act_formato_excel&amp;utm_source=act_formato_excel&amp;utm_campaign=act_formato_excel&amp;utm_content=act_formato_excel_link" xr:uid="{00BDD1F1-D155-499E-BBB4-97DB20433BA6}"/>
    <hyperlink ref="B3895" r:id="rId1117" display="https://actualicese.com/informacion-requerida-para-agendar-cita-en-la-dian/?referer=L-excel-formato&amp;utm_medium=act_formato_excel&amp;utm_source=act_formato_excel&amp;utm_campaign=act_formato_excel&amp;utm_content=act_formato_excel_link" xr:uid="{A778FB66-7E92-47BE-BB40-4A41F95D237F}"/>
    <hyperlink ref="B3897" r:id="rId1118" display="https://actualicese.com/elementos-conceptuales-para-informe-de-control-interno/?referer=L-excel-formato&amp;utm_medium=act_formato_excel&amp;utm_source=act_formato_excel&amp;utm_campaign=act_formato_excel&amp;utm_content=act_formato_excel_link" xr:uid="{067DB9AB-672E-4535-AF60-33584E8004B9}"/>
    <hyperlink ref="B3899" r:id="rId1119" display="https://actualicese.com/modelo-de-manifestacion-de-la-gerencia-dirigida-a-la-revisoria-fiscal/?referer=L-excel-formato&amp;utm_medium=act_formato_excel&amp;utm_source=act_formato_excel&amp;utm_campaign=act_formato_excel&amp;utm_content=act_formato_excel_link" xr:uid="{9B78A344-E3E1-4BC7-BFC1-2DCD787B50BC}"/>
    <hyperlink ref="B3901" r:id="rId1120" display="https://actualicese.com/formato-1003-por-2016-reportes-de-retenciones-que-le-practicaron-a-la-persona-o-entidad-informante/?referer=L-excel-formato&amp;utm_medium=act_formato_excel&amp;utm_source=act_formato_excel&amp;utm_campaign=act_formato_excel&amp;utm_content=act_formato_excel_link" xr:uid="{8FB52B9C-0765-4D12-9A41-5FC8F22F457A}"/>
    <hyperlink ref="B3903" r:id="rId1121" display="https://actualicese.com/formato-1009-por-2016-reportes-de-cuentas-por-pagar/?referer=L-excel-formato&amp;utm_medium=act_formato_excel&amp;utm_source=act_formato_excel&amp;utm_campaign=act_formato_excel&amp;utm_content=act_formato_excel_link" xr:uid="{2E79D4D2-2DDF-44CD-AB39-C3BDA89957C9}"/>
    <hyperlink ref="B3905" r:id="rId1122" display="https://actualicese.com/formato-1004-por-2016-reporte-de-descuentos-al-impuesto-de-renta-o-de-ganancia-ocasional/?referer=L-excel-formato&amp;utm_medium=act_formato_excel&amp;utm_source=act_formato_excel&amp;utm_campaign=act_formato_excel&amp;utm_content=act_formato_excel_link" xr:uid="{161B2ED5-B9FE-4611-B10C-7E0F9BAEBDD3}"/>
    <hyperlink ref="B3907" r:id="rId1123" display="https://actualicese.com/formato-1647-por-2016-reportes-de-ingresos-recibidos-para-terceros/?referer=L-excel-formato&amp;utm_medium=act_formato_excel&amp;utm_source=act_formato_excel&amp;utm_campaign=act_formato_excel&amp;utm_content=act_formato_excel_link" xr:uid="{C20CE279-7FD1-4931-827F-25A47EFC63B7}"/>
    <hyperlink ref="B3909" r:id="rId1124" display="https://actualicese.com/formato-1007-por-2016-reportes-de-ingresos-propios/?referer=L-excel-formato&amp;utm_medium=act_formato_excel&amp;utm_source=act_formato_excel&amp;utm_campaign=act_formato_excel&amp;utm_content=act_formato_excel_link" xr:uid="{40868540-7BAD-4AD6-B62A-544EC8507AAB}"/>
    <hyperlink ref="B3911" r:id="rId1125" display="https://actualicese.com/formato-1001-por-2016-reportes-de-pagos-o-abonos-en-cuenta-y-sus-retenciones-a-terceros/?referer=L-excel-formato&amp;utm_medium=act_formato_excel&amp;utm_source=act_formato_excel&amp;utm_campaign=act_formato_excel&amp;utm_content=act_formato_excel_link" xr:uid="{8BA93677-DF76-4794-87F8-11E10357CFB1}"/>
    <hyperlink ref="B3913" r:id="rId1126" display="https://actualicese.com/formatos-2276-2278-y-2280-para-el-reporte-de-informacion-exogena-por-2016/?referer=L-excel-formato&amp;utm_medium=act_formato_excel&amp;utm_source=act_formato_excel&amp;utm_campaign=act_formato_excel&amp;utm_content=act_formato_excel_link" xr:uid="{A4FA847E-3AFC-4CC2-8E55-5E3720DE1D3A}"/>
    <hyperlink ref="B3915" r:id="rId1127" display="https://actualicese.com/formatos-1005-y-1006-por-2016-reportes-de-iva-generados-y-descontables/?referer=L-excel-formato&amp;utm_medium=act_formato_excel&amp;utm_source=act_formato_excel&amp;utm_campaign=act_formato_excel&amp;utm_content=act_formato_excel_link" xr:uid="{61BBECEE-3844-4E04-BB61-D61F99E99A95}"/>
    <hyperlink ref="B3917" r:id="rId1128" display="https://actualicese.com/formato-1010-por-2016-reportes-de-socios-cooperados-o-comuneros/?referer=L-excel-formato&amp;utm_medium=act_formato_excel&amp;utm_source=act_formato_excel&amp;utm_campaign=act_formato_excel&amp;utm_content=act_formato_excel_link" xr:uid="{B606AA92-2C34-481F-B7C4-2099E198E077}"/>
    <hyperlink ref="B3919" r:id="rId1129" display="https://actualicese.com/formato-1008-por-2016-reportes-de-cuentas-por-cobrar/?referer=L-excel-formato&amp;utm_medium=act_formato_excel&amp;utm_source=act_formato_excel&amp;utm_campaign=act_formato_excel&amp;utm_content=act_formato_excel_link" xr:uid="{7B7B1DB0-C19B-4C3D-967A-25B6B3ADDCB0}"/>
    <hyperlink ref="B3921" r:id="rId1130" display="https://actualicese.com/incentivos-de-la-reforma-tributaria-que-fueron-reglamentados-a-nivel-territorial/?referer=L-excel-formato&amp;utm_medium=act_formato_excel&amp;utm_source=act_formato_excel&amp;utm_campaign=act_formato_excel&amp;utm_content=act_formato_excel_link" xr:uid="{580EF05D-1221-424F-9F8A-05A20537D0B1}"/>
    <hyperlink ref="B3923" r:id="rId1131" display="https://actualicese.com/formatos-1011-1012-y-2275-por-2016-reportes-de-otros-datos-en-renta-o-en-ingresos-y-patrimonio/?referer=L-excel-formato&amp;utm_medium=act_formato_excel&amp;utm_source=act_formato_excel&amp;utm_campaign=act_formato_excel&amp;utm_content=act_formato_excel_link" xr:uid="{541D80C1-AC88-4929-8B1A-A00D7C673BBF}"/>
    <hyperlink ref="B3925" r:id="rId1132" display="https://actualicese.com/solicitud-al-banco-de-cheques-originales-pagados/?referer=L-excel-formato&amp;utm_medium=act_formato_excel&amp;utm_source=act_formato_excel&amp;utm_campaign=act_formato_excel&amp;utm_content=act_formato_excel_link" xr:uid="{A36BCE3B-D7A5-4179-B1A4-B1005240C415}"/>
    <hyperlink ref="B3927" r:id="rId1133" display="https://actualicese.com/dictamen-de-la-revisoria-fiscal-para-una-empresa-del-grupo-2-por-el-ano-2016/?referer=L-excel-formato&amp;utm_medium=act_formato_excel&amp;utm_source=act_formato_excel&amp;utm_campaign=act_formato_excel&amp;utm_content=act_formato_excel_link" xr:uid="{0EA2589F-67AD-4BDA-BB5A-7B391A848F62}"/>
    <hyperlink ref="B3929" r:id="rId1134" display="https://actualicese.com/matriz-para-definir-si-pertenece-al-regimen-simplificado-del-iva/?referer=L-excel-formato&amp;utm_medium=act_formato_excel&amp;utm_source=act_formato_excel&amp;utm_campaign=act_formato_excel&amp;utm_content=act_formato_excel_link" xr:uid="{730CCFC2-272B-4035-941F-8E483B9EE374}"/>
    <hyperlink ref="B3931" r:id="rId1135" display="https://actualicese.com/contrato-de-deposito-2/?referer=L-excel-formato&amp;utm_medium=act_formato_excel&amp;utm_source=act_formato_excel&amp;utm_campaign=act_formato_excel&amp;utm_content=act_formato_excel_link" xr:uid="{347159CD-23A7-47B2-9E62-24F400A7BF61}"/>
    <hyperlink ref="B3933" r:id="rId1136" display="https://actualicese.com/matriz-para-definir-si-pertenece-al-regimen-simplificado-del-impuesto-nacional-al-consumo/?referer=L-excel-formato&amp;utm_medium=act_formato_excel&amp;utm_source=act_formato_excel&amp;utm_campaign=act_formato_excel&amp;utm_content=act_formato_excel_link" xr:uid="{247C1D80-135C-4C04-9798-57ECA342E275}"/>
    <hyperlink ref="B3935" r:id="rId1137" display="https://actualicese.com/distribucion-de-productos/?referer=L-excel-formato&amp;utm_medium=act_formato_excel&amp;utm_source=act_formato_excel&amp;utm_campaign=act_formato_excel&amp;utm_content=act_formato_excel_link" xr:uid="{C1FC88A5-A5B3-4585-80AF-22DF611D42C3}"/>
    <hyperlink ref="B3937" r:id="rId1138" display="https://actualicese.com/arrendamiento-de-oficina-local-o-bodega/?referer=L-excel-formato&amp;utm_medium=act_formato_excel&amp;utm_source=act_formato_excel&amp;utm_campaign=act_formato_excel&amp;utm_content=act_formato_excel_link" xr:uid="{49C405A9-948B-4D47-8792-FAC77D3E7F0F}"/>
    <hyperlink ref="B3939" r:id="rId1139" display="https://actualicese.com/modelo-de-certificacion-de-estados-financieros-version-extendida/?referer=L-excel-formato&amp;utm_medium=act_formato_excel&amp;utm_source=act_formato_excel&amp;utm_campaign=act_formato_excel&amp;utm_content=act_formato_excel_link" xr:uid="{8A786750-F522-4C60-AB9B-873060151A80}"/>
    <hyperlink ref="B3941" r:id="rId1140" display="https://actualicese.com/cambios-en-conceptos-de-exogena-para-reportar-descuentos-tributarios-solicitados/?referer=L-excel-formato&amp;utm_medium=act_formato_excel&amp;utm_source=act_formato_excel&amp;utm_campaign=act_formato_excel&amp;utm_content=act_formato_excel_link" xr:uid="{E17D8F7B-153E-4A42-A4A4-7AEBCEF0A142}"/>
    <hyperlink ref="B3943" r:id="rId1141" display="https://actualicese.com/formularios-110-y-140-y-formato-1732-para-personas-juridicas-por-ano-gravable-2016/?referer=L-excel-formato&amp;utm_medium=act_formato_excel&amp;utm_source=act_formato_excel&amp;utm_campaign=act_formato_excel&amp;utm_content=act_formato_excel_link" xr:uid="{D2136459-9441-4896-A62D-88E0F0D36FD0}"/>
    <hyperlink ref="B3945" r:id="rId1142" display="https://actualicese.com/derecho-de-peticion-de-interes-particular-contra-empresa-de-servicios-publicos-esp/?referer=L-excel-formato&amp;utm_medium=act_formato_excel&amp;utm_source=act_formato_excel&amp;utm_campaign=act_formato_excel&amp;utm_content=act_formato_excel_link" xr:uid="{95B4171D-3EC5-4F0A-94CA-96D3E40DB82E}"/>
    <hyperlink ref="B3947" r:id="rId1143" display="https://actualicese.com/politica-contable-sobre-moneda-funcional-y-transacciones-en-moneda-extranjera-para-pymes/?referer=L-excel-formato&amp;utm_medium=act_formato_excel&amp;utm_source=act_formato_excel&amp;utm_campaign=act_formato_excel&amp;utm_content=act_formato_excel_link" xr:uid="{5E50D290-CDBA-4E3B-83A8-3E230465ED56}"/>
    <hyperlink ref="B3949" r:id="rId1144" display="https://actualicese.com/plantilla-para-elaborar-borrador-de-formulario-350-de-marzo-de-2017-en-adelante/?referer=L-excel-formato&amp;utm_medium=act_formato_excel&amp;utm_source=act_formato_excel&amp;utm_campaign=act_formato_excel&amp;utm_content=act_formato_excel_link" xr:uid="{3FB9BE95-7797-4D79-9844-DD08A45B7C5D}"/>
    <hyperlink ref="B3951" r:id="rId1145" display="https://actualicese.com/nuevos-conceptos-de-exogena-para-reportar-ingresos-por-operaciones-con-iva/?referer=L-excel-formato&amp;utm_medium=act_formato_excel&amp;utm_source=act_formato_excel&amp;utm_campaign=act_formato_excel&amp;utm_content=act_formato_excel_link" xr:uid="{E8F60F2C-1CE5-40D6-86E3-4580B8AC23AB}"/>
    <hyperlink ref="B3953" r:id="rId1146" display="https://actualicese.com/reunion-de-junta-directiva/?referer=L-excel-formato&amp;utm_medium=act_formato_excel&amp;utm_source=act_formato_excel&amp;utm_campaign=act_formato_excel&amp;utm_content=act_formato_excel_link" xr:uid="{3F2EB04D-9B8F-4DE7-AA8C-7EB9DA98578D}"/>
    <hyperlink ref="B3955" r:id="rId1147" display="https://actualicese.com/autorizacion-de-aumento-del-capital/?referer=L-excel-formato&amp;utm_medium=act_formato_excel&amp;utm_source=act_formato_excel&amp;utm_campaign=act_formato_excel&amp;utm_content=act_formato_excel_link" xr:uid="{7EBE47F4-BE9C-4CFE-8D7B-402B7175B5F8}"/>
    <hyperlink ref="B3957" r:id="rId1148" display="https://actualicese.com/cambios-en-conceptos-para-reportar-valores-de-costos-y-deducciones/?referer=L-excel-formato&amp;utm_medium=act_formato_excel&amp;utm_source=act_formato_excel&amp;utm_campaign=act_formato_excel&amp;utm_content=act_formato_excel_link" xr:uid="{A8036815-6C5E-488C-8216-7743C11B1181}"/>
    <hyperlink ref="B3959" r:id="rId1149" display="https://actualicese.com/iniciacion-de-arreglo-directo/?referer=L-excel-formato&amp;utm_medium=act_formato_excel&amp;utm_source=act_formato_excel&amp;utm_campaign=act_formato_excel&amp;utm_content=act_formato_excel_link" xr:uid="{A2C19667-68EB-4DD6-95DF-7D883AFA460C}"/>
    <hyperlink ref="B3961" r:id="rId1150" display="https://actualicese.com/modelo-informe-del-revisor-fiscal-con-isae/?referer=L-excel-formato&amp;utm_medium=act_formato_excel&amp;utm_source=act_formato_excel&amp;utm_campaign=act_formato_excel&amp;utm_content=act_formato_excel_link" xr:uid="{94006E40-250A-4347-8BE5-80B33D443834}"/>
    <hyperlink ref="B3963" r:id="rId1151" display="https://actualicese.com/cambios-en-los-conceptos-para-reportar-valores-de-rentas-exentas/?referer=L-excel-formato&amp;utm_medium=act_formato_excel&amp;utm_source=act_formato_excel&amp;utm_campaign=act_formato_excel&amp;utm_content=act_formato_excel_link" xr:uid="{A480C9C1-9076-43F3-BE22-0054D3045683}"/>
    <hyperlink ref="B3965" r:id="rId1152" display="https://actualicese.com/calendario-tributario-2017-automatizado/?referer=L-excel-formato&amp;utm_medium=act_formato_excel&amp;utm_source=act_formato_excel&amp;utm_campaign=act_formato_excel&amp;utm_content=act_formato_excel_link" xr:uid="{66F70161-0AF2-439F-89C3-E7145924DCC1}"/>
    <hyperlink ref="B3967" r:id="rId1153" display="https://actualicese.com/matricula-mercantil-y-establecimientos-de-comercio-costo-de-renovacion-ano-2017/?referer=L-excel-formato&amp;utm_medium=act_formato_excel&amp;utm_source=act_formato_excel&amp;utm_campaign=act_formato_excel&amp;utm_content=act_formato_excel_link" xr:uid="{2633A944-00D5-41D8-9CA5-BF141E31EDD3}"/>
    <hyperlink ref="B3969" r:id="rId1154" display="https://actualicese.com/cambios-en-los-conceptos-para-reportar-ingresos-no-constitutivos-de-renta-ni-ganancia-ocasional/?referer=L-excel-formato&amp;utm_medium=act_formato_excel&amp;utm_source=act_formato_excel&amp;utm_campaign=act_formato_excel&amp;utm_content=act_formato_excel_link" xr:uid="{F56F4293-6F50-4E9F-B673-EBC9CC0D9D8E}"/>
    <hyperlink ref="B3971" r:id="rId1155" display="https://actualicese.com/convocatoria-junta-de-socios-o-asamblea-general-extraordinaria/?referer=L-excel-formato&amp;utm_medium=act_formato_excel&amp;utm_source=act_formato_excel&amp;utm_campaign=act_formato_excel&amp;utm_content=act_formato_excel_link" xr:uid="{11D59096-DF86-481E-9D66-83CFFA724972}"/>
    <hyperlink ref="B3973" r:id="rId1156" display="https://actualicese.com/sintesis-de-las-modificaciones-de-la-ley-1819-de-2016-a-rentas-exentas-del-articulo-2017-2/?referer=L-excel-formato&amp;utm_medium=act_formato_excel&amp;utm_source=act_formato_excel&amp;utm_campaign=act_formato_excel&amp;utm_content=act_formato_excel_link" xr:uid="{16B33346-C8EF-45D6-8289-0A0B3DE87573}"/>
    <hyperlink ref="B3975" r:id="rId1157" display="https://actualicese.com/plantilla-para-elaborar-formulario-220-certificado-de-ingresos-y-retenciones-a-empleados-ano-gravable-2016/?referer=L-excel-formato&amp;utm_medium=act_formato_excel&amp;utm_source=act_formato_excel&amp;utm_campaign=act_formato_excel&amp;utm_content=act_formato_excel_link" xr:uid="{D61BCE6F-338A-430A-98C7-4BEAA70BD1CA}"/>
    <hyperlink ref="B3977" r:id="rId1158" display="https://actualicese.com/politicas-contables-mas-significativas-en-pymes/?referer=L-excel-formato&amp;utm_medium=act_formato_excel&amp;utm_source=act_formato_excel&amp;utm_campaign=act_formato_excel&amp;utm_content=act_formato_excel_link" xr:uid="{52EB3E69-4876-4CD0-802E-E8D1ACCCDA04}"/>
    <hyperlink ref="B3979" r:id="rId1159" display="https://actualicese.com/comprobante-de-prestamos-sobre-salarios/?referer=L-excel-formato&amp;utm_medium=act_formato_excel&amp;utm_source=act_formato_excel&amp;utm_campaign=act_formato_excel&amp;utm_content=act_formato_excel_link" xr:uid="{096F2EE9-9299-42D5-9819-9A2D4C7ECACD}"/>
    <hyperlink ref="B3981" r:id="rId1160" display="https://actualicese.com/nota-2-base-de-preparacion-de-estados-financieros-bajo-el-estandar-internacional-para-pymes/?referer=L-excel-formato&amp;utm_medium=act_formato_excel&amp;utm_source=act_formato_excel&amp;utm_campaign=act_formato_excel&amp;utm_content=act_formato_excel_link" xr:uid="{A49B895C-6975-4E1C-BA13-AE27B546E226}"/>
    <hyperlink ref="B3983" r:id="rId1161" display="https://actualicese.com/allanamiento-a-las-pretensiones-de-la-demanda/?referer=L-excel-formato&amp;utm_medium=act_formato_excel&amp;utm_source=act_formato_excel&amp;utm_campaign=act_formato_excel&amp;utm_content=act_formato_excel_link" xr:uid="{5281F21B-DDAA-4F41-8B4F-CF2C0C2408B6}"/>
    <hyperlink ref="B3985" r:id="rId1162" display="https://actualicese.com/calculo-de-retencion-sobre-dividendos-de-2016-o-anteriores-y-de-2017-y-siguientes/?referer=L-excel-formato&amp;utm_medium=act_formato_excel&amp;utm_source=act_formato_excel&amp;utm_campaign=act_formato_excel&amp;utm_content=act_formato_excel_link" xr:uid="{68C8FC1A-6AFD-45C8-A9B3-C5E9A036F7EB}"/>
    <hyperlink ref="B3987" r:id="rId1163" display="https://actualicese.com/demanda-de-divorcio-de-matrimonio-civil/?referer=L-excel-formato&amp;utm_medium=act_formato_excel&amp;utm_source=act_formato_excel&amp;utm_campaign=act_formato_excel&amp;utm_content=act_formato_excel_link" xr:uid="{4301F15A-8881-491E-8FE1-2B2848C76DAF}"/>
    <hyperlink ref="B3989" r:id="rId1164" display="https://actualicese.com/cuadro-tematico-con-los-cambios-introducidos-por-la-ley-de-reforma-tributaria-1819-de-2016/?referer=L-excel-formato&amp;utm_medium=act_formato_excel&amp;utm_source=act_formato_excel&amp;utm_campaign=act_formato_excel&amp;utm_content=act_formato_excel_link" xr:uid="{B30C5D43-8DE7-4053-B005-4ECC549DEEE6}"/>
    <hyperlink ref="B3991" r:id="rId1165" display="https://actualicese.com/matriz-para-clasificar-empresas-que-inicien-actividades-en-zomac-y-tarifa-en-renta-a-aplicar-por-2017/?referer=L-excel-formato&amp;utm_medium=act_formato_excel&amp;utm_source=act_formato_excel&amp;utm_campaign=act_formato_excel&amp;utm_content=act_formato_excel_link" xr:uid="{9BD5B06E-297F-45CA-BFB9-CAEE45FC1D51}"/>
    <hyperlink ref="B3993" r:id="rId1166" display="https://actualicese.com/cesion-de-derechos-hereditarios/?referer=L-excel-formato&amp;utm_medium=act_formato_excel&amp;utm_source=act_formato_excel&amp;utm_campaign=act_formato_excel&amp;utm_content=act_formato_excel_link" xr:uid="{24406E60-FE45-4ED9-8946-6DDD5458819F}"/>
    <hyperlink ref="B3995" r:id="rId1167" display="https://actualicese.com/tabla-de-retencion-en-la-fuente-sobre-ingresos-laborales/?referer=L-excel-formato&amp;utm_medium=act_formato_excel&amp;utm_source=act_formato_excel&amp;utm_campaign=act_formato_excel&amp;utm_content=act_formato_excel_link" xr:uid="{1B6C2C34-3114-4D0F-9BAD-9A61A8656AC8}"/>
    <hyperlink ref="B3997" r:id="rId1168" display="https://actualicese.com/matriz-para-determinar-valor-de-excesos-de-renta-presuntiva-y-de-base-minima-a-compensar/?referer=L-excel-formato&amp;utm_medium=act_formato_excel&amp;utm_source=act_formato_excel&amp;utm_campaign=act_formato_excel&amp;utm_content=act_formato_excel_link" xr:uid="{5498CB28-32E5-473D-82F5-23DBAB4A9B91}"/>
    <hyperlink ref="B3999" r:id="rId1169" display="https://actualicese.com/matriz-para-determinar-valor-de-perdidas-fiscales-susceptibles-de-compensacion-segun-reforma/?referer=L-excel-formato&amp;utm_medium=act_formato_excel&amp;utm_source=act_formato_excel&amp;utm_campaign=act_formato_excel&amp;utm_content=act_formato_excel_link" xr:uid="{022D417C-46D5-4BEF-9B40-E2FC0FC1E0B4}"/>
    <hyperlink ref="B4001" r:id="rId1170" display="https://actualicese.com/informacion-laboral-2017/?referer=L-excel-formato&amp;utm_medium=act_formato_excel&amp;utm_source=act_formato_excel&amp;utm_campaign=act_formato_excel&amp;utm_content=act_formato_excel_link" xr:uid="{AA5E0C30-1A0E-4A5B-AFDC-558396B069C1}"/>
    <hyperlink ref="B4003" r:id="rId1171" display="https://actualicese.com/poder-especial-para-adelantar-proceso-ejecutivo/?referer=L-excel-formato&amp;utm_medium=act_formato_excel&amp;utm_source=act_formato_excel&amp;utm_campaign=act_formato_excel&amp;utm_content=act_formato_excel_link" xr:uid="{DB129A98-21CE-422F-9847-3864753EFB26}"/>
    <hyperlink ref="B4005" r:id="rId1172" display="https://actualicese.com/sobretasa-del-impuesto-de-renta-y-complementario-de-personas-juridicas/?referer=L-excel-formato&amp;utm_medium=act_formato_excel&amp;utm_source=act_formato_excel&amp;utm_campaign=act_formato_excel&amp;utm_content=act_formato_excel_link" xr:uid="{95874B8E-CED3-4757-A571-6A847AADBFDC}"/>
    <hyperlink ref="B4007" r:id="rId1173" display="https://actualicese.com/matriz-para-definir-periodicidad-de-declaracion-y-pago-de-iva-en-2017-segun-reforma-tributaria-2016/?referer=L-excel-formato&amp;utm_medium=act_formato_excel&amp;utm_source=act_formato_excel&amp;utm_campaign=act_formato_excel&amp;utm_content=act_formato_excel_link" xr:uid="{4A5C63B8-A4A7-4B80-A887-FB7C7D471694}"/>
    <hyperlink ref="B4009" r:id="rId1174" display="https://actualicese.com/liquidador-de-seguridad-social-y-provision-de-prestaciones-sociales-para-servicio-domestico/?referer=L-excel-formato&amp;utm_medium=act_formato_excel&amp;utm_source=act_formato_excel&amp;utm_campaign=act_formato_excel&amp;utm_content=act_formato_excel_link" xr:uid="{87415572-0BC4-40FD-AF11-1D60F57D1284}"/>
    <hyperlink ref="B4011" r:id="rId1175" display="https://actualicese.com/guia-listado-de-bienes-y-servicios-cuya-clasificacion-frente-al-iva-fue-modificada-con-la-ley-1819/?referer=L-excel-formato&amp;utm_medium=act_formato_excel&amp;utm_source=act_formato_excel&amp;utm_campaign=act_formato_excel&amp;utm_content=act_formato_excel_link" xr:uid="{5EE518A7-A80C-4E1D-AB16-D4F0B8DC5EB3}"/>
    <hyperlink ref="B4013" r:id="rId1176" display="https://actualicese.com/guia-tablas-de-retencion-en-la-fuente-a-titulo-de-los-impuestos-nacionales-durante-el-ano-fiscal-2017/?referer=L-excel-formato&amp;utm_medium=act_formato_excel&amp;utm_source=act_formato_excel&amp;utm_campaign=act_formato_excel&amp;utm_content=act_formato_excel_link" xr:uid="{00F5F22A-98E9-4A88-8E76-9FA3CC4FD034}"/>
    <hyperlink ref="B4015" r:id="rId1177" display="https://actualicese.com/liquidador-gravamen-progresivo-en-impuesto-de-renta-de-personas-naturales/?referer=L-excel-formato&amp;utm_medium=act_formato_excel&amp;utm_source=act_formato_excel&amp;utm_campaign=act_formato_excel&amp;utm_content=act_formato_excel_link" xr:uid="{F3687741-6784-402C-9862-4CB9A9E1302E}"/>
    <hyperlink ref="B4017" r:id="rId1178" display="https://actualicese.com/matriz-para-definir-quien-puede-acogerse-al-monotributo-por-el-ano-2017-segun-reforma-tributaria/?referer=L-excel-formato&amp;utm_medium=act_formato_excel&amp;utm_source=act_formato_excel&amp;utm_campaign=act_formato_excel&amp;utm_content=act_formato_excel_link" xr:uid="{5E442D82-FE5C-4E4C-BF91-846433128811}"/>
    <hyperlink ref="B4019" r:id="rId1179" display="https://actualicese.com/matriz-para-definir-categoria-en-monotributo-y-valor-a-pagar-en-2017-segun-reforma-tributaria-2016/?referer=L-excel-formato&amp;utm_medium=act_formato_excel&amp;utm_source=act_formato_excel&amp;utm_campaign=act_formato_excel&amp;utm_content=act_formato_excel_link" xr:uid="{56BC8BA7-CABE-4977-AED1-F0066AED147C}"/>
    <hyperlink ref="B4021" r:id="rId1180" display="https://actualicese.com/poder-especial-otorgado-por-representante-legal-de-persona-juridica/?referer=L-excel-formato&amp;utm_medium=act_formato_excel&amp;utm_source=act_formato_excel&amp;utm_campaign=act_formato_excel&amp;utm_content=act_formato_excel_link" xr:uid="{A78CC81F-C607-447E-842E-A22ED4C09F66}"/>
    <hyperlink ref="B4023" r:id="rId1181" display="https://actualicese.com/tabla-de-retenciones-en-la-fuente-por-renta-ano-fiscal-2017/?referer=L-excel-formato&amp;utm_medium=act_formato_excel&amp;utm_source=act_formato_excel&amp;utm_campaign=act_formato_excel&amp;utm_content=act_formato_excel_link" xr:uid="{0F1D1F0F-FC9B-4D37-9D34-2144D0FA117B}"/>
    <hyperlink ref="B4025" r:id="rId1182" display="https://actualicese.com/calendario-tributario-distrital-2017/?referer=L-excel-formato&amp;utm_medium=act_formato_excel&amp;utm_source=act_formato_excel&amp;utm_campaign=act_formato_excel&amp;utm_content=act_formato_excel_link" xr:uid="{13BADE8C-736F-401C-82CE-2C4A323E679D}"/>
    <hyperlink ref="B4027" r:id="rId1183" display="https://actualicese.com/cedula-de-control-para-valoracion-de-riesgos-en-compras/?referer=L-excel-formato&amp;utm_medium=act_formato_excel&amp;utm_source=act_formato_excel&amp;utm_campaign=act_formato_excel&amp;utm_content=act_formato_excel_link" xr:uid="{92987A3D-95C4-4570-94E9-FABBCB432F7A}"/>
    <hyperlink ref="B4029" r:id="rId1184" display="https://actualicese.com/matriz-para-definir-categoria-en-monotributo-y-valor-a-pagar-en-2017-segun-reforma-tributaria/?referer=L-excel-formato&amp;utm_medium=act_formato_excel&amp;utm_source=act_formato_excel&amp;utm_campaign=act_formato_excel&amp;utm_content=act_formato_excel_link" xr:uid="{B3764460-032E-4966-90F0-A1DF7ED6C778}"/>
    <hyperlink ref="B4031" r:id="rId1185" display="https://actualicese.com/matriz-para-definir-la-periodicidad-de-declaracion-y-pago-del-iva-en-2017-segun-reforma-tributaria/?referer=L-excel-formato&amp;utm_medium=act_formato_excel&amp;utm_source=act_formato_excel&amp;utm_campaign=act_formato_excel&amp;utm_content=act_formato_excel_link" xr:uid="{F8940BAC-1526-45B4-A901-57FE39E2FE68}"/>
    <hyperlink ref="B4033" r:id="rId1186" display="https://actualicese.com/lista-de-chequeo-de-revelaciones-seccion-27-deterioro-del-valor-de-los-activos/?referer=L-excel-formato&amp;utm_medium=act_formato_excel&amp;utm_source=act_formato_excel&amp;utm_campaign=act_formato_excel&amp;utm_content=act_formato_excel_link" xr:uid="{5E154DE8-849E-4DC2-95B5-D7CDCD6B59AB}"/>
    <hyperlink ref="B4035" r:id="rId1187" display="https://actualicese.com/matriz-para-definir-obligados-a-declarar-renta-segun-reforma-tributaria-aprobada-en-primer-debate/?referer=L-excel-formato&amp;utm_medium=act_formato_excel&amp;utm_source=act_formato_excel&amp;utm_campaign=act_formato_excel&amp;utm_content=act_formato_excel_link" xr:uid="{5B3CF23F-9DD4-4946-89F2-329017D36E01}"/>
    <hyperlink ref="B4037" r:id="rId1188" display="https://actualicese.com/modelo-para-definir-porcentaje-fijo-de-retefuente-sobre-salarios-en-diciembre-2016-procedimiento-2/?referer=L-excel-formato&amp;utm_medium=act_formato_excel&amp;utm_source=act_formato_excel&amp;utm_campaign=act_formato_excel&amp;utm_content=act_formato_excel_link" xr:uid="{61D8BD55-1382-4F40-8563-2128D14E6D70}"/>
    <hyperlink ref="B4039" r:id="rId1189" display="https://actualicese.com/modelo-de-carta-para-solicitar-a-la-empresa-de-servicios-publicos-la-suspension-del-contrato-de-telefonia-e-internet/?referer=L-excel-formato&amp;utm_medium=act_formato_excel&amp;utm_source=act_formato_excel&amp;utm_campaign=act_formato_excel&amp;utm_content=act_formato_excel_link" xr:uid="{6F79AF5E-4B6E-4469-BE47-1440BBF9B191}"/>
    <hyperlink ref="B4041" r:id="rId1190" display="https://actualicese.com/lista-de-chequeo-de-revelaciones-seccion-26-pagos-basados-en-acciones/?referer=L-excel-formato&amp;utm_medium=act_formato_excel&amp;utm_source=act_formato_excel&amp;utm_campaign=act_formato_excel&amp;utm_content=act_formato_excel_link" xr:uid="{7E7A2564-0D27-4F61-86C0-22145C28EA54}"/>
    <hyperlink ref="B4043" r:id="rId1191" display="https://actualicese.com/calendario-tributario-2017/?referer=L-excel-formato&amp;utm_medium=act_formato_excel&amp;utm_source=act_formato_excel&amp;utm_campaign=act_formato_excel&amp;utm_content=act_formato_excel_link" xr:uid="{BCFC2C69-64F2-4E96-9B53-3818E613CF44}"/>
    <hyperlink ref="B4045" r:id="rId1192" display="https://actualicese.com/modelo-para-otorgar-poder-de-representacion-ante-una-junta-de-socios-o-asamblea-de-accionistas/?referer=L-excel-formato&amp;utm_medium=act_formato_excel&amp;utm_source=act_formato_excel&amp;utm_campaign=act_formato_excel&amp;utm_content=act_formato_excel_link" xr:uid="{F6068D24-F60E-4E5F-B831-A67664BD67FB}"/>
    <hyperlink ref="B4047" r:id="rId1193" display="https://actualicese.com/lista-de-chequeo-de-revelaciones-seccion-24-subvenciones-del-gobierno/?referer=L-excel-formato&amp;utm_medium=act_formato_excel&amp;utm_source=act_formato_excel&amp;utm_campaign=act_formato_excel&amp;utm_content=act_formato_excel_link" xr:uid="{4A391DD8-6A7D-47E3-8B3A-52B31048EDCA}"/>
    <hyperlink ref="B4049" r:id="rId1194" display="https://actualicese.com/matriz-para-definir-si-puede-acogerse-al-monotributo-por-el-ano-2017-segun-proyecto-reforma-tributaria/?referer=L-excel-formato&amp;utm_medium=act_formato_excel&amp;utm_source=act_formato_excel&amp;utm_campaign=act_formato_excel&amp;utm_content=act_formato_excel_link" xr:uid="{67F0D172-B2CA-4819-8D22-DD3C5A88ADCA}"/>
    <hyperlink ref="B4051" r:id="rId1195" display="https://actualicese.com/formato-autorizacion-permiso-de-salida-del-pais-para-menores/?referer=L-excel-formato&amp;utm_medium=act_formato_excel&amp;utm_source=act_formato_excel&amp;utm_campaign=act_formato_excel&amp;utm_content=act_formato_excel_link" xr:uid="{5872C200-952A-4B2D-97DE-4E47BB5D8575}"/>
    <hyperlink ref="B4053" r:id="rId1196" display="https://actualicese.com/lista-de-chequeo-de-revelaciones-seccion-23-ingresos-de-actividades-ordinarias/?referer=L-excel-formato&amp;utm_medium=act_formato_excel&amp;utm_source=act_formato_excel&amp;utm_campaign=act_formato_excel&amp;utm_content=act_formato_excel_link" xr:uid="{930C1602-7518-4EB9-B6CE-6B882700D01D}"/>
    <hyperlink ref="B4055" r:id="rId1197" display="https://actualicese.com/matriz-para-definir-obligados-a-declarar-renta-por-el-2017-segun-proyecto-reforma-tributaria/?referer=L-excel-formato&amp;utm_medium=act_formato_excel&amp;utm_source=act_formato_excel&amp;utm_campaign=act_formato_excel&amp;utm_content=act_formato_excel_link" xr:uid="{3C547D24-2025-4350-BAC6-F0F5172156D8}"/>
    <hyperlink ref="B4057" r:id="rId1198" display="https://actualicese.com/calculos-para-determinar-valores-susceptibles-de-ser-compensados/?referer=L-excel-formato&amp;utm_medium=act_formato_excel&amp;utm_source=act_formato_excel&amp;utm_campaign=act_formato_excel&amp;utm_content=act_formato_excel_link" xr:uid="{9E0CAD5E-1BCE-4C01-8CE2-8D57FDB923F8}"/>
    <hyperlink ref="B4059" r:id="rId1199" display="https://actualicese.com/representacion-ante-la-superintendencia-de-sociedades/?referer=L-excel-formato&amp;utm_medium=act_formato_excel&amp;utm_source=act_formato_excel&amp;utm_campaign=act_formato_excel&amp;utm_content=act_formato_excel_link" xr:uid="{535DCC8D-0DF4-4B5E-AC87-F4EA9248F349}"/>
    <hyperlink ref="B4061" r:id="rId1200" display="https://actualicese.com/tarifas-en-impuesto-y-sobretasa-en-renta-para-empresas-editoriales-segun-proyecto-de-reforma/?referer=L-excel-formato&amp;utm_medium=act_formato_excel&amp;utm_source=act_formato_excel&amp;utm_campaign=act_formato_excel&amp;utm_content=act_formato_excel_link" xr:uid="{A4231CF5-C773-4A38-9DE0-FCE4C60A8831}"/>
    <hyperlink ref="B4063" r:id="rId1201" display="https://actualicese.com/matriz-para-determinar-el-valor-de-las-perdidas-fiscales-susceptibles-de-ser-compensadas/?referer=L-excel-formato&amp;utm_medium=act_formato_excel&amp;utm_source=act_formato_excel&amp;utm_campaign=act_formato_excel&amp;utm_content=act_formato_excel_link" xr:uid="{588077A7-0C4F-4AC3-B8F1-D4EFF23F26B9}"/>
    <hyperlink ref="B4065" r:id="rId1202" display="https://actualicese.com/impuesto-de-renta-de-persona-natural-segun-proyecto-de-reforma-tributaria/?referer=L-excel-formato&amp;utm_medium=act_formato_excel&amp;utm_source=act_formato_excel&amp;utm_campaign=act_formato_excel&amp;utm_content=act_formato_excel_link" xr:uid="{AC9E1E3F-F203-4B70-AF75-726B38925713}"/>
    <hyperlink ref="B4067" r:id="rId1203" display="https://actualicese.com/tablas-de-gravamen-progresivo-en-impuesto-y-retencion-por-renta-de-personas-naturales/?referer=L-excel-formato&amp;utm_medium=act_formato_excel&amp;utm_source=act_formato_excel&amp;utm_campaign=act_formato_excel&amp;utm_content=act_formato_excel_link" xr:uid="{AA90D776-3595-49C9-AF26-1D99F7090343}"/>
    <hyperlink ref="B4069" r:id="rId1204" display="https://actualicese.com/estatuto-tributario-concordado-con-el-proyecto-de-ley-de-reforma-tributaria/?referer=L-excel-formato&amp;utm_medium=act_formato_excel&amp;utm_source=act_formato_excel&amp;utm_campaign=act_formato_excel&amp;utm_content=act_formato_excel_link" xr:uid="{A95AA9B1-B9BB-4E06-9575-7056118C1DD3}"/>
    <hyperlink ref="B4071" r:id="rId1205" display="https://actualicese.com/dictamen-de-modelo-limpio-o-sin-salvedades-del-revisor-fiscal/?referer=L-excel-formato&amp;utm_medium=act_formato_excel&amp;utm_source=act_formato_excel&amp;utm_campaign=act_formato_excel&amp;utm_content=act_formato_excel_link" xr:uid="{FBEEC8D9-524C-4D9A-B3ED-69FF73A0B4E3}"/>
    <hyperlink ref="B4073" r:id="rId1206" display="https://actualicese.com/estructura-general-del-proyecto-ley-reforma-tributaria-estructural/?referer=L-excel-formato&amp;utm_medium=act_formato_excel&amp;utm_source=act_formato_excel&amp;utm_campaign=act_formato_excel&amp;utm_content=act_formato_excel_link" xr:uid="{1E012F9F-9CC9-471A-B489-32780A388070}"/>
    <hyperlink ref="B4075" r:id="rId1207" display="https://actualicese.com/contrato-de-trabajo-con-salario-integral/?referer=L-excel-formato&amp;utm_medium=act_formato_excel&amp;utm_source=act_formato_excel&amp;utm_campaign=act_formato_excel&amp;utm_content=act_formato_excel_link" xr:uid="{B49434CB-F4FC-4C19-8A5F-BB5D048C45D0}"/>
    <hyperlink ref="B4077" r:id="rId1208" display="https://actualicese.com/matriz-para-establecer-cumplimiento-de-criterios-para-ser-calificado-como-gran-contribuyente/?referer=L-excel-formato&amp;utm_medium=act_formato_excel&amp;utm_source=act_formato_excel&amp;utm_campaign=act_formato_excel&amp;utm_content=act_formato_excel_link" xr:uid="{141149B2-CCD9-4F98-8E32-9DFAE64D0D24}"/>
    <hyperlink ref="B4079" r:id="rId1209" display="https://actualicese.com/esfa-y-estados-financieros-2015-y-2016-caso-practico/?referer=L-excel-formato&amp;utm_medium=act_formato_excel&amp;utm_source=act_formato_excel&amp;utm_campaign=act_formato_excel&amp;utm_content=act_formato_excel_link" xr:uid="{4F189770-58AA-4CF7-99B4-F9A2EEFE0B64}"/>
    <hyperlink ref="B4081" r:id="rId1210" display="https://actualicese.com/matriz-para-definir-la-periodicidad-para-declarar-y-pagar-la-autorretencion-del-cree/?referer=L-excel-formato&amp;utm_medium=act_formato_excel&amp;utm_source=act_formato_excel&amp;utm_campaign=act_formato_excel&amp;utm_content=act_formato_excel_link" xr:uid="{7AD1DBCD-C905-4F3F-9E1A-6DB650CE35C6}"/>
    <hyperlink ref="B4083" r:id="rId1211" display="https://actualicese.com/aplicacion-del-estandar-para-pymes-por-representante-legal-y-contador/?referer=L-excel-formato&amp;utm_medium=act_formato_excel&amp;utm_source=act_formato_excel&amp;utm_campaign=act_formato_excel&amp;utm_content=act_formato_excel_link" xr:uid="{B572CFBB-B77C-492A-9B02-34CBB45B3345}"/>
    <hyperlink ref="B4085" r:id="rId1212" display="https://actualicese.com/matriz-para-definir-la-periodicidad-de-declaracion-y-pago-del-impuesto-sobre-las-ventas/?referer=L-excel-formato&amp;utm_medium=act_formato_excel&amp;utm_source=act_formato_excel&amp;utm_campaign=act_formato_excel&amp;utm_content=act_formato_excel_link" xr:uid="{6E9E402C-C10C-4C32-9CAC-2B1F8BC3A34E}"/>
    <hyperlink ref="B4087" r:id="rId1213" display="https://actualicese.com/informe-de-directivos-aplicacion-de-los-estandares-internacionales-grupo-2/?referer=L-excel-formato&amp;utm_medium=act_formato_excel&amp;utm_source=act_formato_excel&amp;utm_campaign=act_formato_excel&amp;utm_content=act_formato_excel_link" xr:uid="{BE88DA2D-F8E7-4411-B53F-E4B4C8538EBC}"/>
    <hyperlink ref="B4089" r:id="rId1214" display="https://actualicese.com/formato-especificaciones-de-los-servicios-para-acceder-a-incentivos-de-la-ley-1715-del-2014/?referer=L-excel-formato&amp;utm_medium=act_formato_excel&amp;utm_source=act_formato_excel&amp;utm_campaign=act_formato_excel&amp;utm_content=act_formato_excel_link" xr:uid="{086887EE-64C0-46CE-9600-750052A36A59}"/>
    <hyperlink ref="B4091" r:id="rId1215" display="https://actualicese.com/reglamento-para-la-emision-de-acciones/?referer=L-excel-formato&amp;utm_medium=act_formato_excel&amp;utm_source=act_formato_excel&amp;utm_campaign=act_formato_excel&amp;utm_content=act_formato_excel_link" xr:uid="{AC955070-1CEA-4063-A177-996B32394FD0}"/>
    <hyperlink ref="B4093" r:id="rId1216" display="https://actualicese.com/formato-especificaciones-del-elemento-equipo-yo-maquinaria-para-acceder-a-incentivos-de-la-ley-1715/?referer=L-excel-formato&amp;utm_medium=act_formato_excel&amp;utm_source=act_formato_excel&amp;utm_campaign=act_formato_excel&amp;utm_content=act_formato_excel_link" xr:uid="{DF2512E4-D031-4562-957F-EA49DDBB3DD9}"/>
    <hyperlink ref="B4095" r:id="rId1217" display="https://actualicese.com/disolucion-de-una-sociedad/?referer=L-excel-formato&amp;utm_medium=act_formato_excel&amp;utm_source=act_formato_excel&amp;utm_campaign=act_formato_excel&amp;utm_content=act_formato_excel_link" xr:uid="{0DCC3F6E-F4BF-4EED-B0A4-59119E6F0443}"/>
    <hyperlink ref="B4097" r:id="rId1218" display="https://actualicese.com/formato-unico-de-solicitud-de-certificacion-de-beneficios-ambientales/?referer=L-excel-formato&amp;utm_medium=act_formato_excel&amp;utm_source=act_formato_excel&amp;utm_campaign=act_formato_excel&amp;utm_content=act_formato_excel_link" xr:uid="{C9699E3A-F99F-4C40-AE4B-E7E516744537}"/>
    <hyperlink ref="B4099" r:id="rId1219" display="https://actualicese.com/cuadro-sinoptico-de-la-generacion-del-iva-en-operaciones-con-empresas-en-zonas-francas/?referer=L-excel-formato&amp;utm_medium=act_formato_excel&amp;utm_source=act_formato_excel&amp;utm_campaign=act_formato_excel&amp;utm_content=act_formato_excel_link" xr:uid="{41484537-FBFF-45B1-85D4-E525B1DF5AF4}"/>
    <hyperlink ref="B4101" r:id="rId1220" display="https://actualicese.com/modelos-de-autorizacion-para-obtener-renovar-o-cancelar-la-firma-digital/?referer=L-excel-formato&amp;utm_medium=act_formato_excel&amp;utm_source=act_formato_excel&amp;utm_campaign=act_formato_excel&amp;utm_content=act_formato_excel_link" xr:uid="{F7DF1222-FAA1-4489-ADB2-362C4461C663}"/>
    <hyperlink ref="B4103" r:id="rId1221" display="https://actualicese.com/modelo-de-memorial-para-solicitarle-al-juez-librar-medida-cautelar/?referer=L-excel-formato&amp;utm_medium=act_formato_excel&amp;utm_source=act_formato_excel&amp;utm_campaign=act_formato_excel&amp;utm_content=act_formato_excel_link" xr:uid="{9F395D47-67D7-45E9-B8C1-1250C4B89F34}"/>
    <hyperlink ref="B4105" r:id="rId1222" display="https://actualicese.com/modelo-de-reclamacion-por-garantia/?referer=L-excel-formato&amp;utm_medium=act_formato_excel&amp;utm_source=act_formato_excel&amp;utm_campaign=act_formato_excel&amp;utm_content=act_formato_excel_link" xr:uid="{874A574B-47D8-425C-A33B-E357EDB53888}"/>
    <hyperlink ref="B4107" r:id="rId1223" display="https://actualicese.com/matriz-para-definir-el-sistema-mediante-el-cual-puede-declarar-un-trabajador-por-cuenta-propia/?referer=L-excel-formato&amp;utm_medium=act_formato_excel&amp;utm_source=act_formato_excel&amp;utm_campaign=act_formato_excel&amp;utm_content=act_formato_excel_link" xr:uid="{4AE0CADB-7F26-4A36-8A57-565037C1B9EB}"/>
    <hyperlink ref="B4109" r:id="rId1224" display="https://actualicese.com/acta-de-junta-directiva-para-autorizar-al-gerente-a-suscribir-contratos/?referer=L-excel-formato&amp;utm_medium=act_formato_excel&amp;utm_source=act_formato_excel&amp;utm_campaign=act_formato_excel&amp;utm_content=act_formato_excel_link" xr:uid="{7BF91A76-490F-49C8-814F-7E2241ACF2B1}"/>
    <hyperlink ref="B4111" r:id="rId1225" display="https://actualicese.com/modelo-de-politica-contable-para-el-valor-residual/?referer=L-excel-formato&amp;utm_medium=act_formato_excel&amp;utm_source=act_formato_excel&amp;utm_campaign=act_formato_excel&amp;utm_content=act_formato_excel_link" xr:uid="{1F5D8956-D4AE-4D0A-A0A7-E16CEE5573BE}"/>
    <hyperlink ref="B4113" r:id="rId1226" display="https://actualicese.com/modelo-de-comprobante-de-pago-con-caja-menor/?referer=L-excel-formato&amp;utm_medium=act_formato_excel&amp;utm_source=act_formato_excel&amp;utm_campaign=act_formato_excel&amp;utm_content=act_formato_excel_link" xr:uid="{7E3B0D5D-7E67-4D2B-A89C-2DA4893121A7}"/>
    <hyperlink ref="B4115" r:id="rId1227" display="https://actualicese.com/matriz-para-definir-el-sistema-mediante-el-cual-puede-declarar-un-empleado-por-el-ano-gravable-2015/?referer=L-excel-formato&amp;utm_medium=act_formato_excel&amp;utm_source=act_formato_excel&amp;utm_campaign=act_formato_excel&amp;utm_content=act_formato_excel_link" xr:uid="{4EEFED2F-2521-41B2-95C1-341019FB4FD6}"/>
    <hyperlink ref="B4117" r:id="rId1228" display="https://actualicese.com/modelo-de-circularizacion-con-abogados/?referer=L-excel-formato&amp;utm_medium=act_formato_excel&amp;utm_source=act_formato_excel&amp;utm_campaign=act_formato_excel&amp;utm_content=act_formato_excel_link" xr:uid="{345B56B6-A1B0-4F9D-B333-413CD19B4A0A}"/>
    <hyperlink ref="B4119" r:id="rId1229" display="https://actualicese.com/cuota-mensual-en-el-pago-de-una-obligacion-financiera/?referer=L-excel-formato&amp;utm_medium=act_formato_excel&amp;utm_source=act_formato_excel&amp;utm_campaign=act_formato_excel&amp;utm_content=act_formato_excel_link" xr:uid="{3C5918DF-37B5-453E-9F65-318C24D92FCB}"/>
    <hyperlink ref="B4121" r:id="rId1230" display="https://actualicese.com/flujo-de-caja-especial-para-una-microempresa/?referer=L-excel-formato&amp;utm_medium=act_formato_excel&amp;utm_source=act_formato_excel&amp;utm_campaign=act_formato_excel&amp;utm_content=act_formato_excel_link" xr:uid="{A1479CEE-99F1-493C-AFC5-F4C5EBE7948D}"/>
    <hyperlink ref="B4123" r:id="rId1231" display="https://actualicese.com/matriz-para-definir-si-una-persona-natural-esta-obligada-a-declarar-renta-por-el-2015/?referer=L-excel-formato&amp;utm_medium=act_formato_excel&amp;utm_source=act_formato_excel&amp;utm_campaign=act_formato_excel&amp;utm_content=act_formato_excel_link" xr:uid="{2E90A3EF-9DA5-4475-B6B8-F51478A3BB40}"/>
    <hyperlink ref="B4125" r:id="rId1232" display="https://actualicese.com/poder-de-representacion-en-asambleajunta-general-de-asociados/?referer=L-excel-formato&amp;utm_medium=act_formato_excel&amp;utm_source=act_formato_excel&amp;utm_campaign=act_formato_excel&amp;utm_content=act_formato_excel_link" xr:uid="{F426F577-0A97-4CBE-87DF-545B09DE32A7}"/>
    <hyperlink ref="B4127" r:id="rId1233" display="https://actualicese.com/segunda-convocatoria-a-asamblea-general-ordinaria-de-sociosaccionistas/?referer=L-excel-formato&amp;utm_medium=act_formato_excel&amp;utm_source=act_formato_excel&amp;utm_campaign=act_formato_excel&amp;utm_content=act_formato_excel_link" xr:uid="{A55E29E9-40F9-4BAB-93E0-07D645A8DB29}"/>
    <hyperlink ref="B4129" r:id="rId1234" display="https://actualicese.com/modelo-simple-de-programa-de-auditoria-a-inversiones-en-pymes/?referer=L-excel-formato&amp;utm_medium=act_formato_excel&amp;utm_source=act_formato_excel&amp;utm_campaign=act_formato_excel&amp;utm_content=act_formato_excel_link" xr:uid="{4AEEB580-D613-4ED0-A43E-B3962FF533AD}"/>
    <hyperlink ref="B4131" r:id="rId1235" display="https://actualicese.com/modelo-de-acta-para-nombramiento-de-junta-directiva-yo-revisor-fiscal/?referer=L-excel-formato&amp;utm_medium=act_formato_excel&amp;utm_source=act_formato_excel&amp;utm_campaign=act_formato_excel&amp;utm_content=act_formato_excel_link" xr:uid="{0B33EA2C-4B7B-4851-B5DE-73A4B9AD3B13}"/>
    <hyperlink ref="B4133" r:id="rId1236" display="https://actualicese.com/herramienta-calculadora-de-tarifas-en-la-contaduria-publica/?referer=L-excel-formato&amp;utm_medium=act_formato_excel&amp;utm_source=act_formato_excel&amp;utm_campaign=act_formato_excel&amp;utm_content=act_formato_excel_link" xr:uid="{5623B60C-98EC-400D-B8BF-3A16C368445C}"/>
    <hyperlink ref="B4135" r:id="rId1237" display="https://actualicese.com/modelo-para-la-aprobacion-de-politicas-contables-para-entidades-del-sector-publico-resolucion-414/?referer=L-excel-formato&amp;utm_medium=act_formato_excel&amp;utm_source=act_formato_excel&amp;utm_campaign=act_formato_excel&amp;utm_content=act_formato_excel_link" xr:uid="{7A9A5C6B-8A31-4034-BB16-27228B040C99}"/>
    <hyperlink ref="B4137" r:id="rId1238" display="https://actualicese.com/matriz-para-definir-contribuyentes-no-obligados-a-presentar-declaracion-de-renta/?referer=L-excel-formato&amp;utm_medium=act_formato_excel&amp;utm_source=act_formato_excel&amp;utm_campaign=act_formato_excel&amp;utm_content=act_formato_excel_link" xr:uid="{B6A3916E-D0A6-4FB5-9842-E739AC5B213B}"/>
    <hyperlink ref="B4139" r:id="rId1239" display="https://actualicese.com/servicios-y-contratos-en-los-cuales-se-puede-aplicar-aiu/?referer=L-excel-formato&amp;utm_medium=act_formato_excel&amp;utm_source=act_formato_excel&amp;utm_campaign=act_formato_excel&amp;utm_content=act_formato_excel_link" xr:uid="{C3EDA82C-4AA4-47BD-BB09-D840693A5A4E}"/>
    <hyperlink ref="B4141" r:id="rId1240" display="https://actualicese.com/lista-de-chequeo-de-revelaciones-seccion-19-combinaciones-de-negocio-y-plusvalia/?referer=L-excel-formato&amp;utm_medium=act_formato_excel&amp;utm_source=act_formato_excel&amp;utm_campaign=act_formato_excel&amp;utm_content=act_formato_excel_link" xr:uid="{C6FA8F86-DDF3-4203-8471-0694ABF95783}"/>
    <hyperlink ref="B4143" r:id="rId1241" display="https://actualicese.com/modelo-para-el-calculo-de-la-sancion-por-correccion-en-una-declaracion-de-renta-2/?referer=L-excel-formato&amp;utm_medium=act_formato_excel&amp;utm_source=act_formato_excel&amp;utm_campaign=act_formato_excel&amp;utm_content=act_formato_excel_link" xr:uid="{499B8794-5674-4059-86CF-93CC21CE6F6B}"/>
    <hyperlink ref="B4145" r:id="rId1242" display="https://actualicese.com/navegacion-en-el-marco-normativo-de-las-nai/?referer=L-excel-formato&amp;utm_medium=act_formato_excel&amp;utm_source=act_formato_excel&amp;utm_campaign=act_formato_excel&amp;utm_content=act_formato_excel_link" xr:uid="{EDAF58C1-B765-48FB-ABB0-03A5D6EF0796}"/>
    <hyperlink ref="B4147" r:id="rId1243" display="https://actualicese.com/lista-de-chequeo-de-revelaciones-seccion-17-propiedades-planta-y-equipo/?referer=L-excel-formato&amp;utm_medium=act_formato_excel&amp;utm_source=act_formato_excel&amp;utm_campaign=act_formato_excel&amp;utm_content=act_formato_excel_link" xr:uid="{8DABE500-592A-49A0-B2FD-1FBAC330F249}"/>
    <hyperlink ref="B4149" r:id="rId1244" display="https://actualicese.com/diferencias-en-la-declaracion-de-renta-de-personas-naturales-obligadas-o-no-a-llevar-contabilidad/?referer=L-excel-formato&amp;utm_medium=act_formato_excel&amp;utm_source=act_formato_excel&amp;utm_campaign=act_formato_excel&amp;utm_content=act_formato_excel_link" xr:uid="{01AB6111-C8F9-462A-9C10-CEBC412C9F62}"/>
    <hyperlink ref="B4151" r:id="rId1245" display="https://actualicese.com/modelo-de-renuncia-por-falta-de-pago-de-salarios/?referer=L-excel-formato&amp;utm_medium=act_formato_excel&amp;utm_source=act_formato_excel&amp;utm_campaign=act_formato_excel&amp;utm_content=act_formato_excel_link" xr:uid="{99C7DC1C-16F3-4FD2-929F-61CDBB7090B5}"/>
    <hyperlink ref="B4153" r:id="rId1246" display="https://actualicese.com/carta-de-compromiso-de-auditoria-bajo-nia/?referer=L-excel-formato&amp;utm_medium=act_formato_excel&amp;utm_source=act_formato_excel&amp;utm_campaign=act_formato_excel&amp;utm_content=act_formato_excel_link" xr:uid="{B52085FF-04AB-434C-8393-4BE62D938B92}"/>
    <hyperlink ref="B4155" r:id="rId1247" display="https://actualicese.com/lista-de-chequeo-de-revelaciones-seccion-16-propiedades-de-inversion/?referer=L-excel-formato&amp;utm_medium=act_formato_excel&amp;utm_source=act_formato_excel&amp;utm_campaign=act_formato_excel&amp;utm_content=act_formato_excel_link" xr:uid="{8A038DDC-168E-4B24-BE26-54B53D9778E0}"/>
    <hyperlink ref="B4157" r:id="rId1248" display="https://actualicese.com/beneficios-tributarios-por-vinculacion-laboral-de-personas-con-condiciones-especiales/?referer=L-excel-formato&amp;utm_medium=act_formato_excel&amp;utm_source=act_formato_excel&amp;utm_campaign=act_formato_excel&amp;utm_content=act_formato_excel_link" xr:uid="{8C3560A9-4B92-49CE-9620-854EB87BD4B3}"/>
    <hyperlink ref="B4159" r:id="rId1249" display="https://actualicese.com/documentos-necesarios-para-elaborar-la-declaracion-de-renta-de-personas-naturales-ano-gravable-2015/?referer=L-excel-formato&amp;utm_medium=act_formato_excel&amp;utm_source=act_formato_excel&amp;utm_campaign=act_formato_excel&amp;utm_content=act_formato_excel_link" xr:uid="{CB19D7D8-155A-4118-B941-AF8107681135}"/>
    <hyperlink ref="B4161" r:id="rId1250" display="https://actualicese.com/formato-otro-si-para-modificar-promesa-de-compraventa/?referer=L-excel-formato&amp;utm_medium=act_formato_excel&amp;utm_source=act_formato_excel&amp;utm_campaign=act_formato_excel&amp;utm_content=act_formato_excel_link" xr:uid="{E571299B-E618-4911-822A-73658C8D8F1B}"/>
    <hyperlink ref="B4163" r:id="rId1251" display="https://actualicese.com/modelo-del-certificado-anual-a-socios-yo-accionistas-por-el-ano-gravable-2015/?referer=L-excel-formato&amp;utm_medium=act_formato_excel&amp;utm_source=act_formato_excel&amp;utm_campaign=act_formato_excel&amp;utm_content=act_formato_excel_link" xr:uid="{CBC33A76-E7F4-41B8-98FA-9C4BC6333036}"/>
    <hyperlink ref="B4165" r:id="rId1252" display="https://actualicese.com/lista-de-chequeo-de-revelaciones-seccion-10-politicas-contables-estimaciones-y-errores/?referer=L-excel-formato&amp;utm_medium=act_formato_excel&amp;utm_source=act_formato_excel&amp;utm_campaign=act_formato_excel&amp;utm_content=act_formato_excel_link" xr:uid="{291B3E0D-E466-472E-9A72-DADA95DBFE6C}"/>
    <hyperlink ref="B4167" r:id="rId1253" display="https://actualicese.com/imas-en-el-impuesto-de-renta-de-los-trabajadores-por-cuenta-propia-modelo-para-proyectar-efectos-2015/?referer=L-excel-formato&amp;utm_medium=act_formato_excel&amp;utm_source=act_formato_excel&amp;utm_campaign=act_formato_excel&amp;utm_content=act_formato_excel_link" xr:uid="{41E9D670-6586-4E95-93AF-011119FA1BE9}"/>
    <hyperlink ref="B4169" r:id="rId1254" display="https://actualicese.com/reclamacion-directa-contra-proveedor-o-productor/?referer=L-excel-formato&amp;utm_medium=act_formato_excel&amp;utm_source=act_formato_excel&amp;utm_campaign=act_formato_excel&amp;utm_content=act_formato_excel_link" xr:uid="{9B0BC81D-7A5B-4FFA-BF8C-82FB088FF9CA}"/>
    <hyperlink ref="B4171" r:id="rId1255" display="https://actualicese.com/iman-e-imas-en-el-impuesto-de-renta-para-empleados-modelo-para-proyectar-efectos-2015/?referer=L-excel-formato&amp;utm_medium=act_formato_excel&amp;utm_source=act_formato_excel&amp;utm_campaign=act_formato_excel&amp;utm_content=act_formato_excel_link" xr:uid="{E5D10FD0-CF65-4E57-ADEB-F684DC2C0F33}"/>
    <hyperlink ref="B4173" r:id="rId1256" display="https://actualicese.com/solicitud-de-autorizacion-para-venta-de-propiedad-de-un-menor-de-edad/?referer=L-excel-formato&amp;utm_medium=act_formato_excel&amp;utm_source=act_formato_excel&amp;utm_campaign=act_formato_excel&amp;utm_content=act_formato_excel_link" xr:uid="{995090EE-2056-4638-AC7A-D2418BB431BE}"/>
    <hyperlink ref="B4175" r:id="rId1257" display="https://actualicese.com/lista-de-chequeo-de-revelaciones-seccion-7-estado-de-flujos-de-efectivo/?referer=L-excel-formato&amp;utm_medium=act_formato_excel&amp;utm_source=act_formato_excel&amp;utm_campaign=act_formato_excel&amp;utm_content=act_formato_excel_link" xr:uid="{0FBFB27E-50FD-4496-860E-AE7B16363741}"/>
    <hyperlink ref="B4177" r:id="rId1258" display="https://actualicese.com/calculo-de-la-contribucion-2016-a-la-supersociedades/?referer=L-excel-formato&amp;utm_medium=act_formato_excel&amp;utm_source=act_formato_excel&amp;utm_campaign=act_formato_excel&amp;utm_content=act_formato_excel_link" xr:uid="{170C653E-2129-4911-A2CA-BD7359F9CB5B}"/>
    <hyperlink ref="B4179" r:id="rId1259" display="https://actualicese.com/formularios-210-y-230-con-anexos-para-declaracion-de-renta-de-personas-naturales-ano-gravable-2015/?referer=L-excel-formato&amp;utm_medium=act_formato_excel&amp;utm_source=act_formato_excel&amp;utm_campaign=act_formato_excel&amp;utm_content=act_formato_excel_link" xr:uid="{2C062F4E-7A60-4037-9CC9-EE929CDA7C80}"/>
    <hyperlink ref="B4181" r:id="rId1260" display="https://actualicese.com/lista-de-chequeo-de-revelaciones-seccion-5-estado-de-resultado-integral-y-estado-de-resultados/?referer=L-excel-formato&amp;utm_medium=act_formato_excel&amp;utm_source=act_formato_excel&amp;utm_campaign=act_formato_excel&amp;utm_content=act_formato_excel_link" xr:uid="{3E2E44FE-4558-4DC9-A109-62D9BEF6F240}"/>
    <hyperlink ref="B4183" r:id="rId1261" display="https://actualicese.com/formularios-110-y-240-con-anexos-para-declaracion-de-renta-ano-gravable-2015/?referer=L-excel-formato&amp;utm_medium=act_formato_excel&amp;utm_source=act_formato_excel&amp;utm_campaign=act_formato_excel&amp;utm_content=act_formato_excel_link" xr:uid="{0C3367B9-CC96-4D93-842A-0BD2CF03200D}"/>
    <hyperlink ref="B4185" r:id="rId1262" display="https://actualicese.com/lista-de-chequeo-de-revelaciones-seccion-4-estado-de-situacion-financiera/?referer=L-excel-formato&amp;utm_medium=act_formato_excel&amp;utm_source=act_formato_excel&amp;utm_campaign=act_formato_excel&amp;utm_content=act_formato_excel_link" xr:uid="{DBDE2407-FC2B-487A-BBF9-D8BD8586B56C}"/>
    <hyperlink ref="B4187" r:id="rId1263" display="https://actualicese.com/formulario-210-declaracion-de-renta-personas-naturales-y-sucesiones-iliquidas-ano-gravable-2015-version-basica/?referer=L-excel-formato&amp;utm_medium=act_formato_excel&amp;utm_source=act_formato_excel&amp;utm_campaign=act_formato_excel&amp;utm_content=act_formato_excel_link" xr:uid="{EFE1FEF0-A538-49D3-ACBD-791A9A141B42}"/>
    <hyperlink ref="B4189" r:id="rId1264" display="https://actualicese.com/clasificacion-tributaria-de-personas-naturales-y-sucesiones-iliquidas-frente-al-impuesto-de-renta-por-el-ano-gravable-2015/?referer=L-excel-formato&amp;utm_medium=act_formato_excel&amp;utm_source=act_formato_excel&amp;utm_campaign=act_formato_excel&amp;utm_content=act_formato_excel_link" xr:uid="{BE4F9F7A-F2B9-4962-83D4-94C128A9D471}"/>
    <hyperlink ref="B4191" r:id="rId1265" display="https://actualicese.com/derecho-de-peticion-para-solicitar-documentos-a-exempleador/?referer=L-excel-formato&amp;utm_medium=act_formato_excel&amp;utm_source=act_formato_excel&amp;utm_campaign=act_formato_excel&amp;utm_content=act_formato_excel_link" xr:uid="{D9BFABF1-41AE-461D-AF9E-C7525AA27E09}"/>
    <hyperlink ref="B4193" r:id="rId1266" display="https://actualicese.com/lista-de-chequeo-de-revelaciones-seccion-3-presentacion-de-estados-financieros/?referer=L-excel-formato&amp;utm_medium=act_formato_excel&amp;utm_source=act_formato_excel&amp;utm_campaign=act_formato_excel&amp;utm_content=act_formato_excel_link" xr:uid="{AE926A01-E32E-436C-AC10-4F0B32D7A924}"/>
    <hyperlink ref="B4195" r:id="rId1267" display="https://actualicese.com/calculo-de-la-sancion-por-extemporaneidad-despues-del-emplazamiento-por-no-declarar/?referer=L-excel-formato&amp;utm_medium=act_formato_excel&amp;utm_source=act_formato_excel&amp;utm_campaign=act_formato_excel&amp;utm_content=act_formato_excel_link" xr:uid="{9F8626E7-2808-4345-B436-8A9AA11D8694}"/>
    <hyperlink ref="B4197" r:id="rId1268" display="https://actualicese.com/acta-de-asamblea-general-para-aprobacion-de-estados-financieros-2015-en-entidad-del-grupo-1/?referer=L-excel-formato&amp;utm_medium=act_formato_excel&amp;utm_source=act_formato_excel&amp;utm_campaign=act_formato_excel&amp;utm_content=act_formato_excel_link" xr:uid="{176F6520-2673-44BF-8B86-DC6B696F6835}"/>
    <hyperlink ref="B4199" r:id="rId1269" display="https://actualicese.com/modelo-para-definir-porcentaje-fijo-de-retencion-en-la-fuente-sobre-salarios-en-junio-del-2016-procedimiento-2/?referer=L-excel-formato&amp;utm_medium=act_formato_excel&amp;utm_source=act_formato_excel&amp;utm_campaign=act_formato_excel&amp;utm_content=act_formato_excel_link" xr:uid="{F85B6217-CD64-483D-9CB5-532705F5DF7C}"/>
    <hyperlink ref="B4201" r:id="rId1270" display="https://actualicese.com/proyeccion-impuesto-a-la-riqueza-y-de-normalizacion-tributaria-2015-a-2018/?referer=L-excel-formato&amp;utm_medium=act_formato_excel&amp;utm_source=act_formato_excel&amp;utm_campaign=act_formato_excel&amp;utm_content=act_formato_excel_link" xr:uid="{E277E1CD-B3A2-48F5-BFB2-601BAD6E18B7}"/>
    <hyperlink ref="B4203" r:id="rId1271" display="https://actualicese.com/calculo-de-intereses-presuntivos-por-prestamos-en-dinero-a-socios-durante-el-2015/?referer=L-excel-formato&amp;utm_medium=act_formato_excel&amp;utm_source=act_formato_excel&amp;utm_campaign=act_formato_excel&amp;utm_content=act_formato_excel_link" xr:uid="{27F028F3-4A1D-49FD-8FC6-6E6884C64352}"/>
    <hyperlink ref="B4205" r:id="rId1272" display="https://actualicese.com/lista-de-chequeo-de-revelaciones-nic-36-deterioro-del-valor-de-los-activos/?referer=L-excel-formato&amp;utm_medium=act_formato_excel&amp;utm_source=act_formato_excel&amp;utm_campaign=act_formato_excel&amp;utm_content=act_formato_excel_link" xr:uid="{3AD45F97-351F-4A8D-975C-0D097FF2554F}"/>
    <hyperlink ref="B4207" r:id="rId1273" display="https://actualicese.com/finalizacion-del-contrato-por-parte-del-arrendatario-por-vencimiento-del-contrato/?referer=L-excel-formato&amp;utm_medium=act_formato_excel&amp;utm_source=act_formato_excel&amp;utm_campaign=act_formato_excel&amp;utm_content=act_formato_excel_link" xr:uid="{28F946E3-1B19-4CCA-9C96-02AEFF0076B7}"/>
    <hyperlink ref="B4209" r:id="rId1274" display="https://actualicese.com/lista-de-chequeo-de-revelaciones-nic-26-contabilizacion-e-informacion-financiera-sobre-planes-de-beneficio-por-retiro/?referer=L-excel-formato&amp;utm_medium=act_formato_excel&amp;utm_source=act_formato_excel&amp;utm_campaign=act_formato_excel&amp;utm_content=act_formato_excel_link" xr:uid="{B7F081E9-BC6F-4495-9CEB-CF0F56EC5CE3}"/>
    <hyperlink ref="B4211" r:id="rId1275" display="https://actualicese.com/calculo-de-la-sancion-por-extemporaneidad-antes-del-emplazamiento/?referer=L-excel-formato&amp;utm_medium=act_formato_excel&amp;utm_source=act_formato_excel&amp;utm_campaign=act_formato_excel&amp;utm_content=act_formato_excel_link" xr:uid="{A18F9645-369E-4EDA-ACD4-DA7709A59609}"/>
    <hyperlink ref="B4213" r:id="rId1276" display="https://actualicese.com/acta-de-nombramiento-del-vigia-en-seguridad-y-salud-en-el-trabajo/?referer=L-excel-formato&amp;utm_medium=act_formato_excel&amp;utm_source=act_formato_excel&amp;utm_campaign=act_formato_excel&amp;utm_content=act_formato_excel_link" xr:uid="{FB003875-3FC9-4497-8231-BA7068BBF76D}"/>
    <hyperlink ref="B4215" r:id="rId1277" display="https://actualicese.com/normatividad-aplicable-a-los-impuestos-de-renta-cree-y-riqueza-contenida-en-la-ley-1739-del-2014/?referer=L-excel-formato&amp;utm_medium=act_formato_excel&amp;utm_source=act_formato_excel&amp;utm_campaign=act_formato_excel&amp;utm_content=act_formato_excel_link" xr:uid="{EBC3420E-FC7C-4D5D-9E8D-5B882E1E2859}"/>
    <hyperlink ref="B4217" r:id="rId1278" display="https://actualicese.com/formato-para-presentar-quejas-sobre-situaciones-que-puedan-constituir-acoso-laboral/?referer=L-excel-formato&amp;utm_medium=act_formato_excel&amp;utm_source=act_formato_excel&amp;utm_campaign=act_formato_excel&amp;utm_content=act_formato_excel_link" xr:uid="{27CC5973-B450-45A1-991B-1AA3D473E3D7}"/>
    <hyperlink ref="B4219" r:id="rId1279" display="https://actualicese.com/hoja-de-trabajo-para-el-control-de-activos-fijos/?referer=L-excel-formato&amp;utm_medium=act_formato_excel&amp;utm_source=act_formato_excel&amp;utm_campaign=act_formato_excel&amp;utm_content=act_formato_excel_link" xr:uid="{993A69D7-75E9-482D-ACF6-9E393FDA63E1}"/>
    <hyperlink ref="B4221" r:id="rId1280" display="https://actualicese.com/plantilla-para-elaborar-el-informe-de-practicas-empresariales-por-el-2015/?referer=L-excel-formato&amp;utm_medium=act_formato_excel&amp;utm_source=act_formato_excel&amp;utm_campaign=act_formato_excel&amp;utm_content=act_formato_excel_link" xr:uid="{4EC1C782-1A31-4AFB-87AB-E3D31460A272}"/>
    <hyperlink ref="B4223" r:id="rId1281" display="https://actualicese.com/generacion-del-iva-en-operaciones-con-empresas-en-zonas-francas/?referer=L-excel-formato&amp;utm_medium=act_formato_excel&amp;utm_source=act_formato_excel&amp;utm_campaign=act_formato_excel&amp;utm_content=act_formato_excel_link" xr:uid="{790925F9-668D-401D-8F2A-74996D0D5528}"/>
    <hyperlink ref="B4225" r:id="rId1282" display="https://actualicese.com/certificado-por-retencion-en-la-fuente-a-titulo-del-impuesto-de-timbre/?referer=L-excel-formato&amp;utm_medium=act_formato_excel&amp;utm_source=act_formato_excel&amp;utm_campaign=act_formato_excel&amp;utm_content=act_formato_excel_link" xr:uid="{8CD6F564-2DD7-4535-8D5E-C6222D8BB8D9}"/>
    <hyperlink ref="B4227" r:id="rId1283" display="https://actualicese.com/autorizacion-de-salida-de-bienes-por-finalizacion-del-contrato-de-arrendamiento-propiedad-horizontal/?referer=L-excel-formato&amp;utm_medium=act_formato_excel&amp;utm_source=act_formato_excel&amp;utm_campaign=act_formato_excel&amp;utm_content=act_formato_excel_link" xr:uid="{B44A01BD-446D-45A8-B2A6-649167FAEEED}"/>
    <hyperlink ref="B4229" r:id="rId1284" display="https://actualicese.com/proyeccion-descuentos-en-renta-cree-y-sobretasa-al-cree-por-impuestos-pagados-en-el-exterior/?referer=L-excel-formato&amp;utm_medium=act_formato_excel&amp;utm_source=act_formato_excel&amp;utm_campaign=act_formato_excel&amp;utm_content=act_formato_excel_link" xr:uid="{72CD1E21-E525-402B-A110-CAE7C4F04857}"/>
    <hyperlink ref="B4231" r:id="rId1285" display="https://actualicese.com/cuentas-a-reportar-en-los-formatos-de-informacion-exogena-ano-gravable-2015/?referer=L-excel-formato&amp;utm_medium=act_formato_excel&amp;utm_source=act_formato_excel&amp;utm_campaign=act_formato_excel&amp;utm_content=act_formato_excel_link" xr:uid="{BD5C0FB8-D1B4-44E0-9934-431D103ACDAD}"/>
    <hyperlink ref="B4233" r:id="rId1286" display="https://actualicese.com/clasificacion-de-las-personas-juridicas-en-el-impuesto-de-renta-y-cree-del-ano-gravable-2015/?referer=L-excel-formato&amp;utm_medium=act_formato_excel&amp;utm_source=act_formato_excel&amp;utm_campaign=act_formato_excel&amp;utm_content=act_formato_excel_link" xr:uid="{F9524B55-EFBA-4906-8C8A-98820D27373F}"/>
    <hyperlink ref="B4235" r:id="rId1287" display="https://actualicese.com/guia-plantilla-de-estados-financieros-2015-bajo-estandares-internacionales-plenos-para-supersociedades-con-xbrl-express/?referer=L-excel-formato&amp;utm_medium=act_formato_excel&amp;utm_source=act_formato_excel&amp;utm_campaign=act_formato_excel&amp;utm_content=act_formato_excel_link" xr:uid="{C07899F9-4296-45DE-8EF4-462C30470483}"/>
    <hyperlink ref="B4237" r:id="rId1288" display="https://actualicese.com/liquidador-impuesto-a-la-riqueza-calculo-valor-patrimonial-neto-para-acciones-poseidas-de-forma-indirecta-en-sociedades-nacionales/?referer=L-excel-formato&amp;utm_medium=act_formato_excel&amp;utm_source=act_formato_excel&amp;utm_campaign=act_formato_excel&amp;utm_content=act_formato_excel_link" xr:uid="{D10DEE37-93A3-427D-BE8D-FDEC6B9ED956}"/>
    <hyperlink ref="B4239" r:id="rId1289" display="https://actualicese.com/calendario-tributario-automatizado-para-el-2016/?referer=L-excel-formato&amp;utm_medium=act_formato_excel&amp;utm_source=act_formato_excel&amp;utm_campaign=act_formato_excel&amp;utm_content=act_formato_excel_link" xr:uid="{06B44F02-FC85-430B-A4BA-AD4A216B9C82}"/>
    <hyperlink ref="B4241" r:id="rId1290" display="https://actualicese.com/liquidador-efectos-de-las-ventas-de-activos-fijos-depreciables-que-constituyen-ganancia-ocasional/?referer=L-excel-formato&amp;utm_medium=act_formato_excel&amp;utm_source=act_formato_excel&amp;utm_campaign=act_formato_excel&amp;utm_content=act_formato_excel_link" xr:uid="{2BD27197-40BA-480E-8537-1404C5580285}"/>
    <hyperlink ref="B4243" r:id="rId1291" display="https://actualicese.com/categorias-de-informantes-de-exogena-por-el-ano-gravable-2015-y-los-formatos-que-deben-usar/?referer=L-excel-formato&amp;utm_medium=act_formato_excel&amp;utm_source=act_formato_excel&amp;utm_campaign=act_formato_excel&amp;utm_content=act_formato_excel_link" xr:uid="{9CC32A33-020F-47BB-B04A-B027D7A9E2B4}"/>
    <hyperlink ref="B4245" r:id="rId1292" display="https://actualicese.com/depuracion-del-impuesto-de-renta-ano-gravable-2015-para-copropiedades-que-explotan-areas-comunes/?referer=L-excel-formato&amp;utm_medium=act_formato_excel&amp;utm_source=act_formato_excel&amp;utm_campaign=act_formato_excel&amp;utm_content=act_formato_excel_link" xr:uid="{818DEE9F-BBBB-4D63-8DD6-40F26C3DFE39}"/>
    <hyperlink ref="B4247" r:id="rId1293" display="https://actualicese.com/calculo-de-intereses-de-mora-sobre-obligaciones-tributarias/?referer=L-excel-formato&amp;utm_medium=act_formato_excel&amp;utm_source=act_formato_excel&amp;utm_campaign=act_formato_excel&amp;utm_content=act_formato_excel_link" xr:uid="{24763DCA-DD80-4D36-B872-CAFD2451ACA7}"/>
    <hyperlink ref="B4249" r:id="rId1294" display="https://actualicese.com/formato-2278-informacion-de-compras-a-terceros-de-bonos-vales-y-otros-documentos-para-pagos-a-trabajadores-en-el-2015/?referer=L-excel-formato&amp;utm_medium=act_formato_excel&amp;utm_source=act_formato_excel&amp;utm_campaign=act_formato_excel&amp;utm_content=act_formato_excel_link" xr:uid="{39F3C872-7A63-4C67-AEA9-05ED4B2F9278}"/>
    <hyperlink ref="B4251" r:id="rId1295" display="https://actualicese.com/formatos-2280-deduccion-en-el-2015-de-empleadas-victimas-de-la-violencia/?referer=L-excel-formato&amp;utm_medium=act_formato_excel&amp;utm_source=act_formato_excel&amp;utm_campaign=act_formato_excel&amp;utm_content=act_formato_excel_link" xr:uid="{F1E4377F-FF37-4CE9-B318-17452D9D44FD}"/>
    <hyperlink ref="B4253" r:id="rId1296" display="https://actualicese.com/poder-especial-para-compraventa-de-inmueble/?referer=L-excel-formato&amp;utm_medium=act_formato_excel&amp;utm_source=act_formato_excel&amp;utm_campaign=act_formato_excel&amp;utm_content=act_formato_excel_link" xr:uid="{455C8E93-8C19-45C0-A0FF-08D36D4764B9}"/>
    <hyperlink ref="B4255" r:id="rId1297" display="https://actualicese.com/ejemplo-simulacion-del-sistema-de-registro-de-diferencias/?referer=L-excel-formato&amp;utm_medium=act_formato_excel&amp;utm_source=act_formato_excel&amp;utm_campaign=act_formato_excel&amp;utm_content=act_formato_excel_link" xr:uid="{31267DB4-F9A2-465E-9CA4-4CAB7F9C20FD}"/>
    <hyperlink ref="B4257" r:id="rId1298" display="https://actualicese.com/calculo-de-deduccion-en-renta-por-inversiones-en-proyectos-de-investigacion-tecnologica/?referer=L-excel-formato&amp;utm_medium=act_formato_excel&amp;utm_source=act_formato_excel&amp;utm_campaign=act_formato_excel&amp;utm_content=act_formato_excel_link" xr:uid="{DC3592EA-C843-4DE5-B3ED-663C5386F0B4}"/>
    <hyperlink ref="B4259" r:id="rId1299" display="https://actualicese.com/certificacion-de-estados-financieros-ano-2015-a-entregar-a-la-supersociedades/?referer=L-excel-formato&amp;utm_medium=act_formato_excel&amp;utm_source=act_formato_excel&amp;utm_campaign=act_formato_excel&amp;utm_content=act_formato_excel_link" xr:uid="{6C53BAB3-92FD-455A-8B75-0F65AA2FCACA}"/>
    <hyperlink ref="B4261" r:id="rId1300" display="https://actualicese.com/formulario-220-certificacion-de-pagos-y-retenciones-a-empleados-por-el-ano-gravable-2015/?referer=L-excel-formato&amp;utm_medium=act_formato_excel&amp;utm_source=act_formato_excel&amp;utm_campaign=act_formato_excel&amp;utm_content=act_formato_excel_link" xr:uid="{30846389-FE48-476D-9E97-40C5C23A6A2A}"/>
    <hyperlink ref="B4263" r:id="rId1301" display="https://actualicese.com/promesa-de-compraventa-de-apartamento-con-usufructo-para-cancelar/?referer=L-excel-formato&amp;utm_medium=act_formato_excel&amp;utm_source=act_formato_excel&amp;utm_campaign=act_formato_excel&amp;utm_content=act_formato_excel_link" xr:uid="{746AC7BA-9E1D-49D9-A921-2FA7B7BAF032}"/>
    <hyperlink ref="B4265" r:id="rId1302" display="https://actualicese.com/dictamen-revisoria-fiscal-auditoria-externa-con-estandares-internacionales/?referer=L-excel-formato&amp;utm_medium=act_formato_excel&amp;utm_source=act_formato_excel&amp;utm_campaign=act_formato_excel&amp;utm_content=act_formato_excel_link" xr:uid="{53F56EB0-7D34-4AD9-8686-7A8AF444461A}"/>
    <hyperlink ref="B4267" r:id="rId1303" display="https://actualicese.com/formato-1005-1006-reporte-de-iva-descontables-e-iva-e-inc-generados-en-el-2015/?referer=L-excel-formato&amp;utm_medium=act_formato_excel&amp;utm_source=act_formato_excel&amp;utm_campaign=act_formato_excel&amp;utm_content=act_formato_excel_link" xr:uid="{8E496AFB-2AF8-4AFA-99F6-BAD1C8C55498}"/>
    <hyperlink ref="B4269" r:id="rId1304" display="https://actualicese.com/formatos-1011-1012-y-2275-reportes-de-otros-datos-de-la-declaracion-de-renta-o-de-ingresos-y-patrimonio-del-2015/?referer=L-excel-formato&amp;utm_medium=act_formato_excel&amp;utm_source=act_formato_excel&amp;utm_campaign=act_formato_excel&amp;utm_content=act_formato_excel_link" xr:uid="{3357590F-C04E-48F0-8091-385413DAD5C4}"/>
    <hyperlink ref="B4271" r:id="rId1305" display="https://actualicese.com/formato-1004-reporte-de-los-descuentos-al-impuesto-de-renta-o-de-ganancia-ocasional-en-el-2015/?referer=L-excel-formato&amp;utm_medium=act_formato_excel&amp;utm_source=act_formato_excel&amp;utm_campaign=act_formato_excel&amp;utm_content=act_formato_excel_link" xr:uid="{7EEC9BC5-1E85-477D-BF3F-743AD5D0612B}"/>
    <hyperlink ref="B4273" r:id="rId1306" display="https://actualicese.com/formato-1010-reporte-de-socios-cooperados-o-comuneros-a-diciembre-31-del-2015/?referer=L-excel-formato&amp;utm_medium=act_formato_excel&amp;utm_source=act_formato_excel&amp;utm_campaign=act_formato_excel&amp;utm_content=act_formato_excel_link" xr:uid="{275D8833-5395-4650-BC85-5151915BAE0B}"/>
    <hyperlink ref="B4275" r:id="rId1307" display="https://actualicese.com/formatos-1016-1017-1018-1027-1054-y-1055-reportes-de-los-mandatarios-en-contratos-de-mandato-ano-gravable-2015/?referer=L-excel-formato&amp;utm_medium=act_formato_excel&amp;utm_source=act_formato_excel&amp;utm_campaign=act_formato_excel&amp;utm_content=act_formato_excel_link" xr:uid="{E7EBA576-A01B-4AF5-8857-DD354505FB48}"/>
    <hyperlink ref="B4277" r:id="rId1308" display="https://actualicese.com/formularios-110-y-140-con-anexos-y-formato-1732-ano-gravable-2015/?referer=L-excel-formato&amp;utm_medium=act_formato_excel&amp;utm_source=act_formato_excel&amp;utm_campaign=act_formato_excel&amp;utm_content=act_formato_excel_link" xr:uid="{48B295C2-5C79-454E-A572-2B0DCE2ED878}"/>
    <hyperlink ref="B4279" r:id="rId1309" display="https://actualicese.com/participacion-patrimonial-anual-a-socios-yo-accionistas-por-el-2015/?referer=L-excel-formato&amp;utm_medium=act_formato_excel&amp;utm_source=act_formato_excel&amp;utm_campaign=act_formato_excel&amp;utm_content=act_formato_excel_link" xr:uid="{66FB8A7F-190F-466B-A239-4592EC32F8E9}"/>
    <hyperlink ref="B4281" r:id="rId1310" display="https://actualicese.com/formato-1009-reporte-de-cuentas-por-pagar-a-diciembre-31-del-2015/?referer=L-excel-formato&amp;utm_medium=act_formato_excel&amp;utm_source=act_formato_excel&amp;utm_campaign=act_formato_excel&amp;utm_content=act_formato_excel_link" xr:uid="{A7BDF871-9150-4845-8C6F-562A4597223E}"/>
    <hyperlink ref="B4283" r:id="rId1311" display="https://actualicese.com/formato-1008-reporte-de-cuentas-por-cobrar-a-diciembre-31-del-2015/?referer=L-excel-formato&amp;utm_medium=act_formato_excel&amp;utm_source=act_formato_excel&amp;utm_campaign=act_formato_excel&amp;utm_content=act_formato_excel_link" xr:uid="{2EC4121E-9619-4F73-8631-678A12FAC6C7}"/>
    <hyperlink ref="B4285" r:id="rId1312" display="https://actualicese.com/convocatoria-para-asamblea-general-de-copropietarios/?referer=L-excel-formato&amp;utm_medium=act_formato_excel&amp;utm_source=act_formato_excel&amp;utm_campaign=act_formato_excel&amp;utm_content=act_formato_excel_link" xr:uid="{5470504C-CFD0-4176-8C5D-6E46F829A41D}"/>
    <hyperlink ref="B4287" r:id="rId1313" display="https://actualicese.com/formato-2276-informacion-de-los-certificados-de-ingresos-y-retenciones-a-empleados-ano-2015/?referer=L-excel-formato&amp;utm_medium=act_formato_excel&amp;utm_source=act_formato_excel&amp;utm_campaign=act_formato_excel&amp;utm_content=act_formato_excel_link" xr:uid="{0153FBF7-1D4A-4B8E-BEDE-7D7B5710CE39}"/>
    <hyperlink ref="B4289" r:id="rId1314" display="https://actualicese.com/formato-1007-informacion-de-ingresos-propios-recibidos-durante-el-2015/?referer=L-excel-formato&amp;utm_medium=act_formato_excel&amp;utm_source=act_formato_excel&amp;utm_campaign=act_formato_excel&amp;utm_content=act_formato_excel_link" xr:uid="{7DBB0AAA-CB6B-45A0-BB75-26634C898578}"/>
    <hyperlink ref="B4291" r:id="rId1315" display="https://actualicese.com/formato-1001-informacion-de-pagos-o-causaciones-a-terceros-durante-el-2015-y-las-retenciones-practicadas-o-asumidas-sobre-los-mismos-caso-1/?referer=L-excel-formato&amp;utm_medium=act_formato_excel&amp;utm_source=act_formato_excel&amp;utm_campaign=act_formato_excel&amp;utm_content=act_formato_excel_link" xr:uid="{359F8F8B-CC64-4316-A349-684F842C79A3}"/>
    <hyperlink ref="B4293" r:id="rId1316" display="https://actualicese.com/formato-1001-informacion-de-pagos-o-causaciones-a-terceros-durante-el-2015-y-las-retenciones-practicadas-o-asumidas-sobre-los-mismos-caso-2/?referer=L-excel-formato&amp;utm_medium=act_formato_excel&amp;utm_source=act_formato_excel&amp;utm_campaign=act_formato_excel&amp;utm_content=act_formato_excel_link" xr:uid="{015DF62F-5C11-4E52-892B-7ED17394CDFE}"/>
    <hyperlink ref="B4295" r:id="rId1317" display="https://actualicese.com/formato-1647-reportes-de-ingresos-recibidos-facturados-para-terceros-durante-el-2015/?referer=L-excel-formato&amp;utm_medium=act_formato_excel&amp;utm_source=act_formato_excel&amp;utm_campaign=act_formato_excel&amp;utm_content=act_formato_excel_link" xr:uid="{8B72BC57-24F7-452F-937B-4332191F5D94}"/>
    <hyperlink ref="B4297" r:id="rId1318" display="https://actualicese.com/formato-1003-reportes-de-retenciones-que-le-practicaron-a-la-persona-o-entidad-informante-durante-el-2015/?referer=L-excel-formato&amp;utm_medium=act_formato_excel&amp;utm_source=act_formato_excel&amp;utm_campaign=act_formato_excel&amp;utm_content=act_formato_excel_link" xr:uid="{AC9A00F6-0685-47A0-AFD5-CE1934469ADE}"/>
    <hyperlink ref="B4299" r:id="rId1319" display="https://actualicese.com/carta-de-finalizacion-del-contrato-individual-de-trabajo-por-pension-del-trabajador/?referer=L-excel-formato&amp;utm_medium=act_formato_excel&amp;utm_source=act_formato_excel&amp;utm_campaign=act_formato_excel&amp;utm_content=act_formato_excel_link" xr:uid="{1011A6B6-3349-4F1F-B70F-5C768EAEB9DA}"/>
    <hyperlink ref="B4301" r:id="rId1320" display="https://actualicese.com/plantilla-de-estados-financieros-2015-bajo-estandares-internacionales-para-supersociedades-con-xbrl-express/?referer=L-excel-formato&amp;utm_medium=act_formato_excel&amp;utm_source=act_formato_excel&amp;utm_campaign=act_formato_excel&amp;utm_content=act_formato_excel_link" xr:uid="{8A34E3AC-F9D6-452C-B724-DEF606261F9E}"/>
    <hyperlink ref="B4303" r:id="rId1321" display="https://actualicese.com/cierre-contable-proceso-de-verificacion-de-la-informacion-del-2015/?referer=L-excel-formato&amp;utm_medium=act_formato_excel&amp;utm_source=act_formato_excel&amp;utm_campaign=act_formato_excel&amp;utm_content=act_formato_excel_link" xr:uid="{656D6AA4-CEB6-427D-BC4F-744AC1B5FBBA}"/>
    <hyperlink ref="B4305" r:id="rId1322" display="https://actualicese.com/declaracion-anual-del-impuesto-de-industria-y-comercio-en-cali/?referer=L-excel-formato&amp;utm_medium=act_formato_excel&amp;utm_source=act_formato_excel&amp;utm_campaign=act_formato_excel&amp;utm_content=act_formato_excel_link" xr:uid="{CCE21C5B-66DE-4FF3-8A4E-12D711E2CFA9}"/>
    <hyperlink ref="B4307" r:id="rId1323" display="https://actualicese.com/calendario-tributario-para-personas-naturales/?referer=L-excel-formato&amp;utm_medium=act_formato_excel&amp;utm_source=act_formato_excel&amp;utm_campaign=act_formato_excel&amp;utm_content=act_formato_excel_link" xr:uid="{0E65FE32-E912-4566-A838-0343784447ED}"/>
    <hyperlink ref="B4309" r:id="rId1324" display="https://actualicese.com/guia-tabla-de-recargos-y-aportes-para-salario-minimo-2016/?referer=L-excel-formato&amp;utm_medium=act_formato_excel&amp;utm_source=act_formato_excel&amp;utm_campaign=act_formato_excel&amp;utm_content=act_formato_excel_link" xr:uid="{541EBB72-2F1D-4ECD-BBE1-3BBF3995BF44}"/>
    <hyperlink ref="B4311" r:id="rId1325" display="https://actualicese.com/costo-de-renovacion-de-la-matricula-mercantil-para-el-2016/?referer=L-excel-formato&amp;utm_medium=act_formato_excel&amp;utm_source=act_formato_excel&amp;utm_campaign=act_formato_excel&amp;utm_content=act_formato_excel_link" xr:uid="{76D70132-E541-4997-98C2-BACEBB6C9775}"/>
    <hyperlink ref="B4313" r:id="rId1326" display="https://actualicese.com/sancion-por-extemporaneidad-en-declaracion-del-regimen-simplificado-del-impuesto-al-consumo/?referer=L-excel-formato&amp;utm_medium=act_formato_excel&amp;utm_source=act_formato_excel&amp;utm_campaign=act_formato_excel&amp;utm_content=act_formato_excel_link" xr:uid="{C6FC260B-6EAF-4BC3-A91A-3B7ED1413F62}"/>
    <hyperlink ref="B4315" r:id="rId1327" display="https://actualicese.com/otorgamiento-de-poder-para-cancelar-linea-telefonica/?referer=L-excel-formato&amp;utm_medium=act_formato_excel&amp;utm_source=act_formato_excel&amp;utm_campaign=act_formato_excel&amp;utm_content=act_formato_excel_link" xr:uid="{44CC50A3-B077-4DF8-9CEB-5FD87973D0A2}"/>
    <hyperlink ref="B4317" r:id="rId1328" display="https://actualicese.com/cuestionario-para-la-revision-y-evaluacion-de-los-saldos-movimientos-y-el-control-de-las-cuentas-de-caja-y-bancos/?referer=L-excel-formato&amp;utm_medium=act_formato_excel&amp;utm_source=act_formato_excel&amp;utm_campaign=act_formato_excel&amp;utm_content=act_formato_excel_link" xr:uid="{5C4A4410-E03E-43BD-A72C-84BB048B4EAF}"/>
    <hyperlink ref="B4319" r:id="rId1329" display="https://actualicese.com/lista-de-chequeo-de-revelaciones-nic-26-planes-de-beneficio-por-retiro/?referer=L-excel-formato&amp;utm_medium=act_formato_excel&amp;utm_source=act_formato_excel&amp;utm_campaign=act_formato_excel&amp;utm_content=act_formato_excel_link" xr:uid="{27B22C96-9246-43F7-8F32-9A92102CDEBA}"/>
    <hyperlink ref="B4321" r:id="rId1330" display="https://actualicese.com/requisitos-para-pertenecer-al-regimen-simplificado-del-iva-en-el-2016/?referer=L-excel-formato&amp;utm_medium=act_formato_excel&amp;utm_source=act_formato_excel&amp;utm_campaign=act_formato_excel&amp;utm_content=act_formato_excel_link" xr:uid="{FFC192CB-64AF-4854-801E-748A03E35FB6}"/>
    <hyperlink ref="B4323" r:id="rId1331" display="https://actualicese.com/contrato-de-compraventa-de-vehiculo-automotor-automovil-o-motocicleta/?referer=L-excel-formato&amp;utm_medium=act_formato_excel&amp;utm_source=act_formato_excel&amp;utm_campaign=act_formato_excel&amp;utm_content=act_formato_excel_link" xr:uid="{425B0951-35B0-4466-8294-1DA6EB4A7B6E}"/>
    <hyperlink ref="B4325" r:id="rId1332" display="https://actualicese.com/indicadores-basicos-para-tener-en-cuenta-en-el-2016/?referer=L-excel-formato&amp;utm_medium=act_formato_excel&amp;utm_source=act_formato_excel&amp;utm_campaign=act_formato_excel&amp;utm_content=act_formato_excel_link" xr:uid="{2A66F4BC-0B8C-4F41-B744-F7A0DE06BCB6}"/>
    <hyperlink ref="B4327" r:id="rId1333" display="https://actualicese.com/lista-de-chequeo-de-revelaciones-nic-23-costos-por-prestamos-y-nic-24-partes-relacionadas/?referer=L-excel-formato&amp;utm_medium=act_formato_excel&amp;utm_source=act_formato_excel&amp;utm_campaign=act_formato_excel&amp;utm_content=act_formato_excel_link" xr:uid="{E6BE1247-2D4E-4098-84E6-12CF74176E15}"/>
    <hyperlink ref="B4329" r:id="rId1334" display="https://actualicese.com/parametros-claves-en-la-elaboracion-de-declaraciones-tributarias-durante-el-ano-2016/?referer=L-excel-formato&amp;utm_medium=act_formato_excel&amp;utm_source=act_formato_excel&amp;utm_campaign=act_formato_excel&amp;utm_content=act_formato_excel_link" xr:uid="{E6A456F4-DFB2-453B-9668-DDA97050F6F3}"/>
    <hyperlink ref="B4331" r:id="rId1335" display="https://actualicese.com/tarifas-de-la-autorretencion-del-cree/?referer=L-excel-formato&amp;utm_medium=act_formato_excel&amp;utm_source=act_formato_excel&amp;utm_campaign=act_formato_excel&amp;utm_content=act_formato_excel_link" xr:uid="{7187683E-1CD6-4D3C-8E7C-B5E7A03476C2}"/>
    <hyperlink ref="B4333" r:id="rId1336" display="https://actualicese.com/informacion-laboral-2016/?referer=L-excel-formato&amp;utm_medium=act_formato_excel&amp;utm_source=act_formato_excel&amp;utm_campaign=act_formato_excel&amp;utm_content=act_formato_excel_link" xr:uid="{9149F464-A43E-49A1-9F01-BCD4E5BEB42E}"/>
    <hyperlink ref="B4335" r:id="rId1337" display="https://actualicese.com/calendario-tributario-de-bogota-d-c/?referer=L-excel-formato&amp;utm_medium=act_formato_excel&amp;utm_source=act_formato_excel&amp;utm_campaign=act_formato_excel&amp;utm_content=act_formato_excel_link" xr:uid="{D16A2E90-1A02-49D4-8141-19FF47F12B41}"/>
    <hyperlink ref="B4337" r:id="rId1338" display="https://actualicese.com/ejercicios-de-conversion-caso-practico-para-la-elaboracion-del-esfa-en-pymes/?referer=L-excel-formato&amp;utm_medium=act_formato_excel&amp;utm_source=act_formato_excel&amp;utm_campaign=act_formato_excel&amp;utm_content=act_formato_excel_link" xr:uid="{99AA0F7A-6958-4D3C-B80E-FCB0BDA168B9}"/>
    <hyperlink ref="B4339" r:id="rId1339" display="https://actualicese.com/tabla-de-retenciones-en-la-fuente-por-renta-ano-fiscal-2016/?referer=L-excel-formato&amp;utm_medium=act_formato_excel&amp;utm_source=act_formato_excel&amp;utm_campaign=act_formato_excel&amp;utm_content=act_formato_excel_link" xr:uid="{D5878F5C-E439-470A-AECC-D202C3CDF76C}"/>
    <hyperlink ref="B4341" r:id="rId1340" display="https://actualicese.com/cuestionario-para-la-revision-y-evaluacion-del-sistema-de-control-interno/?referer=L-excel-formato&amp;utm_medium=act_formato_excel&amp;utm_source=act_formato_excel&amp;utm_campaign=act_formato_excel&amp;utm_content=act_formato_excel_link" xr:uid="{916EA3E8-7473-41CA-90CF-14CE4712F066}"/>
    <hyperlink ref="B4343" r:id="rId1341" display="https://actualicese.com/lista-de-chequeo-de-revelaciones-nic-21-efectos-de-las-variaciones-en-las-tasas-de-cambio-de-la-moneda-extranjera/?referer=L-excel-formato&amp;utm_medium=act_formato_excel&amp;utm_source=act_formato_excel&amp;utm_campaign=act_formato_excel&amp;utm_content=act_formato_excel_link" xr:uid="{C51EAC59-EB19-452B-B828-B8E10044EA8D}"/>
    <hyperlink ref="B4345" r:id="rId1342" display="https://actualicese.com/auditoria-de-conciliaciones-bancarias/?referer=L-excel-formato&amp;utm_medium=act_formato_excel&amp;utm_source=act_formato_excel&amp;utm_campaign=act_formato_excel&amp;utm_content=act_formato_excel_link" xr:uid="{6E42E557-1034-4242-B9C7-E2F17A1F3FD7}"/>
    <hyperlink ref="B4347" r:id="rId1343" display="https://actualicese.com/lista-de-chequeo-de-revelaciones-nic-19-beneficios-a-los-empleados/?referer=L-excel-formato&amp;utm_medium=act_formato_excel&amp;utm_source=act_formato_excel&amp;utm_campaign=act_formato_excel&amp;utm_content=act_formato_excel_link" xr:uid="{D043A943-1D85-49A4-9674-72CCB549105D}"/>
    <hyperlink ref="B4349" r:id="rId1344" display="https://actualicese.com/modelo-de-contrato-de-corretaje-inmobiliario/?referer=L-excel-formato&amp;utm_medium=act_formato_excel&amp;utm_source=act_formato_excel&amp;utm_campaign=act_formato_excel&amp;utm_content=act_formato_excel_link" xr:uid="{CDBCC999-7428-46D9-845C-7310BE16479D}"/>
    <hyperlink ref="B4351" r:id="rId1345" display="https://actualicese.com/calendario-tributario-2016/?referer=L-excel-formato&amp;utm_medium=act_formato_excel&amp;utm_source=act_formato_excel&amp;utm_campaign=act_formato_excel&amp;utm_content=act_formato_excel_link" xr:uid="{21F88222-625E-4B27-9690-71CCBD0BB085}"/>
    <hyperlink ref="B4353" r:id="rId1346" display="https://actualicese.com/lista-de-chequeo-de-revelaciones-nic-18-ingresos-de-actividades-ordinarias/?referer=L-excel-formato&amp;utm_medium=act_formato_excel&amp;utm_source=act_formato_excel&amp;utm_campaign=act_formato_excel&amp;utm_content=act_formato_excel_link" xr:uid="{0985E4F3-9C97-459D-B9B7-5E2C4F88A22B}"/>
    <hyperlink ref="B4355" r:id="rId1347" display="https://actualicese.com/retencion-en-la-fuente-con-procedimiento-1-para-asalariados-y-demas-empleados-durante-el-2016/?referer=L-excel-formato&amp;utm_medium=act_formato_excel&amp;utm_source=act_formato_excel&amp;utm_campaign=act_formato_excel&amp;utm_content=act_formato_excel_link" xr:uid="{64476D19-301A-4861-9039-DF54BCA96838}"/>
    <hyperlink ref="B4357" r:id="rId1348" display="https://actualicese.com/autorizacion-para-desocupar-inmueble-por-finalizacion-del-contrato-de-arrendamiento-ph/?referer=L-excel-formato&amp;utm_medium=act_formato_excel&amp;utm_source=act_formato_excel&amp;utm_campaign=act_formato_excel&amp;utm_content=act_formato_excel_link" xr:uid="{8CD0CD3D-DBA7-4FFE-AF57-95EBA94B4691}"/>
    <hyperlink ref="B4359" r:id="rId1349" display="https://actualicese.com/formato-auditoria-del-disponible/?referer=L-excel-formato&amp;utm_medium=act_formato_excel&amp;utm_source=act_formato_excel&amp;utm_campaign=act_formato_excel&amp;utm_content=act_formato_excel_link" xr:uid="{91E9A8BE-8814-4495-9C33-7DC32D262BF2}"/>
    <hyperlink ref="B4361" r:id="rId1350" display="https://actualicese.com/liquidador-ejercicio-de-conciliacion-entre-el-resultado-contable-y-los-resultados-fiscales/?referer=L-excel-formato&amp;utm_medium=act_formato_excel&amp;utm_source=act_formato_excel&amp;utm_campaign=act_formato_excel&amp;utm_content=act_formato_excel_link" xr:uid="{0FE9D272-C548-4496-A544-F9D72883EA50}"/>
    <hyperlink ref="B4363" r:id="rId1351" display="https://actualicese.com/liquidador-retencion-en-la-fuente-con-procedimiento-2-para-determinar-porcentaje-en-diciembre-de-2015/?referer=L-excel-formato&amp;utm_medium=act_formato_excel&amp;utm_source=act_formato_excel&amp;utm_campaign=act_formato_excel&amp;utm_content=act_formato_excel_link" xr:uid="{4A69EA9B-6987-40DA-8B48-2D46E2086C5A}"/>
    <hyperlink ref="B4365" r:id="rId1352" display="https://actualicese.com/acta-constitucion-y-posesion-de-miembros-del-comite-paritario-de-seguridad-y-salud-en-el-trabajo/?referer=L-excel-formato&amp;utm_medium=act_formato_excel&amp;utm_source=act_formato_excel&amp;utm_campaign=act_formato_excel&amp;utm_content=act_formato_excel_link" xr:uid="{F1BFEDDF-2AB8-41D7-896A-85C76280465C}"/>
    <hyperlink ref="B4367" r:id="rId1353" display="https://actualicese.com/lista-de-chequeo-de-revelaciones-nic-17-arrendamientos/?referer=L-excel-formato&amp;utm_medium=act_formato_excel&amp;utm_source=act_formato_excel&amp;utm_campaign=act_formato_excel&amp;utm_content=act_formato_excel_link" xr:uid="{AC17C8BD-8E35-4207-A4B7-4F3E0187A44C}"/>
    <hyperlink ref="B4369" r:id="rId1354" display="https://actualicese.com/normatividad-reglamentaria-del-impuesto-a-la-riqueza-y-su-complementario/?referer=L-excel-formato&amp;utm_medium=act_formato_excel&amp;utm_source=act_formato_excel&amp;utm_campaign=act_formato_excel&amp;utm_content=act_formato_excel_link" xr:uid="{97CE7E99-03CA-414F-8EEC-CC04CF337D31}"/>
    <hyperlink ref="B4371" r:id="rId1355" display="https://actualicese.com/basica-de-trabajo-auxilio-de-transporte-y-dotacion/?referer=L-excel-formato&amp;utm_medium=act_formato_excel&amp;utm_source=act_formato_excel&amp;utm_campaign=act_formato_excel&amp;utm_content=act_formato_excel_link" xr:uid="{970EB266-383B-4590-B34D-12DE83AD79E1}"/>
    <hyperlink ref="B4373" r:id="rId1356" display="https://actualicese.com/exogena-estructura-final-del-contenido-de-la-resolucion-dian-000220-de-octubre-31-del-2014/?referer=L-excel-formato&amp;utm_medium=act_formato_excel&amp;utm_source=act_formato_excel&amp;utm_campaign=act_formato_excel&amp;utm_content=act_formato_excel_link" xr:uid="{0C9B56F1-4023-4CFA-AAA4-EF8595A18002}"/>
    <hyperlink ref="B4375" r:id="rId1357" display="https://actualicese.com/normatividad-reglamentaria-del-impuesto-nacional-al-consumo/?referer=L-excel-formato&amp;utm_medium=act_formato_excel&amp;utm_source=act_formato_excel&amp;utm_campaign=act_formato_excel&amp;utm_content=act_formato_excel_link" xr:uid="{CBC12611-42ED-4FB4-8388-09628CAF7EC5}"/>
    <hyperlink ref="B4377" r:id="rId1358" display="https://actualicese.com/basica-de-trabajo-incapacidad/?referer=L-excel-formato&amp;utm_medium=act_formato_excel&amp;utm_source=act_formato_excel&amp;utm_campaign=act_formato_excel&amp;utm_content=act_formato_excel_link" xr:uid="{F0A50F88-44EF-476D-815B-2E4F00C2626F}"/>
    <hyperlink ref="B4379" r:id="rId1359" display="https://actualicese.com/documento-de-orientacion-tecnica-015-copropiedades-de-uso-residencial-o-mixto-grupo-1-2-y-3/?referer=L-excel-formato&amp;utm_medium=act_formato_excel&amp;utm_source=act_formato_excel&amp;utm_campaign=act_formato_excel&amp;utm_content=act_formato_excel_link" xr:uid="{3F3E5BF9-D8AB-428E-B7F2-6AF214EB5A35}"/>
    <hyperlink ref="B4381" r:id="rId1360" display="https://actualicese.com/documento-de-orientacion-tecnica-014-entidades-sin-animo-de-lucro/?referer=L-excel-formato&amp;utm_medium=act_formato_excel&amp;utm_source=act_formato_excel&amp;utm_campaign=act_formato_excel&amp;utm_content=act_formato_excel_link" xr:uid="{754B4EE3-BD8D-49D8-9143-5E40DB2961A7}"/>
    <hyperlink ref="B4383" r:id="rId1361" display="https://actualicese.com/documentos-de-orientacion-pedagogica-para-la-aplicacion-de-las-niif-nif-y-nai/?referer=L-excel-formato&amp;utm_medium=act_formato_excel&amp;utm_source=act_formato_excel&amp;utm_campaign=act_formato_excel&amp;utm_content=act_formato_excel_link" xr:uid="{A9CD6C2A-8CE0-4B63-9866-F0FFC2DB281F}"/>
    <hyperlink ref="B4385" r:id="rId1362" display="https://actualicese.com/documentos-sobre-combinaciones-de-negocios-orientaciones-tecnicas-010-y-011-del-ctcp/?referer=L-excel-formato&amp;utm_medium=act_formato_excel&amp;utm_source=act_formato_excel&amp;utm_campaign=act_formato_excel&amp;utm_content=act_formato_excel_link" xr:uid="{6C42CB43-4105-4F2D-BB22-D987A2C4449D}"/>
    <hyperlink ref="B4387" r:id="rId1363" display="https://actualicese.com/documentos-sobre-activos-y-pasivos-financieros-orientaciones-tecnicas-008-y-009-del-ctcp/?referer=L-excel-formato&amp;utm_medium=act_formato_excel&amp;utm_source=act_formato_excel&amp;utm_campaign=act_formato_excel&amp;utm_content=act_formato_excel_link" xr:uid="{39525F5D-FD02-4ABD-AEA4-BD732207335A}"/>
    <hyperlink ref="B4389" r:id="rId1364" display="https://actualicese.com/documentos-de-regulacion-sobre-propiedades-planta-y-equipos-orientaciones-tecnicas-006-y-007-del-ctcp/?referer=L-excel-formato&amp;utm_medium=act_formato_excel&amp;utm_source=act_formato_excel&amp;utm_campaign=act_formato_excel&amp;utm_content=act_formato_excel_link" xr:uid="{A1C94F10-8647-4051-84ED-08F76D937EBF}"/>
    <hyperlink ref="B4391" r:id="rId1365" display="https://actualicese.com/documentos-de-adopcion-por-primera-vez-orientaciones-tecnicas-004-y-005-del-ctcp/?referer=L-excel-formato&amp;utm_medium=act_formato_excel&amp;utm_source=act_formato_excel&amp;utm_campaign=act_formato_excel&amp;utm_content=act_formato_excel_link" xr:uid="{C4D81A19-D8F1-47B3-959C-4D4DA50FA2D9}"/>
    <hyperlink ref="B4393" r:id="rId1366" display="https://actualicese.com/documentos-de-marco-conceptual-orientaciones-tecnicas-002-y-003-del-ctcp/?referer=L-excel-formato&amp;utm_medium=act_formato_excel&amp;utm_source=act_formato_excel&amp;utm_campaign=act_formato_excel&amp;utm_content=act_formato_excel_link" xr:uid="{D9A95DFF-D41D-4C50-986C-D22C732B4BF5}"/>
    <hyperlink ref="B4395" r:id="rId1367" display="https://actualicese.com/documento-de-orientacion-tecnica-001-contabilidad-bajo-los-nuevos-marcos-tecnicos-normativos/?referer=L-excel-formato&amp;utm_medium=act_formato_excel&amp;utm_source=act_formato_excel&amp;utm_campaign=act_formato_excel&amp;utm_content=act_formato_excel_link" xr:uid="{81046BC2-87DC-4D3A-927C-FF26CE16A43E}"/>
    <hyperlink ref="B4397" r:id="rId1368" display="https://actualicese.com/estructura-del-contenido-de-la-resolucion-dian-112-de-octubre-29-del-2015/?referer=L-excel-formato&amp;utm_medium=act_formato_excel&amp;utm_source=act_formato_excel&amp;utm_campaign=act_formato_excel&amp;utm_content=act_formato_excel_link" xr:uid="{D540E516-CB55-45FA-B25A-56F42EBC501E}"/>
    <hyperlink ref="B4399" r:id="rId1369" display="https://actualicese.com/normatividad-reglamentaria-del-cree/?referer=L-excel-formato&amp;utm_medium=act_formato_excel&amp;utm_source=act_formato_excel&amp;utm_campaign=act_formato_excel&amp;utm_content=act_formato_excel_link" xr:uid="{786A4DCA-C277-464F-AC8D-147BDD0479FD}"/>
    <hyperlink ref="B4401" r:id="rId1370" display="https://actualicese.com/basica-de-trabajo-acoso-laboral/?referer=L-excel-formato&amp;utm_medium=act_formato_excel&amp;utm_source=act_formato_excel&amp;utm_campaign=act_formato_excel&amp;utm_content=act_formato_excel_link" xr:uid="{6D0A1E45-83F8-40B5-BDBE-8B16B43C099D}"/>
    <hyperlink ref="B4403" r:id="rId1371" display="https://actualicese.com/planilla-de-circularizaciones/?referer=L-excel-formato&amp;utm_medium=act_formato_excel&amp;utm_source=act_formato_excel&amp;utm_campaign=act_formato_excel&amp;utm_content=act_formato_excel_link" xr:uid="{9EB8A070-53E6-4CC1-B6A9-FF70FF79C9B0}"/>
    <hyperlink ref="B4405" r:id="rId1372" display="https://actualicese.com/lista-de-chequeo-de-revelaciones-nic-16-propiedades-planta-y-equipo/?referer=L-excel-formato&amp;utm_medium=act_formato_excel&amp;utm_source=act_formato_excel&amp;utm_campaign=act_formato_excel&amp;utm_content=act_formato_excel_link" xr:uid="{1A1F4639-75ED-4C1A-BBA3-B39A9AB762D9}"/>
    <hyperlink ref="B4407" r:id="rId1373" display="https://actualicese.com/obligaciones-tributarias-de-los-consorcios-y-uniones-temporales/?referer=L-excel-formato&amp;utm_medium=act_formato_excel&amp;utm_source=act_formato_excel&amp;utm_campaign=act_formato_excel&amp;utm_content=act_formato_excel_link" xr:uid="{1D496120-CF66-4C1F-8710-4FDFB6151C02}"/>
    <hyperlink ref="B4409" r:id="rId1374" display="https://actualicese.com/basica-de-trabajo-salario-y-jornada-laboral/?referer=L-excel-formato&amp;utm_medium=act_formato_excel&amp;utm_source=act_formato_excel&amp;utm_campaign=act_formato_excel&amp;utm_content=act_formato_excel_link" xr:uid="{B7E7E569-B548-46C8-B342-1FF92315BF94}"/>
    <hyperlink ref="B4411" r:id="rId1375" display="https://actualicese.com/lista-de-chequeo-de-revelaciones-nic-12-impuesto-a-las-ganancias/?referer=L-excel-formato&amp;utm_medium=act_formato_excel&amp;utm_source=act_formato_excel&amp;utm_campaign=act_formato_excel&amp;utm_content=act_formato_excel_link" xr:uid="{8955165F-F7D5-45E2-A6F2-CC7DFC49563F}"/>
    <hyperlink ref="B4413" r:id="rId1376" display="https://actualicese.com/doctrinas-de-la-dian-sobre-el-cree/?referer=L-excel-formato&amp;utm_medium=act_formato_excel&amp;utm_source=act_formato_excel&amp;utm_campaign=act_formato_excel&amp;utm_content=act_formato_excel_link" xr:uid="{CF389366-DB09-4FC1-9949-6E2AD9EB6B49}"/>
    <hyperlink ref="B4415" r:id="rId1377" display="https://actualicese.com/atencion-integral-en-seguridad-y-salud-en-el-trabajo-2015-hipocausia-neurosensorial-inducida-por-ruido-u-ototoxicos/?referer=L-excel-formato&amp;utm_medium=act_formato_excel&amp;utm_source=act_formato_excel&amp;utm_campaign=act_formato_excel&amp;utm_content=act_formato_excel_link" xr:uid="{CA087812-291C-4038-A6E7-6573B0C9022C}"/>
    <hyperlink ref="B4417" r:id="rId1378" display="https://actualicese.com/atencion-integral-en-seguridad-y-salud-en-el-trabajo-2015-bencenos-y-sus-derivados/?referer=L-excel-formato&amp;utm_medium=act_formato_excel&amp;utm_source=act_formato_excel&amp;utm_campaign=act_formato_excel&amp;utm_content=act_formato_excel_link" xr:uid="{E912CBC8-4622-4855-A92E-27C7A6CDE741}"/>
    <hyperlink ref="B4419" r:id="rId1379" display="https://actualicese.com/atencion-integral-en-seguridad-y-salud-en-el-trabajo-2015-trabajadores-expuestos-a-organofosforados-o-carbamatos/?referer=L-excel-formato&amp;utm_medium=act_formato_excel&amp;utm_source=act_formato_excel&amp;utm_campaign=act_formato_excel&amp;utm_content=act_formato_excel_link" xr:uid="{601839AA-2E53-4A47-8BBB-B9205E6E97D3}"/>
    <hyperlink ref="B4421" r:id="rId1380" display="https://actualicese.com/atencion-integral-en-seguridad-y-salud-en-el-trabajo-2015-neumoconiosis/?referer=L-excel-formato&amp;utm_medium=act_formato_excel&amp;utm_source=act_formato_excel&amp;utm_campaign=act_formato_excel&amp;utm_content=act_formato_excel_link" xr:uid="{798A94DB-8BCD-4586-9975-6EF21BEB4116}"/>
    <hyperlink ref="B4423" r:id="rId1381" display="https://actualicese.com/atencion-integral-en-seguridad-y-salud-en-el-trabajo-2015-hombro-doloroso/?referer=L-excel-formato&amp;utm_medium=act_formato_excel&amp;utm_source=act_formato_excel&amp;utm_campaign=act_formato_excel&amp;utm_content=act_formato_excel_link" xr:uid="{CD9A42A1-B573-4012-B701-4F8EEDBA6049}"/>
    <hyperlink ref="B4425" r:id="rId1382" display="https://actualicese.com/atencion-integral-en-seguridad-y-salud-en-el-trabajo-2015-dermatitis-de-origen-ocupacional/?referer=L-excel-formato&amp;utm_medium=act_formato_excel&amp;utm_source=act_formato_excel&amp;utm_campaign=act_formato_excel&amp;utm_content=act_formato_excel_link" xr:uid="{89C6214D-1F47-4C01-862B-F05B1BC29946}"/>
    <hyperlink ref="B4427" r:id="rId1383" display="https://actualicese.com/atencion-integral-en-seguridad-y-salud-en-el-trabajo-2015-cancer-de-pulmon-de-origen-ocupacional/?referer=L-excel-formato&amp;utm_medium=act_formato_excel&amp;utm_source=act_formato_excel&amp;utm_campaign=act_formato_excel&amp;utm_content=act_formato_excel_link" xr:uid="{6A81426F-5A97-41C6-9FC4-DA7D0EB98BB3}"/>
    <hyperlink ref="B4429" r:id="rId1384" display="https://actualicese.com/atencion-integral-en-seguridad-y-salud-en-el-trabajo-2015-asma-de-origen-ocupacional/?referer=L-excel-formato&amp;utm_medium=act_formato_excel&amp;utm_source=act_formato_excel&amp;utm_campaign=act_formato_excel&amp;utm_content=act_formato_excel_link" xr:uid="{57C1D628-C482-4A22-AD90-5AB4E5C56B8B}"/>
    <hyperlink ref="B4431" r:id="rId1385" display="https://actualicese.com/contratacion-del-servicio-domestico/?referer=L-excel-formato&amp;utm_medium=act_formato_excel&amp;utm_source=act_formato_excel&amp;utm_campaign=act_formato_excel&amp;utm_content=act_formato_excel_link" xr:uid="{4FC3D420-F505-41AC-93C8-E7B96B4D8232}"/>
    <hyperlink ref="B4433" r:id="rId1386" display="https://actualicese.com/atencion-integral-en-seguridad-y-salud-en-el-trabajo-2015-desorden-musculo-esqueletico-de-miembro-superior/?referer=L-excel-formato&amp;utm_medium=act_formato_excel&amp;utm_source=act_formato_excel&amp;utm_campaign=act_formato_excel&amp;utm_content=act_formato_excel_link" xr:uid="{B6F0C7F4-6C84-4006-93DD-61C560D131AA}"/>
    <hyperlink ref="B4435" r:id="rId1387" display="https://actualicese.com/atencion-integral-en-seguridad-y-salud-en-el-trabajo-2015-dolor-lumbar-inespecifico-y-enfermedad-discal-de-origen-ocupacional/?referer=L-excel-formato&amp;utm_medium=act_formato_excel&amp;utm_source=act_formato_excel&amp;utm_campaign=act_formato_excel&amp;utm_content=act_formato_excel_link" xr:uid="{03ECFD1C-6C35-4534-A185-E906DE1CC762}"/>
    <hyperlink ref="B4437" r:id="rId1388" display="https://actualicese.com/carta-de-gerencia/?referer=L-excel-formato&amp;utm_medium=act_formato_excel&amp;utm_source=act_formato_excel&amp;utm_campaign=act_formato_excel&amp;utm_content=act_formato_excel_link" xr:uid="{9880DF32-B7C9-4AC6-9964-18C66BA8D06C}"/>
    <hyperlink ref="B4439" r:id="rId1389" display="https://actualicese.com/lista-de-chequeo-de-revelaciones-nic-11-contratos-de-construccion/?referer=L-excel-formato&amp;utm_medium=act_formato_excel&amp;utm_source=act_formato_excel&amp;utm_campaign=act_formato_excel&amp;utm_content=act_formato_excel_link" xr:uid="{BB6F16AF-7800-4C3C-9AC7-B0CA79013002}"/>
    <hyperlink ref="B4441" r:id="rId1390" display="https://actualicese.com/modelo-de-certificacion-para-acreditar-que-la-empresa-se-encuentra-al-dia-en-pagos-de-parafiscales-y-seguridad-social/?referer=L-excel-formato&amp;utm_medium=act_formato_excel&amp;utm_source=act_formato_excel&amp;utm_campaign=act_formato_excel&amp;utm_content=act_formato_excel_link" xr:uid="{632217C4-0624-4E5A-8645-76D1B6BC2365}"/>
    <hyperlink ref="B4443" r:id="rId1391" display="https://actualicese.com/lista-de-chequeo-de-revelaciones-nic-10-hechos-ocurridos-despues-del-periodo-sobre-el-que-se-informa/?referer=L-excel-formato&amp;utm_medium=act_formato_excel&amp;utm_source=act_formato_excel&amp;utm_campaign=act_formato_excel&amp;utm_content=act_formato_excel_link" xr:uid="{122A61D4-B8B5-4003-A19F-1CF140E6145C}"/>
    <hyperlink ref="B4445" r:id="rId1392" display="https://actualicese.com/acuerdos-sobre-promocion-y-proteccion-reciproca-de-inversiones/?referer=L-excel-formato&amp;utm_medium=act_formato_excel&amp;utm_source=act_formato_excel&amp;utm_campaign=act_formato_excel&amp;utm_content=act_formato_excel_link" xr:uid="{D254FFFF-36B7-40BE-A88B-E192344457F4}"/>
    <hyperlink ref="B4447" r:id="rId1393" display="https://actualicese.com/diferencias-existentes-entre-los-distintos-tipos-societarios/?referer=L-excel-formato&amp;utm_medium=act_formato_excel&amp;utm_source=act_formato_excel&amp;utm_campaign=act_formato_excel&amp;utm_content=act_formato_excel_link" xr:uid="{AA000F05-E54E-48AF-A46A-F596BBE82755}"/>
    <hyperlink ref="B4449" r:id="rId1394" display="https://actualicese.com/modelo-de-circularizacion-proveedores/?referer=L-excel-formato&amp;utm_medium=act_formato_excel&amp;utm_source=act_formato_excel&amp;utm_campaign=act_formato_excel&amp;utm_content=act_formato_excel_link" xr:uid="{795FD2FD-09D9-4723-B4D1-904D5BA76EEE}"/>
    <hyperlink ref="B4451" r:id="rId1395" display="https://actualicese.com/revelaciones-exigidas-por-la-nic-8-politicas-contables-cambios-en-las-estimaciones-contables-y-errores/?referer=L-excel-formato&amp;utm_medium=act_formato_excel&amp;utm_source=act_formato_excel&amp;utm_campaign=act_formato_excel&amp;utm_content=act_formato_excel_link" xr:uid="{D7F19C5D-3E85-43C1-84BE-5F2C054A5D24}"/>
    <hyperlink ref="B4453" r:id="rId1396" display="https://actualicese.com/convenios-para-evitar-la-doble-tributacion-de-las-empresas-de-navegacion/?referer=L-excel-formato&amp;utm_medium=act_formato_excel&amp;utm_source=act_formato_excel&amp;utm_campaign=act_formato_excel&amp;utm_content=act_formato_excel_link" xr:uid="{FBE7EFDA-BBE0-4540-B685-D7DF7FC894D1}"/>
    <hyperlink ref="B4455" r:id="rId1397" display="https://actualicese.com/carta-de-manifestaciones-de-la-direccion-al-auditor-en-una-revision-de-informacion-financiera-intermedia/?referer=L-excel-formato&amp;utm_medium=act_formato_excel&amp;utm_source=act_formato_excel&amp;utm_campaign=act_formato_excel&amp;utm_content=act_formato_excel_link" xr:uid="{EDD20FD1-E755-4CAC-8FE9-5D7707A6F3E5}"/>
    <hyperlink ref="B4457" r:id="rId1398" display="https://actualicese.com/revelaciones-exigidas-por-la-nic-7-estado-de-flujos-de-efectivo/?referer=L-excel-formato&amp;utm_medium=act_formato_excel&amp;utm_source=act_formato_excel&amp;utm_campaign=act_formato_excel&amp;utm_content=act_formato_excel_link" xr:uid="{944E6DAE-21D0-4DED-92D4-776B12886867}"/>
    <hyperlink ref="B4459" r:id="rId1399" display="https://actualicese.com/revelaciones-exigidas-por-la-nic-2-lista-de-chequeo/?referer=L-excel-formato&amp;utm_medium=act_formato_excel&amp;utm_source=act_formato_excel&amp;utm_campaign=act_formato_excel&amp;utm_content=act_formato_excel_link" xr:uid="{490BCE67-D3F8-4AF3-8CB3-5E926C09CE70}"/>
    <hyperlink ref="B4461" r:id="rId1400" display="https://actualicese.com/obligaciones-tributarias-con-vencimiento-en-septiembre-del-2015/?referer=L-excel-formato&amp;utm_medium=act_formato_excel&amp;utm_source=act_formato_excel&amp;utm_campaign=act_formato_excel&amp;utm_content=act_formato_excel_link" xr:uid="{2AFC61DD-EE86-4B95-A878-D6C35C7A65DD}"/>
    <hyperlink ref="B4463" r:id="rId1401" display="https://actualicese.com/modelo-de-circularizacion-cartera/?referer=L-excel-formato&amp;utm_medium=act_formato_excel&amp;utm_source=act_formato_excel&amp;utm_campaign=act_formato_excel&amp;utm_content=act_formato_excel_link" xr:uid="{874D06A5-7B0E-43E2-8C1B-B96AAC0BEB30}"/>
    <hyperlink ref="B4465" r:id="rId1402" display="https://actualicese.com/medicion-de-cuentas-por-cobrar-sin-intereses/?referer=L-excel-formato&amp;utm_medium=act_formato_excel&amp;utm_source=act_formato_excel&amp;utm_campaign=act_formato_excel&amp;utm_content=act_formato_excel_link" xr:uid="{3FB49C56-4784-4798-93F6-A8ECAED2FB78}"/>
    <hyperlink ref="B4467" r:id="rId1403" display="https://actualicese.com/tabla-de-tarifas-del-imas-para-trabajadores-por-cuenta-propia/?referer=L-excel-formato&amp;utm_medium=act_formato_excel&amp;utm_source=act_formato_excel&amp;utm_campaign=act_formato_excel&amp;utm_content=act_formato_excel_link" xr:uid="{8BB8E7A2-0669-4580-9EC2-30CF036D56E8}"/>
    <hyperlink ref="B4469" r:id="rId1404" display="https://actualicese.com/promesa-de-compraventa-de-inmueble/?referer=L-excel-formato&amp;utm_medium=act_formato_excel&amp;utm_source=act_formato_excel&amp;utm_campaign=act_formato_excel&amp;utm_content=act_formato_excel_link" xr:uid="{1CF7C1BE-DE3C-4CA1-8C52-F55E5A327DAD}"/>
    <hyperlink ref="B4471" r:id="rId1405" display="https://actualicese.com/dictamen-revisor-fiscal-con-salvedades-segun-decreto-302-del-2015/?referer=L-excel-formato&amp;utm_medium=act_formato_excel&amp;utm_source=act_formato_excel&amp;utm_campaign=act_formato_excel&amp;utm_content=act_formato_excel_link" xr:uid="{8C98191B-CB82-4B3C-ADA2-98CD6B0F9CC2}"/>
    <hyperlink ref="B4473" r:id="rId1406" display="https://actualicese.com/resumen-de-normas-tributarias-recopiladas-en-los-decretos-unicos-reglamentarios-de-mayo-del-2015/?referer=L-excel-formato&amp;utm_medium=act_formato_excel&amp;utm_source=act_formato_excel&amp;utm_campaign=act_formato_excel&amp;utm_content=act_formato_excel_link" xr:uid="{76981AD2-ED25-4AEA-8CA1-F58412FDA30C}"/>
    <hyperlink ref="B4475" r:id="rId1407" display="https://actualicese.com/dictamen-revisor-fiscal-con-abstencion-segun-decreto-302-del-2015/?referer=L-excel-formato&amp;utm_medium=act_formato_excel&amp;utm_source=act_formato_excel&amp;utm_campaign=act_formato_excel&amp;utm_content=act_formato_excel_link" xr:uid="{702CEAEA-AE7B-4614-96E4-42B2C4EB757D}"/>
    <hyperlink ref="B4477" r:id="rId1408" display="https://actualicese.com/modelo-declaracion-grupo-empresarial-o-situacion-de-control-personas-juridicas/?referer=L-excel-formato&amp;utm_medium=act_formato_excel&amp;utm_source=act_formato_excel&amp;utm_campaign=act_formato_excel&amp;utm_content=act_formato_excel_link" xr:uid="{F6169E8D-B58B-42F4-B6CC-0FD8ADB86041}"/>
    <hyperlink ref="B4479" r:id="rId1409" display="https://actualicese.com/contrato-de-suministro/?referer=L-excel-formato&amp;utm_medium=act_formato_excel&amp;utm_source=act_formato_excel&amp;utm_campaign=act_formato_excel&amp;utm_content=act_formato_excel_link" xr:uid="{1330D269-6D55-4A07-B1B6-2D7CFDB2947D}"/>
    <hyperlink ref="B4481" r:id="rId1410" display="https://actualicese.com/modelo-dictamen-revisor-fiscal-decreto-302/?referer=L-excel-formato&amp;utm_medium=act_formato_excel&amp;utm_source=act_formato_excel&amp;utm_campaign=act_formato_excel&amp;utm_content=act_formato_excel_link" xr:uid="{C33A4DC8-48EA-4F56-AD8D-C69A147A4AE8}"/>
    <hyperlink ref="B4483" r:id="rId1411" display="https://actualicese.com/modificaciones-realizadas-por-la-ley-1739-del-2014-en-materia-de-declaracion-de-renta/?referer=L-excel-formato&amp;utm_medium=act_formato_excel&amp;utm_source=act_formato_excel&amp;utm_campaign=act_formato_excel&amp;utm_content=act_formato_excel_link" xr:uid="{C459B0FB-D4EF-47CB-9DDA-BCCFEBC02A3D}"/>
    <hyperlink ref="B4485" r:id="rId1412" display="https://actualicese.com/cesion-de-derechos-patrimoniales-de-autor/?referer=L-excel-formato&amp;utm_medium=act_formato_excel&amp;utm_source=act_formato_excel&amp;utm_campaign=act_formato_excel&amp;utm_content=act_formato_excel_link" xr:uid="{AB7AC1ED-74FA-4A3D-A55A-14A0B75D2A6B}"/>
    <hyperlink ref="B4487" r:id="rId1413" display="https://actualicese.com/normatividad-a-tener-en-cuenta-en-la-preparacion-de-la-declaracion-de-renta-personas-naturales-ano-gravable-2014/?referer=L-excel-formato&amp;utm_medium=act_formato_excel&amp;utm_source=act_formato_excel&amp;utm_campaign=act_formato_excel&amp;utm_content=act_formato_excel_link" xr:uid="{F5B9DAFE-8F6E-4D3B-9550-1CB94F8677F7}"/>
    <hyperlink ref="B4489" r:id="rId1414" display="https://actualicese.com/modelo-liquidacion-trabajadores-periodos-inferiores-a-30-dias/?referer=L-excel-formato&amp;utm_medium=act_formato_excel&amp;utm_source=act_formato_excel&amp;utm_campaign=act_formato_excel&amp;utm_content=act_formato_excel_link" xr:uid="{281DFD4A-AD38-44D2-A710-CA1DCC380BC9}"/>
    <hyperlink ref="B4491" r:id="rId1415" display="https://actualicese.com/acta-compromisoria-para-delegacion-de-tribunal-de-arbitramento/?referer=L-excel-formato&amp;utm_medium=act_formato_excel&amp;utm_source=act_formato_excel&amp;utm_campaign=act_formato_excel&amp;utm_content=act_formato_excel_link" xr:uid="{C76CC034-9391-4B82-ABFE-2884CD29070A}"/>
    <hyperlink ref="B4493" r:id="rId1416" display="https://actualicese.com/amortizacion-de-contrato-de-leasing/?referer=L-excel-formato&amp;utm_medium=act_formato_excel&amp;utm_source=act_formato_excel&amp;utm_campaign=act_formato_excel&amp;utm_content=act_formato_excel_link" xr:uid="{82A26645-0BE3-4379-A125-DE39BA0404BF}"/>
    <hyperlink ref="B4495" r:id="rId1417" display="https://actualicese.com/tablas-para-definir-el-impuesto-de-renta-de-empleados-por-el-sistema-ordinario-iman-e-imas/?referer=L-excel-formato&amp;utm_medium=act_formato_excel&amp;utm_source=act_formato_excel&amp;utm_campaign=act_formato_excel&amp;utm_content=act_formato_excel_link" xr:uid="{FA74E5F5-0E0C-4A57-8DA2-FA7E2529728F}"/>
    <hyperlink ref="B4497" r:id="rId1418" display="https://actualicese.com/constitucion-de-copasst/?referer=L-excel-formato&amp;utm_medium=act_formato_excel&amp;utm_source=act_formato_excel&amp;utm_campaign=act_formato_excel&amp;utm_content=act_formato_excel_link" xr:uid="{452A21A8-B36C-44C5-9B52-74DA88E89D5C}"/>
    <hyperlink ref="B4499" r:id="rId1419" display="https://actualicese.com/formularios-110-y-140-declaracion-renta-y-cree-personas-juridicas-fraccion-ano-gravable-2015-version-basica/?referer=L-excel-formato&amp;utm_medium=act_formato_excel&amp;utm_source=act_formato_excel&amp;utm_campaign=act_formato_excel&amp;utm_content=act_formato_excel_link" xr:uid="{AD47AF0D-A432-4BBA-AF1B-F520E47C3C84}"/>
    <hyperlink ref="B4501" r:id="rId1420" display="https://actualicese.com/requisitos-para-acceder-al-beneficio-tributario-por-la-generacion-de-nuevos-puestos-de-trabajo/?referer=L-excel-formato&amp;utm_medium=act_formato_excel&amp;utm_source=act_formato_excel&amp;utm_campaign=act_formato_excel&amp;utm_content=act_formato_excel_link" xr:uid="{01264403-D2CC-4020-A2BA-037D11DA9640}"/>
    <hyperlink ref="B4503" r:id="rId1421" display="https://actualicese.com/propuesta-aplicacion-niif-en-propiedad-horizontal/?referer=L-excel-formato&amp;utm_medium=act_formato_excel&amp;utm_source=act_formato_excel&amp;utm_campaign=act_formato_excel&amp;utm_content=act_formato_excel_link" xr:uid="{18917D89-C700-4AE1-A1A9-F41ECA48DA2B}"/>
    <hyperlink ref="B4505" r:id="rId1422" display="https://actualicese.com/declaracion-renta-personas-naturales-requisitos-para-exoneracion-en-el-ano-gravable-2014/?referer=L-excel-formato&amp;utm_medium=act_formato_excel&amp;utm_source=act_formato_excel&amp;utm_campaign=act_formato_excel&amp;utm_content=act_formato_excel_link" xr:uid="{AB2FFF4D-36AF-4BB0-AB25-0E29261F7EC0}"/>
    <hyperlink ref="B4507" r:id="rId1423" display="https://actualicese.com/derecho-de-peticion-reliquidacion-de-pension/?referer=L-excel-formato&amp;utm_medium=act_formato_excel&amp;utm_source=act_formato_excel&amp;utm_campaign=act_formato_excel&amp;utm_content=act_formato_excel_link" xr:uid="{E3EE186C-3A4E-4E5D-BA86-2326D6C0A98F}"/>
    <hyperlink ref="B4509" r:id="rId1424" display="https://actualicese.com/declaracion-de-renta-personas-naturales-2014-documentos-necesarios-para-elaborarla/?referer=L-excel-formato&amp;utm_medium=act_formato_excel&amp;utm_source=act_formato_excel&amp;utm_campaign=act_formato_excel&amp;utm_content=act_formato_excel_link" xr:uid="{A7C7E0A3-4560-41C2-A14A-6D487F261DEF}"/>
    <hyperlink ref="B4511" r:id="rId1425" display="https://actualicese.com/modelo-politica-contable-de-presentacion-y-revelacion-de-cuentas-por-cobrar/?referer=L-excel-formato&amp;utm_medium=act_formato_excel&amp;utm_source=act_formato_excel&amp;utm_campaign=act_formato_excel&amp;utm_content=act_formato_excel_link" xr:uid="{2FCE781E-F8B8-4516-B3E9-5E1F1D047B7D}"/>
    <hyperlink ref="B4513" r:id="rId1426" display="https://actualicese.com/guia-para-determinar-si-una-persona-natural-es-residente-para-efectos-fiscales/?referer=L-excel-formato&amp;utm_medium=act_formato_excel&amp;utm_source=act_formato_excel&amp;utm_campaign=act_formato_excel&amp;utm_content=act_formato_excel_link" xr:uid="{FEEEAD98-9D88-48C7-AB59-CB2697DA3FF0}"/>
    <hyperlink ref="B4515" r:id="rId1427" display="https://actualicese.com/modelos-y-formatos-contrato-de-prestacion-de-servicios/?referer=L-excel-formato&amp;utm_medium=act_formato_excel&amp;utm_source=act_formato_excel&amp;utm_campaign=act_formato_excel&amp;utm_content=act_formato_excel_link" xr:uid="{53B64ECB-E2A6-435C-B53D-3141B96D7424}"/>
    <hyperlink ref="B4517" r:id="rId1428" display="https://actualicese.com/modelo-politica-contable-de-instrumentos-financieros-cuentas-por-cobrar/?referer=L-excel-formato&amp;utm_medium=act_formato_excel&amp;utm_source=act_formato_excel&amp;utm_campaign=act_formato_excel&amp;utm_content=act_formato_excel_link" xr:uid="{E409559E-D037-4FE6-9848-D00EC2544300}"/>
    <hyperlink ref="B4519" r:id="rId1429" display="https://actualicese.com/formularios-110-y-240-con-anexos-y-formato-1732-para-declaracion-de-renta-de-persona-natural-comerciante-ano-gravable-2014/?referer=L-excel-formato&amp;utm_medium=act_formato_excel&amp;utm_source=act_formato_excel&amp;utm_campaign=act_formato_excel&amp;utm_content=act_formato_excel_link" xr:uid="{F8021184-B861-439B-AE99-5E20A1CC0E10}"/>
    <hyperlink ref="B4521" r:id="rId1430" display="https://actualicese.com/formularios-210-y-230-con-anexos-de-persona-natural-para-declaracion-de-renta-ano-gravable-2014/?referer=L-excel-formato&amp;utm_medium=act_formato_excel&amp;utm_source=act_formato_excel&amp;utm_campaign=act_formato_excel&amp;utm_content=act_formato_excel_link" xr:uid="{D750D3A7-32FE-4F41-9244-DBF772F06B62}"/>
    <hyperlink ref="B4523" r:id="rId1431" display="https://actualicese.com/modelo-politica-contable-de-presentacion-de-estados-financieros/?referer=L-excel-formato&amp;utm_medium=act_formato_excel&amp;utm_source=act_formato_excel&amp;utm_campaign=act_formato_excel&amp;utm_content=act_formato_excel_link" xr:uid="{523B34FB-F520-41EF-AE85-AFEAF0B61B39}"/>
    <hyperlink ref="B4525" r:id="rId1432" display="https://actualicese.com/formulario-210-para-declaracion-de-renta-2014-de-personas-naturales-version-basica/?referer=L-excel-formato&amp;utm_medium=act_formato_excel&amp;utm_source=act_formato_excel&amp;utm_campaign=act_formato_excel&amp;utm_content=act_formato_excel_link" xr:uid="{961A8EFF-350B-4F2F-8707-6E3C158F7775}"/>
    <hyperlink ref="B4527" r:id="rId1433" display="https://actualicese.com/consecuencias-contables-y-tributarias-de-las-personas-naturales-yo-sucesiones-iliquidas-obligadas-o-no-a-llevar-contabilidad-por-el-ano-2014/?referer=L-excel-formato&amp;utm_medium=act_formato_excel&amp;utm_source=act_formato_excel&amp;utm_campaign=act_formato_excel&amp;utm_content=act_formato_excel_link" xr:uid="{2EC8808B-16BA-4F9D-A9DF-4EE5C8F5F068}"/>
    <hyperlink ref="B4529" r:id="rId1434" display="https://actualicese.com/arrendamiento-de-local-comercial/?referer=L-excel-formato&amp;utm_medium=act_formato_excel&amp;utm_source=act_formato_excel&amp;utm_campaign=act_formato_excel&amp;utm_content=act_formato_excel_link" xr:uid="{22BADA7B-7155-406A-90F9-3AFAC569F70F}"/>
    <hyperlink ref="B4531" r:id="rId1435" display="https://actualicese.com/contrato-de-deposito/?referer=L-excel-formato&amp;utm_medium=act_formato_excel&amp;utm_source=act_formato_excel&amp;utm_campaign=act_formato_excel&amp;utm_content=act_formato_excel_link" xr:uid="{0EB66AE6-50E9-4CF5-B636-6BFB4B97BAF7}"/>
    <hyperlink ref="B4533" r:id="rId1436" display="https://actualicese.com/revelaciones-exigidas-por-la-nic-1-lista-de-chequeo/?referer=L-excel-formato&amp;utm_medium=act_formato_excel&amp;utm_source=act_formato_excel&amp;utm_campaign=act_formato_excel&amp;utm_content=act_formato_excel_link" xr:uid="{32A8AC77-5AD9-40B1-9B9A-93D3B713AF9C}"/>
    <hyperlink ref="B4535" r:id="rId1437" display="https://actualicese.com/modelo-para-definir-porcentaje-fijo-de-retencion-en-la-fuente-sobre-salarios-en-junio-del-2015-procedimiento-2/?referer=L-excel-formato&amp;utm_medium=act_formato_excel&amp;utm_source=act_formato_excel&amp;utm_campaign=act_formato_excel&amp;utm_content=act_formato_excel_link" xr:uid="{40A76FA8-94F3-4FDC-853F-903649CF40B8}"/>
    <hyperlink ref="B4537" r:id="rId1438" display="https://actualicese.com/modelo-basico-para-la-elaboracion-de-la-nomina-para-pago-de-salarios/?referer=L-excel-formato&amp;utm_medium=act_formato_excel&amp;utm_source=act_formato_excel&amp;utm_campaign=act_formato_excel&amp;utm_content=act_formato_excel_link" xr:uid="{0F35E6BA-56AE-404F-84F3-7B8113025DFB}"/>
    <hyperlink ref="B4539" r:id="rId1439" display="https://actualicese.com/formulario-110-adaptado-para-declaracion-de-renta-2014-de-personas-naturales-version-basica/?referer=L-excel-formato&amp;utm_medium=act_formato_excel&amp;utm_source=act_formato_excel&amp;utm_campaign=act_formato_excel&amp;utm_content=act_formato_excel_link" xr:uid="{2E19CDC7-555D-43B0-8ED3-96DDEDBAC53E}"/>
    <hyperlink ref="B4541" r:id="rId1440" display="https://actualicese.com/cuadro-resumen-de-las-caracteristicas-basicas-de-cada-tipo-de-persona-natural/?referer=L-excel-formato&amp;utm_medium=act_formato_excel&amp;utm_source=act_formato_excel&amp;utm_campaign=act_formato_excel&amp;utm_content=act_formato_excel_link" xr:uid="{AA803CA2-DD40-4586-8DD1-39B51778414E}"/>
    <hyperlink ref="B4543" r:id="rId1441" display="https://actualicese.com/derecho-de-peticion-requiriendo-visita-para-inspeccion-de-sanidad/?referer=L-excel-formato&amp;utm_medium=act_formato_excel&amp;utm_source=act_formato_excel&amp;utm_campaign=act_formato_excel&amp;utm_content=act_formato_excel_link" xr:uid="{4991978C-1F0D-4D7C-AA93-7FA8D7FEAB7A}"/>
    <hyperlink ref="B4545" r:id="rId1442" display="https://actualicese.com/modelo-de-contrato-de-transporte-terrestre-de-carga/?referer=L-excel-formato&amp;utm_medium=act_formato_excel&amp;utm_source=act_formato_excel&amp;utm_campaign=act_formato_excel&amp;utm_content=act_formato_excel_link" xr:uid="{FC056E2D-735C-4EBC-93AC-14016069209D}"/>
    <hyperlink ref="B4547" r:id="rId1443" display="https://actualicese.com/plantilla-elaboracion-estados-financieros-en-niif-para-supersociedades-con-xbrl-express/?referer=L-excel-formato&amp;utm_medium=act_formato_excel&amp;utm_source=act_formato_excel&amp;utm_campaign=act_formato_excel&amp;utm_content=act_formato_excel_link" xr:uid="{1B1FCF82-4A26-4177-A43C-C136A9759CAD}"/>
    <hyperlink ref="B4549" r:id="rId1444" display="https://actualicese.com/modelo-para-proyectar-efectos-2014-del-iman-y-el-imas-en-el-impuesto-de-renta-de-los-empleados/?referer=L-excel-formato&amp;utm_medium=act_formato_excel&amp;utm_source=act_formato_excel&amp;utm_campaign=act_formato_excel&amp;utm_content=act_formato_excel_link" xr:uid="{408D6000-37B8-4E71-ADEA-5389F30A215C}"/>
    <hyperlink ref="B4551" r:id="rId1445" display="https://actualicese.com/requisitos-para-acceder-a-la-exencion-del-impuesto-de-renta-en-san-andres-providencia-y-santa-catalina/?referer=L-excel-formato&amp;utm_medium=act_formato_excel&amp;utm_source=act_formato_excel&amp;utm_campaign=act_formato_excel&amp;utm_content=act_formato_excel_link" xr:uid="{96B0A679-9E25-4D65-B994-8BB70813E953}"/>
    <hyperlink ref="B4553" r:id="rId1446" display="https://actualicese.com/guia-presentacion-de-solicitud-para-registro-de-contratos-de-importacion-de-tecnologia/?referer=L-excel-formato&amp;utm_medium=act_formato_excel&amp;utm_source=act_formato_excel&amp;utm_campaign=act_formato_excel&amp;utm_content=act_formato_excel_link" xr:uid="{B7C0AE9C-597A-4296-B2F1-C9CE05616A7E}"/>
    <hyperlink ref="B4555" r:id="rId1447" display="https://actualicese.com/modelo-para-proyectar-efectos-2014-del-imas-en-la-declaracion-de-renta-de-los-trabjadores-por-cuenta-propia/?referer=L-excel-formato&amp;utm_medium=act_formato_excel&amp;utm_source=act_formato_excel&amp;utm_campaign=act_formato_excel&amp;utm_content=act_formato_excel_link" xr:uid="{7B674E14-C648-4EB9-A01B-3315D34660F0}"/>
    <hyperlink ref="B4557" r:id="rId1448" display="https://actualicese.com/clasificacion-tributaria-por-el-ano-gravable-2014-de-las-personas-naturales-y-sucesiones-iliquidas-frente-al-impuesto-de-renta-y-ganancia-ocasional/?referer=L-excel-formato&amp;utm_medium=act_formato_excel&amp;utm_source=act_formato_excel&amp;utm_campaign=act_formato_excel&amp;utm_content=act_formato_excel_link" xr:uid="{3DF625FF-ED5C-4A17-95B1-27C178F5DBF9}"/>
    <hyperlink ref="B4559" r:id="rId1449" display="https://actualicese.com/contrato-oferta-de-seriedad/?referer=L-excel-formato&amp;utm_medium=act_formato_excel&amp;utm_source=act_formato_excel&amp;utm_campaign=act_formato_excel&amp;utm_content=act_formato_excel_link" xr:uid="{81A42116-83D4-4EFA-9C1A-F0B5DB8A77BB}"/>
    <hyperlink ref="B4561" r:id="rId1450" display="https://actualicese.com/formato-modelo-de-presupuesto-y-calculo-de-la-cuota-de-administracion-de-una-propiedad-horizontal/?referer=L-excel-formato&amp;utm_medium=act_formato_excel&amp;utm_source=act_formato_excel&amp;utm_campaign=act_formato_excel&amp;utm_content=act_formato_excel_link" xr:uid="{D45FC61A-46EB-4A72-B8C6-A0DE5FA400FA}"/>
    <hyperlink ref="B4563" r:id="rId1451" display="https://actualicese.com/modelo-de-certificado-de-retencion-en-la-fuente-por-conceptos-diferentes-a-rentas-laborales/?referer=L-excel-formato&amp;utm_medium=act_formato_excel&amp;utm_source=act_formato_excel&amp;utm_campaign=act_formato_excel&amp;utm_content=act_formato_excel_link" xr:uid="{006D76A9-318A-4C44-9AD3-CC9C34D3D404}"/>
    <hyperlink ref="B4565" r:id="rId1452" display="https://actualicese.com/derecho-de-peticion-informando-apertura-de-establecimiento-de-comercio/?referer=L-excel-formato&amp;utm_medium=act_formato_excel&amp;utm_source=act_formato_excel&amp;utm_campaign=act_formato_excel&amp;utm_content=act_formato_excel_link" xr:uid="{E21A7E07-CCA0-45BC-A461-43EA0E8BCFAF}"/>
    <hyperlink ref="B4567" r:id="rId1453" display="https://actualicese.com/modelo-de-contrato-de-comodato-precario/?referer=L-excel-formato&amp;utm_medium=act_formato_excel&amp;utm_source=act_formato_excel&amp;utm_campaign=act_formato_excel&amp;utm_content=act_formato_excel_link" xr:uid="{A60CE791-35DF-4E8E-9D62-80F1A7B1AF2B}"/>
    <hyperlink ref="B4569" r:id="rId1454" display="https://actualicese.com/superfinanciera-valoracion-de-instrumentos-financieros-derivados-basicos/?referer=L-excel-formato&amp;utm_medium=act_formato_excel&amp;utm_source=act_formato_excel&amp;utm_campaign=act_formato_excel&amp;utm_content=act_formato_excel_link" xr:uid="{C54CF886-9383-4F20-9D63-E8C6D00D1FD3}"/>
    <hyperlink ref="B4571" r:id="rId1455" display="https://actualicese.com/modelo-de-politica-general-contable/?referer=L-excel-formato&amp;utm_medium=act_formato_excel&amp;utm_source=act_formato_excel&amp;utm_campaign=act_formato_excel&amp;utm_content=act_formato_excel_link" xr:uid="{7B8544A9-C45F-41EE-AB9E-ADB3EBA52B0E}"/>
    <hyperlink ref="B4573" r:id="rId1456" display="https://actualicese.com/categorias-de-informantes-de-exogena-por-el-ano-gravable-2014-y-los-formatos-que-deben-usar/?referer=L-excel-formato&amp;utm_medium=act_formato_excel&amp;utm_source=act_formato_excel&amp;utm_campaign=act_formato_excel&amp;utm_content=act_formato_excel_link" xr:uid="{27D9810A-5933-42CD-968D-E86A0AC2D27C}"/>
    <hyperlink ref="B4575" r:id="rId1457" display="https://actualicese.com/convenio-de-colaboracion-programa-empresarial/?referer=L-excel-formato&amp;utm_medium=act_formato_excel&amp;utm_source=act_formato_excel&amp;utm_campaign=act_formato_excel&amp;utm_content=act_formato_excel_link" xr:uid="{3C9382F8-8F8B-4334-8B74-58C28092B41A}"/>
    <hyperlink ref="B4577" r:id="rId1458" display="https://actualicese.com/modelo-de-contrato-de-mandato/?referer=L-excel-formato&amp;utm_medium=act_formato_excel&amp;utm_source=act_formato_excel&amp;utm_campaign=act_formato_excel&amp;utm_content=act_formato_excel_link" xr:uid="{C35D2DE1-73EE-4AAF-ACE1-B14BE5B12895}"/>
    <hyperlink ref="B4579" r:id="rId1459" display="https://actualicese.com/proyeccion-de-posibles-resultados-del-cree-menos-sus-autorretenciones-y-de-la-sobretasa-al-cree-mas-y-menos-sus-anticipos/?referer=L-excel-formato&amp;utm_medium=act_formato_excel&amp;utm_source=act_formato_excel&amp;utm_campaign=act_formato_excel&amp;utm_content=act_formato_excel_link" xr:uid="{2D54CD12-C5C3-4CD9-9643-AC1DA83D8AE7}"/>
    <hyperlink ref="B4581" r:id="rId1460" display="https://actualicese.com/reportes-de-informacion-exogena-tributaria-a-la-dian-ano-gravable-2014/?referer=L-excel-formato&amp;utm_medium=act_formato_excel&amp;utm_source=act_formato_excel&amp;utm_campaign=act_formato_excel&amp;utm_content=act_formato_excel_link" xr:uid="{2DFAFFC7-B965-450D-807D-8CBE8345B94C}"/>
    <hyperlink ref="B4583" r:id="rId1461" display="https://actualicese.com/control-interno-en-la-entrada-de-inventarios/?referer=L-excel-formato&amp;utm_medium=act_formato_excel&amp;utm_source=act_formato_excel&amp;utm_campaign=act_formato_excel&amp;utm_content=act_formato_excel_link" xr:uid="{CDDBB377-48AB-48ED-BED7-EC06E5160E98}"/>
    <hyperlink ref="B4585" r:id="rId1462" display="https://actualicese.com/casos-de-la-depuracion-del-impuesto-de-renta-en-las-entidades-del-regimen-tributario-especial/?referer=L-excel-formato&amp;utm_medium=act_formato_excel&amp;utm_source=act_formato_excel&amp;utm_campaign=act_formato_excel&amp;utm_content=act_formato_excel_link" xr:uid="{17307722-BEFD-405D-A516-F7DEC613EBA1}"/>
    <hyperlink ref="B4587" r:id="rId1463" display="https://actualicese.com/comparativo-de-las-partidas-con-que-se-depura-el-impuesto-de-renta-y-complementarios-y-el-impuesto-sobre-la-renta-para-la-equidad-cree/?referer=L-excel-formato&amp;utm_medium=act_formato_excel&amp;utm_source=act_formato_excel&amp;utm_campaign=act_formato_excel&amp;utm_content=act_formato_excel_link" xr:uid="{984F3860-58A3-4DF0-B0AB-17AE9D1AADB4}"/>
    <hyperlink ref="B4589" r:id="rId1464" display="https://actualicese.com/liquidacion-del-impuesto-de-renta-y-cree-ano-gravable-2014-para-pequenas-empresas-de-la-ley-1429-de-2010/?referer=L-excel-formato&amp;utm_medium=act_formato_excel&amp;utm_source=act_formato_excel&amp;utm_campaign=act_formato_excel&amp;utm_content=act_formato_excel_link" xr:uid="{7A802868-F936-430F-9F5E-89855324481C}"/>
    <hyperlink ref="B4591" r:id="rId1465" display="https://actualicese.com/modelo-del-certificado-anual-a-socios-yo-accionistas-por-el-ano-2014/?referer=L-excel-formato&amp;utm_medium=act_formato_excel&amp;utm_source=act_formato_excel&amp;utm_campaign=act_formato_excel&amp;utm_content=act_formato_excel_link" xr:uid="{1DBCC6ED-E0CB-4BCB-8F77-97FC012E4F58}"/>
    <hyperlink ref="B4593" r:id="rId1466" display="https://actualicese.com/medicion-de-pasivos-financieros-a-costo-amortizado/?referer=L-excel-formato&amp;utm_medium=act_formato_excel&amp;utm_source=act_formato_excel&amp;utm_campaign=act_formato_excel&amp;utm_content=act_formato_excel_link" xr:uid="{0ECA9589-903D-42F4-8278-053D1FC287CB}"/>
    <hyperlink ref="B4595" r:id="rId1467" display="https://actualicese.com/notificacion-del-arrendatario-de-no-renovacion-del-contrato/?referer=L-excel-formato&amp;utm_medium=act_formato_excel&amp;utm_source=act_formato_excel&amp;utm_campaign=act_formato_excel&amp;utm_content=act_formato_excel_link" xr:uid="{2DA2CF1A-35BB-495F-BAF6-061C75039A57}"/>
    <hyperlink ref="B4597" r:id="rId1468" display="https://actualicese.com/formularios-110-y-140-declaracion-renta-y-cree-personas-juridicas-ano-gravable-2014-version-basica/?referer=L-excel-formato&amp;utm_medium=act_formato_excel&amp;utm_source=act_formato_excel&amp;utm_campaign=act_formato_excel&amp;utm_content=act_formato_excel_link" xr:uid="{DB3DAA60-3309-4600-8119-F18A207CF0DF}"/>
    <hyperlink ref="B4599" r:id="rId1469" display="https://actualicese.com/oro-formularios-110-y-140-con-anexos-y-formato-1732-para-personas-juridicas-ano-gravable-2014/?referer=L-excel-formato&amp;utm_medium=act_formato_excel&amp;utm_source=act_formato_excel&amp;utm_campaign=act_formato_excel&amp;utm_content=act_formato_excel_link" xr:uid="{42EDE540-CB4D-4272-A4F0-F487F559D236}"/>
    <hyperlink ref="B4601" r:id="rId1470" display="https://actualicese.com/formato-tabla-amortizacion-de-cdt/?referer=L-excel-formato&amp;utm_medium=act_formato_excel&amp;utm_source=act_formato_excel&amp;utm_campaign=act_formato_excel&amp;utm_content=act_formato_excel_link" xr:uid="{3CDC8DCA-A653-4E87-A77E-004F2D6638B3}"/>
    <hyperlink ref="B4603" r:id="rId1471" display="https://actualicese.com/contrato-contrato-de-fianza/?referer=L-excel-formato&amp;utm_medium=act_formato_excel&amp;utm_source=act_formato_excel&amp;utm_campaign=act_formato_excel&amp;utm_content=act_formato_excel_link" xr:uid="{2FBB8779-C7D4-4202-9162-7621F1FEEBED}"/>
    <hyperlink ref="B4605" r:id="rId1472" display="https://actualicese.com/contrato-de-confidencialidad/?referer=L-excel-formato&amp;utm_medium=act_formato_excel&amp;utm_source=act_formato_excel&amp;utm_campaign=act_formato_excel&amp;utm_content=act_formato_excel_link" xr:uid="{57A8E0D5-E301-406E-8CC7-7311BE13ED42}"/>
    <hyperlink ref="B4607" r:id="rId1473" display="https://actualicese.com/fideicomiso-civil/?referer=L-excel-formato&amp;utm_medium=act_formato_excel&amp;utm_source=act_formato_excel&amp;utm_campaign=act_formato_excel&amp;utm_content=act_formato_excel_link" xr:uid="{4D4A34B3-3269-4789-AB86-7FD477F28BA9}"/>
    <hyperlink ref="B4609" r:id="rId1474" display="https://actualicese.com/calendario-tributario-automatizado-para-el-2015/?referer=L-excel-formato&amp;utm_medium=act_formato_excel&amp;utm_source=act_formato_excel&amp;utm_campaign=act_formato_excel&amp;utm_content=act_formato_excel_link" xr:uid="{6BC91751-F0E1-4EB2-98CD-B42F2CA96A54}"/>
    <hyperlink ref="B4611" r:id="rId1475" display="https://actualicese.com/analisis-de-la-situacion-financiera-a-largo-plazo-3/?referer=L-excel-formato&amp;utm_medium=act_formato_excel&amp;utm_source=act_formato_excel&amp;utm_campaign=act_formato_excel&amp;utm_content=act_formato_excel_link" xr:uid="{9922DA96-46DF-4B9B-967F-9EBB8733A220}"/>
    <hyperlink ref="B4613" r:id="rId1476" display="https://actualicese.com/modelo-para-obligados-a-presentar-las-declaraciones-tributarias-de-forma-virtual/?referer=L-excel-formato&amp;utm_medium=act_formato_excel&amp;utm_source=act_formato_excel&amp;utm_campaign=act_formato_excel&amp;utm_content=act_formato_excel_link" xr:uid="{6E305B14-FAA8-4167-9CFC-521BF1DBF6D3}"/>
    <hyperlink ref="B4615" r:id="rId1477" display="https://actualicese.com/plantilla-para-elaborar-estado-de-situacion-financiera-de-apertura-para-reportar-a-supersociedades/?referer=L-excel-formato&amp;utm_medium=act_formato_excel&amp;utm_source=act_formato_excel&amp;utm_campaign=act_formato_excel&amp;utm_content=act_formato_excel_link" xr:uid="{008DBA5A-1983-445C-B32E-96A2E076467E}"/>
    <hyperlink ref="B4617" r:id="rId1478" display="https://actualicese.com/calculo-costo-renovacion-ano-2015-de-la-matricula-mercantil-y-de-los-establecimientos-de-comercio/?referer=L-excel-formato&amp;utm_medium=act_formato_excel&amp;utm_source=act_formato_excel&amp;utm_campaign=act_formato_excel&amp;utm_content=act_formato_excel_link" xr:uid="{1B643D7E-C557-4FD9-B4A9-8660C13E670C}"/>
    <hyperlink ref="B4619" r:id="rId1479" display="https://actualicese.com/persona-natural-no-obligada-a-llevar-contabilidad-para-acreditar-los-indicadores-de-capacidad-financiera-para-proponentes/?referer=L-excel-formato&amp;utm_medium=act_formato_excel&amp;utm_source=act_formato_excel&amp;utm_campaign=act_formato_excel&amp;utm_content=act_formato_excel_link" xr:uid="{2F7E1804-17EF-4CDF-A59B-BC2C274C37A1}"/>
    <hyperlink ref="B4621" r:id="rId1480" display="https://actualicese.com/preguntas-para-clasificacion-de-empresas-en-grupos-de-convergencia/?referer=L-excel-formato&amp;utm_medium=act_formato_excel&amp;utm_source=act_formato_excel&amp;utm_campaign=act_formato_excel&amp;utm_content=act_formato_excel_link" xr:uid="{99958C3F-5F9B-4BB2-96CF-72B7144C85C6}"/>
    <hyperlink ref="B4623" r:id="rId1481" display="https://actualicese.com/plantilla-para-elaborar-formulario-empresarial-por-el-ano-2014-a-supersociedades/?referer=L-excel-formato&amp;utm_medium=act_formato_excel&amp;utm_source=act_formato_excel&amp;utm_campaign=act_formato_excel&amp;utm_content=act_formato_excel_link" xr:uid="{03B94300-FD54-42B3-9B6D-2090034B2C7E}"/>
    <hyperlink ref="B4625" r:id="rId1482" display="https://actualicese.com/revision-autorretencion-del-cree/?referer=L-excel-formato&amp;utm_medium=act_formato_excel&amp;utm_source=act_formato_excel&amp;utm_campaign=act_formato_excel&amp;utm_content=act_formato_excel_link" xr:uid="{51C3CD21-6D17-4A6F-AD92-D4D1DBB484F6}"/>
    <hyperlink ref="B4627" r:id="rId1483" display="https://actualicese.com/modelo-de-certificacion-para-acreditar-el-pago-de-aportes-a-la-seguridad-social-y-aportes-parafiscales-de-proponentes/?referer=L-excel-formato&amp;utm_medium=act_formato_excel&amp;utm_source=act_formato_excel&amp;utm_campaign=act_formato_excel&amp;utm_content=act_formato_excel_link" xr:uid="{329CB51D-22BE-4DC2-BE21-8261E0D074D0}"/>
    <hyperlink ref="B4629" r:id="rId1484" display="https://actualicese.com/indice-del-marco-tecnico-normativo-de-las-normas-de-aseguramiento-de-la-informacion/?referer=L-excel-formato&amp;utm_medium=act_formato_excel&amp;utm_source=act_formato_excel&amp;utm_campaign=act_formato_excel&amp;utm_content=act_formato_excel_link" xr:uid="{C7F00F14-4A86-41B9-832F-FDA853BFDC1D}"/>
    <hyperlink ref="B4631" r:id="rId1485" display="https://actualicese.com/plan-de-implementacion-niif-para-empresas-del-grupo-2/?referer=L-excel-formato&amp;utm_medium=act_formato_excel&amp;utm_source=act_formato_excel&amp;utm_campaign=act_formato_excel&amp;utm_content=act_formato_excel_link" xr:uid="{A6CFE055-55D9-4FE8-857D-A3053FFCACB3}"/>
    <hyperlink ref="B4633" r:id="rId1486" display="https://actualicese.com/cumplimiento-oportuno-de-obligaciones-tributarias/?referer=L-excel-formato&amp;utm_medium=act_formato_excel&amp;utm_source=act_formato_excel&amp;utm_campaign=act_formato_excel&amp;utm_content=act_formato_excel_link" xr:uid="{A38D5216-FA9F-48BA-AAFF-1FBF980E2809}"/>
    <hyperlink ref="B4635" r:id="rId1487" display="https://actualicese.com/demanda-para-iniciar-proceso-ordinario-laboral/?referer=L-excel-formato&amp;utm_medium=act_formato_excel&amp;utm_source=act_formato_excel&amp;utm_campaign=act_formato_excel&amp;utm_content=act_formato_excel_link" xr:uid="{DE4C4477-F003-42CA-9470-B75336A7EBBD}"/>
    <hyperlink ref="B4637" r:id="rId1488" display="https://actualicese.com/cuestionario-de-auditoria-para-area-de-auditoria/?referer=L-excel-formato&amp;utm_medium=act_formato_excel&amp;utm_source=act_formato_excel&amp;utm_campaign=act_formato_excel&amp;utm_content=act_formato_excel_link" xr:uid="{635DADB4-F8CC-494B-9BAE-E92FE5722EC0}"/>
    <hyperlink ref="B4639" r:id="rId1489" display="https://actualicese.com/informe-de-gestion-ano-2014/?referer=L-excel-formato&amp;utm_medium=act_formato_excel&amp;utm_source=act_formato_excel&amp;utm_campaign=act_formato_excel&amp;utm_content=act_formato_excel_link" xr:uid="{DABFE985-1C6B-4228-B74B-6B18137ADD4C}"/>
    <hyperlink ref="B4641" r:id="rId1490" display="https://actualicese.com/documento-constitucion-comite-niif/?referer=L-excel-formato&amp;utm_medium=act_formato_excel&amp;utm_source=act_formato_excel&amp;utm_campaign=act_formato_excel&amp;utm_content=act_formato_excel_link" xr:uid="{E83D5961-CA8D-4A9B-9CBF-12F93D119DB9}"/>
    <hyperlink ref="B4643" r:id="rId1491" display="https://actualicese.com/informes-superintendencia-de-sociedades/?referer=L-excel-formato&amp;utm_medium=act_formato_excel&amp;utm_source=act_formato_excel&amp;utm_campaign=act_formato_excel&amp;utm_content=act_formato_excel_link" xr:uid="{3698996E-7A64-4275-90D0-6E4EBB25E74A}"/>
    <hyperlink ref="B4645" r:id="rId1492" display="https://actualicese.com/formulario-220-certificacion-pagos-y-retenciones-a-empleados-por-el-ano-gravable-2014/?referer=L-excel-formato&amp;utm_medium=act_formato_excel&amp;utm_source=act_formato_excel&amp;utm_campaign=act_formato_excel&amp;utm_content=act_formato_excel_link" xr:uid="{DD0F0B55-4A83-48FC-B21B-744E86B2223F}"/>
    <hyperlink ref="B4647" r:id="rId1493" display="https://actualicese.com/solicitud-de-transaccion-ante-juez-laboral/?referer=L-excel-formato&amp;utm_medium=act_formato_excel&amp;utm_source=act_formato_excel&amp;utm_campaign=act_formato_excel&amp;utm_content=act_formato_excel_link" xr:uid="{A5263760-D522-46E1-820C-0E6BFFFE788D}"/>
    <hyperlink ref="B4649" r:id="rId1494" display="https://actualicese.com/planeacion-obligaciones-tributarias-2015/?referer=L-excel-formato&amp;utm_medium=act_formato_excel&amp;utm_source=act_formato_excel&amp;utm_campaign=act_formato_excel&amp;utm_content=act_formato_excel_link" xr:uid="{0B52CB82-C81C-41EB-87ED-6DAF93201443}"/>
    <hyperlink ref="B4651" r:id="rId1495" display="https://actualicese.com/estructuracion-de-la-auditoria/?referer=L-excel-formato&amp;utm_medium=act_formato_excel&amp;utm_source=act_formato_excel&amp;utm_campaign=act_formato_excel&amp;utm_content=act_formato_excel_link" xr:uid="{A1C33715-CA64-4C6E-806F-CC00E4491274}"/>
    <hyperlink ref="B4653" r:id="rId1496" display="https://actualicese.com/politica-contable-de-presentacion-de-estados-financieros/?referer=L-excel-formato&amp;utm_medium=act_formato_excel&amp;utm_source=act_formato_excel&amp;utm_campaign=act_formato_excel&amp;utm_content=act_formato_excel_link" xr:uid="{261322E5-3BAC-41A9-9EB4-F77492686F03}"/>
    <hyperlink ref="B4655" r:id="rId1497" display="https://actualicese.com/conciliacion-entre-resultado-contable-y-resultados-fiscales-2014/?referer=L-excel-formato&amp;utm_medium=act_formato_excel&amp;utm_source=act_formato_excel&amp;utm_campaign=act_formato_excel&amp;utm_content=act_formato_excel_link" xr:uid="{C8390CBF-E548-4DFB-ABD5-33BD8370245B}"/>
    <hyperlink ref="B4657" r:id="rId1498" display="https://actualicese.com/anexo-declaracion-de-renta-o-balance/?referer=L-excel-formato&amp;utm_medium=act_formato_excel&amp;utm_source=act_formato_excel&amp;utm_campaign=act_formato_excel&amp;utm_content=act_formato_excel_link" xr:uid="{CCB4D3EE-58EE-4548-9199-5D338F9DB490}"/>
    <hyperlink ref="B4659" r:id="rId1499" display="https://actualicese.com/retencion-en-la-fuente-con-procedimiento-1-a-asalariados-y-demas-empleados-durante-el-2015/?referer=L-excel-formato&amp;utm_medium=act_formato_excel&amp;utm_source=act_formato_excel&amp;utm_campaign=act_formato_excel&amp;utm_content=act_formato_excel_link" xr:uid="{FFB8CC55-483B-450F-9365-FAAD8DC6EC15}"/>
    <hyperlink ref="B4661" r:id="rId1500" display="https://actualicese.com/encargo-fiduciario-con-destinacion-especifica/?referer=L-excel-formato&amp;utm_medium=act_formato_excel&amp;utm_source=act_formato_excel&amp;utm_campaign=act_formato_excel&amp;utm_content=act_formato_excel_link" xr:uid="{B6374E58-C979-49AA-8F38-06076A2A028D}"/>
    <hyperlink ref="B4663" r:id="rId1501" display="https://actualicese.com/concordancias-entre-las-niif-y-los-pcga/?referer=L-excel-formato&amp;utm_medium=act_formato_excel&amp;utm_source=act_formato_excel&amp;utm_campaign=act_formato_excel&amp;utm_content=act_formato_excel_link" xr:uid="{3978FACE-F2A0-4EB7-BB64-D8965F5D42F6}"/>
    <hyperlink ref="B4665" r:id="rId1502" display="https://actualicese.com/modelo-cesion-de-acciones/?referer=L-excel-formato&amp;utm_medium=act_formato_excel&amp;utm_source=act_formato_excel&amp;utm_campaign=act_formato_excel&amp;utm_content=act_formato_excel_link" xr:uid="{97A2917A-D188-4673-8F17-9D93B6013C26}"/>
    <hyperlink ref="B4667" r:id="rId1503" display="https://actualicese.com/factura-de-venta/?referer=L-excel-formato&amp;utm_medium=act_formato_excel&amp;utm_source=act_formato_excel&amp;utm_campaign=act_formato_excel&amp;utm_content=act_formato_excel_link" xr:uid="{9C6290A4-DA83-4308-B18F-9550EA9CA93D}"/>
    <hyperlink ref="B4669" r:id="rId1504" display="https://actualicese.com/modelo-de-dictamen-de-entidades-del-grupo-1/?referer=L-excel-formato&amp;utm_medium=act_formato_excel&amp;utm_source=act_formato_excel&amp;utm_campaign=act_formato_excel&amp;utm_content=act_formato_excel_link" xr:uid="{205009E2-572E-4358-A9DA-88BC184E376A}"/>
    <hyperlink ref="B4671" r:id="rId1505" display="https://actualicese.com/informacion-a-tener-en-cuenta-para-realizar-el-cierre-contable-2014/?referer=L-excel-formato&amp;utm_medium=act_formato_excel&amp;utm_source=act_formato_excel&amp;utm_campaign=act_formato_excel&amp;utm_content=act_formato_excel_link" xr:uid="{50E17206-1F71-4E37-BA32-39B2051BFFBC}"/>
    <hyperlink ref="B4673" r:id="rId1506" display="https://actualicese.com/parametros-claves-en-la-elaboracion-de-declaraciones-tributarias-durante-el-ano-2015/?referer=L-excel-formato&amp;utm_medium=act_formato_excel&amp;utm_source=act_formato_excel&amp;utm_campaign=act_formato_excel&amp;utm_content=act_formato_excel_link" xr:uid="{5AF7DED2-4034-4B01-AD8D-3ABEA0A10FFA}"/>
    <hyperlink ref="B4675" r:id="rId1507" display="https://actualicese.com/calendario-tributario-2015/?referer=L-excel-formato&amp;utm_medium=act_formato_excel&amp;utm_source=act_formato_excel&amp;utm_campaign=act_formato_excel&amp;utm_content=act_formato_excel_link" xr:uid="{8A01D45B-C1A9-46F9-8195-A9C84D859A5F}"/>
    <hyperlink ref="B4677" r:id="rId1508" display="https://actualicese.com/acta-carta-de-compromiso-de-auditoria/?referer=L-excel-formato&amp;utm_medium=act_formato_excel&amp;utm_source=act_formato_excel&amp;utm_campaign=act_formato_excel&amp;utm_content=act_formato_excel_link" xr:uid="{AC23E262-B745-4C17-A26B-62877ACF1F35}"/>
    <hyperlink ref="B4679" r:id="rId1509" display="https://actualicese.com/indicadores-basicos-2015/?referer=L-excel-formato&amp;utm_medium=act_formato_excel&amp;utm_source=act_formato_excel&amp;utm_campaign=act_formato_excel&amp;utm_content=act_formato_excel_link" xr:uid="{649725A9-4E90-4337-9CDD-8D461C92142E}"/>
    <hyperlink ref="B4681" r:id="rId1510" display="https://actualicese.com/informacion-laboral-a-tener-en-cuenta-a-partir-del-1-de-enero-de-2015/?referer=L-excel-formato&amp;utm_medium=act_formato_excel&amp;utm_source=act_formato_excel&amp;utm_campaign=act_formato_excel&amp;utm_content=act_formato_excel_link" xr:uid="{27DEA1DA-9980-476B-BBA0-8B418B28331A}"/>
    <hyperlink ref="B4683" r:id="rId1511" display="https://actualicese.com/guia-de-referencia-2015/?referer=L-excel-formato&amp;utm_medium=act_formato_excel&amp;utm_source=act_formato_excel&amp;utm_campaign=act_formato_excel&amp;utm_content=act_formato_excel_link" xr:uid="{31DD800C-4463-48C1-8C69-FDF8B32833E6}"/>
    <hyperlink ref="B4685" r:id="rId1512" display="https://actualicese.com/6-liquidadores-a-tener-en-cuenta-para-este-ano-2015/?referer=L-excel-formato&amp;utm_medium=act_formato_excel&amp;utm_source=act_formato_excel&amp;utm_campaign=act_formato_excel&amp;utm_content=act_formato_excel_link" xr:uid="{CBF49921-ECDA-4E22-8D17-CFF7FC2E7D93}"/>
    <hyperlink ref="B4687" r:id="rId1513" display="https://actualicese.com/retencion-en-la-fuente-a-titulo-de-los-impuestos-nacionales-durante-el-2015/?referer=L-excel-formato&amp;utm_medium=act_formato_excel&amp;utm_source=act_formato_excel&amp;utm_campaign=act_formato_excel&amp;utm_content=act_formato_excel_link" xr:uid="{069EF224-10DF-4DA7-A4B2-16239A2CB99F}"/>
    <hyperlink ref="B4689" r:id="rId1514" display="https://actualicese.com/cuadro-tematico-con-los-cambios-introducidos-por-la-reforma-tributaria-ley-1739-de-2014/?referer=L-excel-formato&amp;utm_medium=act_formato_excel&amp;utm_source=act_formato_excel&amp;utm_campaign=act_formato_excel&amp;utm_content=act_formato_excel_link" xr:uid="{46F667A5-043B-4C88-B1D9-597E8DB6758F}"/>
    <hyperlink ref="B4691" r:id="rId1515" display="https://actualicese.com/modelo-para-definir-porcentaje-fijo-retencion-sobre-salarios-en-diciembre-de-2014-procedimiento-2/?referer=L-excel-formato&amp;utm_medium=act_formato_excel&amp;utm_source=act_formato_excel&amp;utm_campaign=act_formato_excel&amp;utm_content=act_formato_excel_link" xr:uid="{91182773-4201-47BC-A847-FD8F2422982B}"/>
    <hyperlink ref="B4693" r:id="rId1516" display="https://actualicese.com/plantilla-para-clasificar-una-entidad-en-un-grupo-de-aplicacion-de-las-niif-en-colombia/?referer=L-excel-formato&amp;utm_medium=act_formato_excel&amp;utm_source=act_formato_excel&amp;utm_campaign=act_formato_excel&amp;utm_content=act_formato_excel_link" xr:uid="{C369014E-A555-4FE4-9A11-8258E6F3642E}"/>
    <hyperlink ref="B4695" r:id="rId1517" display="https://actualicese.com/estructura-del-contenido-de-la-resolucion-dian-000220-de-oct-31-de-2014/?referer=L-excel-formato&amp;utm_medium=act_formato_excel&amp;utm_source=act_formato_excel&amp;utm_campaign=act_formato_excel&amp;utm_content=act_formato_excel_link" xr:uid="{2F052CB9-FA77-4441-8E2A-E89168660B22}"/>
    <hyperlink ref="B4697" r:id="rId1518" display="https://actualicese.com/liquidador-contrato-de-trabajo-a-termino-fijo-hector-fernando-munoz-e/?referer=L-excel-formato&amp;utm_medium=act_formato_excel&amp;utm_source=act_formato_excel&amp;utm_campaign=act_formato_excel&amp;utm_content=act_formato_excel_link" xr:uid="{397605A0-5BD1-4B99-B703-7ED3AE7CDF89}"/>
    <hyperlink ref="B4699" r:id="rId1519" display="https://actualicese.com/manejo-del-iva-y-retencion-por-renta-de-las-empresas-que-manejan-a-i-u/?referer=L-excel-formato&amp;utm_medium=act_formato_excel&amp;utm_source=act_formato_excel&amp;utm_campaign=act_formato_excel&amp;utm_content=act_formato_excel_link" xr:uid="{AF49E598-2D6C-449A-A063-07C6E592DB11}"/>
    <hyperlink ref="B4701" r:id="rId1520" display="https://actualicese.com/casos-de-aplicacion-de-a-i-u/?referer=L-excel-formato&amp;utm_medium=act_formato_excel&amp;utm_source=act_formato_excel&amp;utm_campaign=act_formato_excel&amp;utm_content=act_formato_excel_link" xr:uid="{54336774-0D62-4037-BB76-C780E50A50D0}"/>
    <hyperlink ref="B4703" r:id="rId1521" display="https://actualicese.com/guia-codigos-de-responsabilidades-tributarias-que-le-pueden-figurar-a-un-contribuyente-en-su-rut/?referer=L-excel-formato&amp;utm_medium=act_formato_excel&amp;utm_source=act_formato_excel&amp;utm_campaign=act_formato_excel&amp;utm_content=act_formato_excel_link" xr:uid="{9445F333-62F1-4F56-9CDE-A6B17D30E3DA}"/>
    <hyperlink ref="B4705" r:id="rId1522" display="https://actualicese.com/modelo-para-certificacion-de-experiencia-tecnico-contable-en-tramite-de-solicitud-tarjeta-profesional/?referer=L-excel-formato&amp;utm_medium=act_formato_excel&amp;utm_source=act_formato_excel&amp;utm_campaign=act_formato_excel&amp;utm_content=act_formato_excel_link" xr:uid="{4703BCCC-21CA-4E44-A37C-748800B9B29D}"/>
    <hyperlink ref="B4707" r:id="rId1523" display="https://actualicese.com/modelo-certificacion-de-contador-para-solicitar-autorizacion-reduccion-retencion-de-iva/?referer=L-excel-formato&amp;utm_medium=act_formato_excel&amp;utm_source=act_formato_excel&amp;utm_campaign=act_formato_excel&amp;utm_content=act_formato_excel_link" xr:uid="{8D86B824-0F3F-43CB-8324-4FCF2727E86B}"/>
    <hyperlink ref="B4709" r:id="rId1524" display="https://actualicese.com/acuerdo-confidencialidad-para-miembros-del-comite-de-convivencia/?referer=L-excel-formato&amp;utm_medium=act_formato_excel&amp;utm_source=act_formato_excel&amp;utm_campaign=act_formato_excel&amp;utm_content=act_formato_excel_link" xr:uid="{4C2487F7-8EA1-4829-8160-A3D738C2E4AB}"/>
    <hyperlink ref="B4711" r:id="rId1525" display="https://actualicese.com/guia-cronograma-para-aplicacion-de-estandares-niif/?referer=L-excel-formato&amp;utm_medium=act_formato_excel&amp;utm_source=act_formato_excel&amp;utm_campaign=act_formato_excel&amp;utm_content=act_formato_excel_link" xr:uid="{58167B4F-B64F-4F0A-9170-C506188AAAA5}"/>
    <hyperlink ref="B4713" r:id="rId1526" display="https://actualicese.com/liquidador-formulario-210-para-declaracion-de-renta-2013-de-personas-naturales-version-basica/?referer=L-excel-formato&amp;utm_medium=act_formato_excel&amp;utm_source=act_formato_excel&amp;utm_campaign=act_formato_excel&amp;utm_content=act_formato_excel_link" xr:uid="{633C8C95-15DF-440D-ACB9-E67C64C17691}"/>
    <hyperlink ref="B4715" r:id="rId1527" display="https://actualicese.com/oro-diligenciamiento-de-formularios-210-y-240-con-anexos-para-la-declaracion-de-renta-2013-de-una-persona-natural-no-obligada-a-llevar-contabilidad/?referer=L-excel-formato&amp;utm_medium=act_formato_excel&amp;utm_source=act_formato_excel&amp;utm_campaign=act_formato_excel&amp;utm_content=act_formato_excel_link" xr:uid="{040E0A3B-ABB2-4914-8A69-77896022B121}"/>
    <hyperlink ref="B4717" r:id="rId1528" display="https://actualicese.com/modelo-certificacion-de-contador-para-actualizar-el-rut-por-cese-de-actividades-gravadas-con-iva/?referer=L-excel-formato&amp;utm_medium=act_formato_excel&amp;utm_source=act_formato_excel&amp;utm_campaign=act_formato_excel&amp;utm_content=act_formato_excel_link" xr:uid="{AE61CC8A-D1D4-4587-B26A-CA39C7DE824E}"/>
    <hyperlink ref="B4719" r:id="rId1529" display="https://actualicese.com/liquidador-calculo-de-intereses-presuntivos-sobre-prestamos-entre-sociedades-y-socios-durante-2014/?referer=L-excel-formato&amp;utm_medium=act_formato_excel&amp;utm_source=act_formato_excel&amp;utm_campaign=act_formato_excel&amp;utm_content=act_formato_excel_link" xr:uid="{68DF54F8-239C-4473-84E3-6B8CCA6FBEB9}"/>
    <hyperlink ref="B4721" r:id="rId1530" display="https://actualicese.com/modelo-para-definir-porcentaje-fijo-de-retencion-en-la-fuente-sobre-salarios-en-junio-de-2014-procedimiento-2/?referer=L-excel-formato&amp;utm_medium=act_formato_excel&amp;utm_source=act_formato_excel&amp;utm_campaign=act_formato_excel&amp;utm_content=act_formato_excel_link" xr:uid="{EC3D358A-5FDB-466D-869A-2475E7575478}"/>
    <hyperlink ref="B4723" r:id="rId1531" display="https://actualicese.com/plantilla-para-elaborar-el-esfa-individual-a-enero-1-de-2014-en-entidades-del-grupo-1/?referer=L-excel-formato&amp;utm_medium=act_formato_excel&amp;utm_source=act_formato_excel&amp;utm_campaign=act_formato_excel&amp;utm_content=act_formato_excel_link" xr:uid="{FB613B3C-5531-42D9-BE4F-BF86983A9E62}"/>
    <hyperlink ref="B4725" r:id="rId1532" display="https://actualicese.com/modelo-para-proyectar-efectos-del-imas-en-la-declaracion-de-renta-de-los-trabajadores-por-cuenta-propia/?referer=L-excel-formato&amp;utm_medium=act_formato_excel&amp;utm_source=act_formato_excel&amp;utm_campaign=act_formato_excel&amp;utm_content=act_formato_excel_link" xr:uid="{E7B5493A-B414-4A4B-B9AA-C9EC91305663}"/>
    <hyperlink ref="B4727" r:id="rId1533" display="https://actualicese.com/modelo-para-proyectar-efectos-del-iman-y-el-imas-en-el-impuesto-de-renta-de-los-empleados/?referer=L-excel-formato&amp;utm_medium=act_formato_excel&amp;utm_source=act_formato_excel&amp;utm_campaign=act_formato_excel&amp;utm_content=act_formato_excel_link" xr:uid="{3C39440E-73D0-4420-8571-99F9D34184A9}"/>
    <hyperlink ref="B4729" r:id="rId1534" display="https://actualicese.com/plantilla-para-calculo-automatico-impuesto-imas-de-trabajadores-por-cuenta-propia/?referer=L-excel-formato&amp;utm_medium=act_formato_excel&amp;utm_source=act_formato_excel&amp;utm_campaign=act_formato_excel&amp;utm_content=act_formato_excel_link" xr:uid="{FE180599-BE88-40D9-9C35-18D228FC3397}"/>
    <hyperlink ref="B4731" r:id="rId1535" display="https://actualicese.com/oro-diligenciamiento-de-formularios-110-y-240-con-anexos-y-formato-1732-para-la-declaracion-de-renta-de-una-persona-natural-comerciante-ano-gravable-2013/?referer=L-excel-formato&amp;utm_medium=act_formato_excel&amp;utm_source=act_formato_excel&amp;utm_campaign=act_formato_excel&amp;utm_content=act_formato_excel_link" xr:uid="{B668D436-D1AD-4B0D-8EF7-6F767D876CD6}"/>
    <hyperlink ref="B4733" r:id="rId1536" display="https://actualicese.com/formulario-110-adaptado-a-declaracion-2013-de-personas-naturales-version-basica/?referer=L-excel-formato&amp;utm_medium=act_formato_excel&amp;utm_source=act_formato_excel&amp;utm_campaign=act_formato_excel&amp;utm_content=act_formato_excel_link" xr:uid="{D8E3E2AD-2E37-4F0E-98DE-8906F9294A65}"/>
    <hyperlink ref="B4735" r:id="rId1537" display="https://actualicese.com/clasificacion-de-las-personas-naturales-frente-al-impuesto-de-renta-luego-de-la-ley-1607/?referer=L-excel-formato&amp;utm_medium=act_formato_excel&amp;utm_source=act_formato_excel&amp;utm_campaign=act_formato_excel&amp;utm_content=act_formato_excel_link" xr:uid="{E98E7248-6692-433C-A97F-785EE63FFFF7}"/>
    <hyperlink ref="B4737" r:id="rId1538" display="https://actualicese.com/modelo-basico-con-la-estructura-del-nuevo-formato-1001-para-el-reporte-de-exogena-tributaria-2013/?referer=L-excel-formato&amp;utm_medium=act_formato_excel&amp;utm_source=act_formato_excel&amp;utm_campaign=act_formato_excel&amp;utm_content=act_formato_excel_link" xr:uid="{D41AEBA4-19B0-4567-A974-2119E0CBEE89}"/>
    <hyperlink ref="B4739" r:id="rId1539" display="https://actualicese.com/plantilla-para-elaborar-informe-de-practicas-empresariales-por-el-2013/?referer=L-excel-formato&amp;utm_medium=act_formato_excel&amp;utm_source=act_formato_excel&amp;utm_campaign=act_formato_excel&amp;utm_content=act_formato_excel_link" xr:uid="{4CBD5D07-5935-4593-9493-5729767FBC32}"/>
    <hyperlink ref="B4741" r:id="rId1540" display="https://actualicese.com/modelo-del-certificado-anual-a-socios-yo-accionistas-por-el-ano-2013/?referer=L-excel-formato&amp;utm_medium=act_formato_excel&amp;utm_source=act_formato_excel&amp;utm_campaign=act_formato_excel&amp;utm_content=act_formato_excel_link" xr:uid="{1ADDBA10-EEEB-4881-B6F6-623449CF99CA}"/>
    <hyperlink ref="B4743" r:id="rId1541" display="https://actualicese.com/oro-reportes-de-informacion-exogena-tributaria-a-la-dian-ano-gravable-2013/?referer=L-excel-formato&amp;utm_medium=act_formato_excel&amp;utm_source=act_formato_excel&amp;utm_campaign=act_formato_excel&amp;utm_content=act_formato_excel_link" xr:uid="{5574FA53-E659-4887-8265-21EEAB177A6F}"/>
    <hyperlink ref="B4745" r:id="rId1542" display="https://actualicese.com/clasificacion-general-de-personas-juridicas-en-relacion-con-el-impuesto-de-renta-y-complementarios-y-del-cree-por-el-ano-gravable-2013/?referer=L-excel-formato&amp;utm_medium=act_formato_excel&amp;utm_source=act_formato_excel&amp;utm_campaign=act_formato_excel&amp;utm_content=act_formato_excel_link" xr:uid="{7C94F074-5C8F-4FFF-B661-E1FAAAE9021C}"/>
    <hyperlink ref="B4747" r:id="rId1543" display="https://actualicese.com/calculo-costo-renovacion-ano-2014-de-la-matricula-mercantil-y-los-establecimientos-de-comercio/?referer=L-excel-formato&amp;utm_medium=act_formato_excel&amp;utm_source=act_formato_excel&amp;utm_campaign=act_formato_excel&amp;utm_content=act_formato_excel_link" xr:uid="{92005AAC-D6CE-4AC0-A33E-E4B80DA06B4C}"/>
    <hyperlink ref="B4749" r:id="rId1544" display="https://actualicese.com/plantilla-basica-formulario-110-y-140-declaracion-renta-y-cree-de-personas-juridicas-ano-gravable-2013/?referer=L-excel-formato&amp;utm_medium=act_formato_excel&amp;utm_source=act_formato_excel&amp;utm_campaign=act_formato_excel&amp;utm_content=act_formato_excel_link" xr:uid="{68E0DDF1-B063-4869-B3F5-FA4AF572B816}"/>
    <hyperlink ref="B4751" r:id="rId1545" display="https://actualicese.com/resumen-de-las-categorias-de-informantes-de-exogena-por-el-ano-gravable-2013-y-los-formatos-que-deben-usar/?referer=L-excel-formato&amp;utm_medium=act_formato_excel&amp;utm_source=act_formato_excel&amp;utm_campaign=act_formato_excel&amp;utm_content=act_formato_excel_link" xr:uid="{84845D1B-DB98-4314-8F37-07B8CFC46D39}"/>
    <hyperlink ref="B4753" r:id="rId1546" display="https://actualicese.com/certificado-anual-exigido-a-los-contratistas-que-cobren-rentas-de-trabajo-y-depuracion-de-la-base-para-efectos-de-retencion-en-la-fuente/?referer=L-excel-formato&amp;utm_medium=act_formato_excel&amp;utm_source=act_formato_excel&amp;utm_campaign=act_formato_excel&amp;utm_content=act_formato_excel_link" xr:uid="{A2755247-8290-4638-B929-0CFCA14E2BC2}"/>
    <hyperlink ref="B4755" r:id="rId1547" display="https://actualicese.com/oro-formularios-110-y-140-con-anexos-y-formato-1732-ano-gravable-2013/?referer=L-excel-formato&amp;utm_medium=act_formato_excel&amp;utm_source=act_formato_excel&amp;utm_campaign=act_formato_excel&amp;utm_content=act_formato_excel_link" xr:uid="{DE922D94-6F83-454C-A4C5-F98A01F35654}"/>
    <hyperlink ref="B4757" r:id="rId1548" display="https://actualicese.com/depuracion-impuesto-renta-ano-gravable-2013-para-las-copropiedades-comerciales-y-mixtas/?referer=L-excel-formato&amp;utm_medium=act_formato_excel&amp;utm_source=act_formato_excel&amp;utm_campaign=act_formato_excel&amp;utm_content=act_formato_excel_link" xr:uid="{610901CE-6696-4C4A-90FF-798533EF1AC3}"/>
    <hyperlink ref="B4759" r:id="rId1549" display="https://actualicese.com/cierre-contable-2013-lista-de-chequeo-para-verificacion-de-informacion/?referer=L-excel-formato&amp;utm_medium=act_formato_excel&amp;utm_source=act_formato_excel&amp;utm_campaign=act_formato_excel&amp;utm_content=act_formato_excel_link" xr:uid="{2EE12756-18D4-4314-BC98-A135F31BC19B}"/>
    <hyperlink ref="B4761" r:id="rId1550" display="https://actualicese.com/historico-de-tarifas-de-honorarios-profesionales-y-contrato-laboral-para-contadores-publicos/?referer=L-excel-formato&amp;utm_medium=act_formato_excel&amp;utm_source=act_formato_excel&amp;utm_campaign=act_formato_excel&amp;utm_content=act_formato_excel_link" xr:uid="{0D9AF009-0C14-42B8-8CBD-FB2737055847}"/>
    <hyperlink ref="B4763" r:id="rId1551" display="https://actualicese.com/solicitudes-de-devolucion-yo-compensacion-por-saldos-a-favor-generados-en-declaraciones-de-renta-y-ventas/?referer=L-excel-formato&amp;utm_medium=act_formato_excel&amp;utm_source=act_formato_excel&amp;utm_campaign=act_formato_excel&amp;utm_content=act_formato_excel_link" xr:uid="{73E03776-9A8C-49F1-8364-E89B0527F35B}"/>
    <hyperlink ref="B4765" r:id="rId1552" display="https://actualicese.com/formulario-220-certificacion-pagos-y-retenciones-a-empleados-por-el-ano-gravable-2013/?referer=L-excel-formato&amp;utm_medium=act_formato_excel&amp;utm_source=act_formato_excel&amp;utm_campaign=act_formato_excel&amp;utm_content=act_formato_excel_link" xr:uid="{41B3B7BF-653E-43C8-86BD-4D04E767B20D}"/>
    <hyperlink ref="B4767" r:id="rId1553" display="https://actualicese.com/conciliacion-entre-la-renta-contable-y-la-renta-fiscal/?referer=L-excel-formato&amp;utm_medium=act_formato_excel&amp;utm_source=act_formato_excel&amp;utm_campaign=act_formato_excel&amp;utm_content=act_formato_excel_link" xr:uid="{AF547F5E-4815-4FD6-A929-2725C645C410}"/>
    <hyperlink ref="B4769" r:id="rId1554" display="https://actualicese.com/retencion-en-la-fuente-con-procedimiento-1-a-asalariados-y-demas-empleados-durante-el-2014/?referer=L-excel-formato&amp;utm_medium=act_formato_excel&amp;utm_source=act_formato_excel&amp;utm_campaign=act_formato_excel&amp;utm_content=act_formato_excel_link" xr:uid="{9A14CE90-4FC7-4A02-AAEA-D12F55A5B603}"/>
    <hyperlink ref="B4771" r:id="rId1555" display="https://actualicese.com/calendario-tributario-automatizado-para-el-2014/?referer=L-excel-formato&amp;utm_medium=act_formato_excel&amp;utm_source=act_formato_excel&amp;utm_campaign=act_formato_excel&amp;utm_content=act_formato_excel_link" xr:uid="{1CB30EDC-2D71-4D72-9FBC-9566369889C6}"/>
    <hyperlink ref="B4773" r:id="rId1556" display="https://actualicese.com/requisitos-para-pertenecer-al-regimen-simplificado-en-el-2014/?referer=L-excel-formato&amp;utm_medium=act_formato_excel&amp;utm_source=act_formato_excel&amp;utm_campaign=act_formato_excel&amp;utm_content=act_formato_excel_link" xr:uid="{4045CEFB-199E-4A71-8F01-9234297B0DA4}"/>
    <hyperlink ref="B4775" r:id="rId1557" display="https://actualicese.com/cambios-a-los-textos-de-los-decretos-2706-y-2784-de-2012-efectuados-con-decretos-3019-y-3024-de-2013/?referer=L-excel-formato&amp;utm_medium=act_formato_excel&amp;utm_source=act_formato_excel&amp;utm_campaign=act_formato_excel&amp;utm_content=act_formato_excel_link" xr:uid="{D692EC44-F93B-4CFF-94FE-1A10B7B39F43}"/>
    <hyperlink ref="B4777" r:id="rId1558" display="https://actualicese.com/retencion-en-la-fuente-a-titulo-de-los-impuestos-nacionales-ano-fiscal-2014/?referer=L-excel-formato&amp;utm_medium=act_formato_excel&amp;utm_source=act_formato_excel&amp;utm_campaign=act_formato_excel&amp;utm_content=act_formato_excel_link" xr:uid="{9AB507DC-B720-40A4-B910-64D4048C3D27}"/>
    <hyperlink ref="B4779" r:id="rId1559" display="https://actualicese.com/calendario-tributario-2014/?referer=L-excel-formato&amp;utm_medium=act_formato_excel&amp;utm_source=act_formato_excel&amp;utm_campaign=act_formato_excel&amp;utm_content=act_formato_excel_link" xr:uid="{E0D9310E-2562-4C43-8967-877001D118A6}"/>
    <hyperlink ref="B4781" r:id="rId1560" display="https://actualicese.com/informacion-laboral-a-tener-en-cuenta-a-partir-del-1-de-enero-de-2014/?referer=L-excel-formato&amp;utm_medium=act_formato_excel&amp;utm_source=act_formato_excel&amp;utm_campaign=act_formato_excel&amp;utm_content=act_formato_excel_link" xr:uid="{1624172F-E2C7-4180-86B8-6D8008FD9FB8}"/>
    <hyperlink ref="B4783" r:id="rId1561" display="https://actualicese.com/formato-unico-nacional-de-autorizacion-de-trabajo-para-ninos-ninas-o-adolescentes-nna/?referer=L-excel-formato&amp;utm_medium=act_formato_excel&amp;utm_source=act_formato_excel&amp;utm_campaign=act_formato_excel&amp;utm_content=act_formato_excel_link" xr:uid="{A89BD4E0-837F-4CBC-AE33-5A56BA035B8B}"/>
    <hyperlink ref="B4785" r:id="rId1562" display="https://actualicese.com/modelo-para-estimar-reduccion-de-aportes-parafiscales-y-eps-segun-la-ley-1607/?referer=L-excel-formato&amp;utm_medium=act_formato_excel&amp;utm_source=act_formato_excel&amp;utm_campaign=act_formato_excel&amp;utm_content=act_formato_excel_link" xr:uid="{90E36093-6F94-4DD7-AAC9-D81B6BD31A23}"/>
    <hyperlink ref="B4787" r:id="rId1563" display="https://actualicese.com/abc-de-la-afiliacion-a-riesgos-laborales-de-independientes-decreto-723-de-2013/?referer=L-excel-formato&amp;utm_medium=act_formato_excel&amp;utm_source=act_formato_excel&amp;utm_campaign=act_formato_excel&amp;utm_content=act_formato_excel_link" xr:uid="{5424ED3C-98D3-44AE-91A4-4A331F5E1177}"/>
    <hyperlink ref="B4789" r:id="rId1564" display="https://actualicese.com/calculo-del-punto-de-equilibrio-y-simulacion-de-utilidad-deseada-ower-cassetta/?referer=L-excel-formato&amp;utm_medium=act_formato_excel&amp;utm_source=act_formato_excel&amp;utm_campaign=act_formato_excel&amp;utm_content=act_formato_excel_link" xr:uid="{EEDBF97B-5972-4401-B307-46D8B1630D4B}"/>
    <hyperlink ref="B4791" r:id="rId1565" display="https://actualicese.com/reclamacion-directa-propuesto-por-la-sic/?referer=L-excel-formato&amp;utm_medium=act_formato_excel&amp;utm_source=act_formato_excel&amp;utm_campaign=act_formato_excel&amp;utm_content=act_formato_excel_link" xr:uid="{BE20B435-1084-47F1-95A7-64E5BE8345ED}"/>
    <hyperlink ref="B4793" r:id="rId1566" display="https://actualicese.com/circularizacion-bancaria-de-informacion-financiera/?referer=L-excel-formato&amp;utm_medium=act_formato_excel&amp;utm_source=act_formato_excel&amp;utm_campaign=act_formato_excel&amp;utm_content=act_formato_excel_link" xr:uid="{EC4ED740-3D22-4671-870B-6863FFE9EB44}"/>
    <hyperlink ref="B4795" r:id="rId1567" display="https://actualicese.com/circular-a-contratistas-por-pago-de-seguridad-social/?referer=L-excel-formato&amp;utm_medium=act_formato_excel&amp;utm_source=act_formato_excel&amp;utm_campaign=act_formato_excel&amp;utm_content=act_formato_excel_link" xr:uid="{ADA65E33-39CA-4582-B8FF-511181AF59CF}"/>
    <hyperlink ref="B4797" r:id="rId1568" display="https://actualicese.com/descuento-en-salario-de-libranza/?referer=L-excel-formato&amp;utm_medium=act_formato_excel&amp;utm_source=act_formato_excel&amp;utm_campaign=act_formato_excel&amp;utm_content=act_formato_excel_link" xr:uid="{2090947F-F515-4E9D-9713-181EFB37ECC6}"/>
    <hyperlink ref="B4799" r:id="rId1569" display="https://actualicese.com/pagare-y-carta-de-instruccion/?referer=L-excel-formato&amp;utm_medium=act_formato_excel&amp;utm_source=act_formato_excel&amp;utm_campaign=act_formato_excel&amp;utm_content=act_formato_excel_link" xr:uid="{458D7DFF-596E-4FC0-8E89-296F67046F5A}"/>
    <hyperlink ref="B4801" r:id="rId1570" display="https://actualicese.com/glosario-basico-para-aplicacion-de-estandares-internacionales-de-informacion-financiera/?referer=L-excel-formato&amp;utm_medium=act_formato_excel&amp;utm_source=act_formato_excel&amp;utm_campaign=act_formato_excel&amp;utm_content=act_formato_excel_link" xr:uid="{6EA615A5-15BF-4F5E-9AD3-166031C153B6}"/>
    <hyperlink ref="B4803" r:id="rId1571" display="https://actualicese.com/estado-de-su-empresa-frente-a-la-convergencia-hacia-las-niif/?referer=L-excel-formato&amp;utm_medium=act_formato_excel&amp;utm_source=act_formato_excel&amp;utm_campaign=act_formato_excel&amp;utm_content=act_formato_excel_link" xr:uid="{BA05A4A3-FEB9-4C5B-AB52-42E8725BA0CE}"/>
    <hyperlink ref="B4805" r:id="rId1572" display="https://actualicese.com/comunicado-para-notificar-en-la-dian-la-delegacion-de-la-responsabilidad-para-firmar-las-declaraciones/?referer=L-excel-formato&amp;utm_medium=act_formato_excel&amp;utm_source=act_formato_excel&amp;utm_campaign=act_formato_excel&amp;utm_content=act_formato_excel_link" xr:uid="{8BE373D0-C7CA-4F39-B278-6C8A171B10C1}"/>
    <hyperlink ref="B4807" r:id="rId1573" display="https://actualicese.com/calculo-valores-por-salud-y-pensiones-que-al-independiente-se-le-restarian-en-el-proceso-de-retencion/?referer=L-excel-formato&amp;utm_medium=act_formato_excel&amp;utm_source=act_formato_excel&amp;utm_campaign=act_formato_excel&amp;utm_content=act_formato_excel_link" xr:uid="{7FA219A2-0B4E-4062-BE68-A053F4B53023}"/>
    <hyperlink ref="B4809" r:id="rId1574" display="https://actualicese.com/convertir-tasa-efectiva-a-nominal-jhony-jose-duran/?referer=L-excel-formato&amp;utm_medium=act_formato_excel&amp;utm_source=act_formato_excel&amp;utm_campaign=act_formato_excel&amp;utm_content=act_formato_excel_link" xr:uid="{3060F77A-7691-4C02-B18B-1AB22167AA58}"/>
    <hyperlink ref="B4811" r:id="rId1575" display="https://actualicese.com/las-preguntas-mas-frecuentes-sobre-la-contratacion-del-trabajo-domestico/?referer=L-excel-formato&amp;utm_medium=act_formato_excel&amp;utm_source=act_formato_excel&amp;utm_campaign=act_formato_excel&amp;utm_content=act_formato_excel_link" xr:uid="{76EDB300-29BD-44EB-B7C1-4705ADAEF43B}"/>
    <hyperlink ref="B4813" r:id="rId1576" display="https://actualicese.com/contrato-de-exw-ex-works/?referer=L-excel-formato&amp;utm_medium=act_formato_excel&amp;utm_source=act_formato_excel&amp;utm_campaign=act_formato_excel&amp;utm_content=act_formato_excel_link" xr:uid="{0CC4AF50-1D9A-40FC-8855-2E45E8CE19FC}"/>
    <hyperlink ref="B4815" r:id="rId1577" display="https://actualicese.com/certificado-donaciones/?referer=L-excel-formato&amp;utm_medium=act_formato_excel&amp;utm_source=act_formato_excel&amp;utm_campaign=act_formato_excel&amp;utm_content=act_formato_excel_link" xr:uid="{F0CF53B3-0AC8-455D-9A9A-C5A45A6EFDFF}"/>
    <hyperlink ref="B4817" r:id="rId1578" display="https://actualicese.com/cuadro-sinoptico-sobre-quienes-deben-actuar-como-agentes-de-retencion-de-iva-y-con-que-tarifas/?referer=L-excel-formato&amp;utm_medium=act_formato_excel&amp;utm_source=act_formato_excel&amp;utm_campaign=act_formato_excel&amp;utm_content=act_formato_excel_link" xr:uid="{3631F974-6051-4E53-9A84-1430681C8FEC}"/>
    <hyperlink ref="B4819" r:id="rId1579" display="https://actualicese.com/diferencias-entre-contribuyentes-y-no-contribuyentes-del-impuesto-de-renta-y-complementario/?referer=L-excel-formato&amp;utm_medium=act_formato_excel&amp;utm_source=act_formato_excel&amp;utm_campaign=act_formato_excel&amp;utm_content=act_formato_excel_link" xr:uid="{121F01FF-8C3D-4C37-B890-E7D46FE4C714}"/>
    <hyperlink ref="B4821" r:id="rId1580" display="https://actualicese.com/modelo-para-calculo-de-retencion-en-la-fuente-a-independientes-con-tabla-de-la-ley-1527-de-2012/?referer=L-excel-formato&amp;utm_medium=act_formato_excel&amp;utm_source=act_formato_excel&amp;utm_campaign=act_formato_excel&amp;utm_content=act_formato_excel_link" xr:uid="{24E5EFDD-8CEF-46B1-BE85-ABAF09FB0EB7}"/>
    <hyperlink ref="B4823" r:id="rId1581" display="https://actualicese.com/guia-consejos-practicos-sobre-el-nuevo-estatuto-del-consumidor-superindustria-y-comercio/?referer=L-excel-formato&amp;utm_medium=act_formato_excel&amp;utm_source=act_formato_excel&amp;utm_campaign=act_formato_excel&amp;utm_content=act_formato_excel_link" xr:uid="{579A42E7-3ACE-4438-AC5F-CF4F7EFDD730}"/>
    <hyperlink ref="B4825" r:id="rId1582" display="https://actualicese.com/guia-cartilla-convergencia-hacia-las-normas-internacionales-de-informacion-financiera-y-aseguramiento-de-la-informacion-niif-mincomercio/?referer=L-excel-formato&amp;utm_medium=act_formato_excel&amp;utm_source=act_formato_excel&amp;utm_campaign=act_formato_excel&amp;utm_content=act_formato_excel_link" xr:uid="{D57C6CFB-3196-4816-B457-ADAAC6301F75}"/>
    <hyperlink ref="B4827" r:id="rId1583" display="https://actualicese.com/autorizacion-para-que-un-tercero-solicite-en-la-dian-los-mecanismos-de-firma-digital/?referer=L-excel-formato&amp;utm_medium=act_formato_excel&amp;utm_source=act_formato_excel&amp;utm_campaign=act_formato_excel&amp;utm_content=act_formato_excel_link" xr:uid="{414FFA60-C247-4EE8-8DA9-FF320E36D61F}"/>
    <hyperlink ref="B4829" r:id="rId1584" display="https://actualicese.com/indicadores-basicos-a-tener-en-cuenta-al-finalizar-2011-e-iniciar-el-2012/?referer=L-excel-formato&amp;utm_medium=act_formato_excel&amp;utm_source=act_formato_excel&amp;utm_campaign=act_formato_excel&amp;utm_content=act_formato_excel_link" xr:uid="{9DAE25B9-A65C-4358-938B-5D3DC18E3FA0}"/>
    <hyperlink ref="B4831" r:id="rId1585" display="https://actualicese.com/modelo-de-anexo-a-nota-contable-para-actualizacion-de-valorizaciones-o-provisiones-sobre-activos-fijos-al-cierre-del-ano/?referer=L-excel-formato&amp;utm_medium=act_formato_excel&amp;utm_source=act_formato_excel&amp;utm_campaign=act_formato_excel&amp;utm_content=act_formato_excel_link" xr:uid="{728FB7B8-A56D-40EA-AC8C-D71F0E354A72}"/>
    <hyperlink ref="B4833" r:id="rId1586" display="https://actualicese.com/acta-de-constitucion-y-estatutos-de-entidad-sin-animo-de-lucro-fundacion-corporacion-asociacion/?referer=L-excel-formato&amp;utm_medium=act_formato_excel&amp;utm_source=act_formato_excel&amp;utm_campaign=act_formato_excel&amp;utm_content=act_formato_excel_link" xr:uid="{A06395DC-CD88-46B2-8C95-4625977F63B7}"/>
    <hyperlink ref="B4835" r:id="rId1587" display="https://actualicese.com/modelo-informe-en-propiedad-horizontal-con-salvedad/?referer=L-excel-formato&amp;utm_medium=act_formato_excel&amp;utm_source=act_formato_excel&amp;utm_campaign=act_formato_excel&amp;utm_content=act_formato_excel_link" xr:uid="{09BB7A63-7605-4076-8C42-40D118E88EC2}"/>
    <hyperlink ref="B4837" r:id="rId1588" display="https://actualicese.com/modelo-para-definir-limite-de-pagos-no-salariales-y-su-aporte-a-seguridad-social/?referer=L-excel-formato&amp;utm_medium=act_formato_excel&amp;utm_source=act_formato_excel&amp;utm_campaign=act_formato_excel&amp;utm_content=act_formato_excel_link" xr:uid="{DB4A2578-E213-483A-8865-8489BEA490A2}"/>
    <hyperlink ref="B4839" r:id="rId1589" display="https://actualicese.com/cuestionario-de-control-para-verificar-cumplimiento-de-requisitos-de-facturacion-en-papel-o-por-computador/?referer=L-excel-formato&amp;utm_medium=act_formato_excel&amp;utm_source=act_formato_excel&amp;utm_campaign=act_formato_excel&amp;utm_content=act_formato_excel_link" xr:uid="{56DF7256-7468-4EB2-8A17-65832A807AAC}"/>
    <hyperlink ref="B4841" r:id="rId1590" display="https://actualicese.com/reunion-extraordinaria-junta-directiva-autorizando-a-representante-legal-a-suscribir-creditos/?referer=L-excel-formato&amp;utm_medium=act_formato_excel&amp;utm_source=act_formato_excel&amp;utm_campaign=act_formato_excel&amp;utm_content=act_formato_excel_link" xr:uid="{F161461A-19EE-4963-98BC-0FB3236B9E46}"/>
    <hyperlink ref="B4843" r:id="rId1591" display="https://actualicese.com/conversion-de-tasas-de-interes-edicson-ortiz-dicelis/?referer=L-excel-formato&amp;utm_medium=act_formato_excel&amp;utm_source=act_formato_excel&amp;utm_campaign=act_formato_excel&amp;utm_content=act_formato_excel_link" xr:uid="{B3030FC4-78D2-410A-AEE5-F5E16B559484}"/>
    <hyperlink ref="B4845" r:id="rId1592" display="https://actualicese.com/devolucion-de-pagares-o-letras-pagadas/?referer=L-excel-formato&amp;utm_medium=act_formato_excel&amp;utm_source=act_formato_excel&amp;utm_campaign=act_formato_excel&amp;utm_content=act_formato_excel_link" xr:uid="{42C51606-38E6-41B9-84A7-C0E48C232258}"/>
    <hyperlink ref="B4847" r:id="rId1593" display="https://actualicese.com/modelo-para-determinar-obligaciones-comerciales-o-fiscales-segun-el-patrimonio-o-los-ingresos/?referer=L-excel-formato&amp;utm_medium=act_formato_excel&amp;utm_source=act_formato_excel&amp;utm_campaign=act_formato_excel&amp;utm_content=act_formato_excel_link" xr:uid="{496B5DB5-7077-4ADE-A8BE-9F9ADCA222BD}"/>
    <hyperlink ref="B4849" r:id="rId1594" display="https://actualicese.com/word-aviso-o-edicto-de-trabajador-fallecido-para-pago-de-salarios-y-prestaciones-adeudadas/?referer=L-excel-formato&amp;utm_medium=act_formato_excel&amp;utm_source=act_formato_excel&amp;utm_campaign=act_formato_excel&amp;utm_content=act_formato_excel_link" xr:uid="{12660703-4D2F-4522-A104-6FA0686CBA91}"/>
    <hyperlink ref="B4851" r:id="rId1595" display="https://actualicese.com/funciones-responsabilidades-y-conocimientos-para-aplicar-al-cargo-de-contador-general-de-una-empresa/?referer=L-excel-formato&amp;utm_medium=act_formato_excel&amp;utm_source=act_formato_excel&amp;utm_campaign=act_formato_excel&amp;utm_content=act_formato_excel_link" xr:uid="{2913299B-F7EE-4ADE-832B-48A0BE780517}"/>
    <hyperlink ref="B4853" r:id="rId1596" display="https://actualicese.com/liquidador-de-intereses-de-mora-de-obligaciones-tributarias-jose-miguel-barbosa-m/?referer=L-excel-formato&amp;utm_medium=act_formato_excel&amp;utm_source=act_formato_excel&amp;utm_campaign=act_formato_excel&amp;utm_content=act_formato_excel_link" xr:uid="{085A05F2-BAEA-46D0-91AE-62C4DE286A80}"/>
    <hyperlink ref="B4855" r:id="rId1597" display="https://actualicese.com/calculo-de-retencion-a-independientes-con-un-unico-contrato-no-superior-a-300-uvt/?referer=L-excel-formato&amp;utm_medium=act_formato_excel&amp;utm_source=act_formato_excel&amp;utm_campaign=act_formato_excel&amp;utm_content=act_formato_excel_link" xr:uid="{9257B1FD-896F-45C1-A9A5-3745A05A669C}"/>
    <hyperlink ref="B4857" r:id="rId1598" display="https://actualicese.com/citacion-a-asamblea-de-propietarios-de-propiedad-horizontal/?referer=L-excel-formato&amp;utm_medium=act_formato_excel&amp;utm_source=act_formato_excel&amp;utm_campaign=act_formato_excel&amp;utm_content=act_formato_excel_link" xr:uid="{B7F720A8-47FF-4601-86C3-1E2A6DD55281}"/>
    <hyperlink ref="B4859" r:id="rId1599" display="https://actualicese.com/certificado-comprobante-de-pago-de-los-intereses-de-cesantia/?referer=L-excel-formato&amp;utm_medium=act_formato_excel&amp;utm_source=act_formato_excel&amp;utm_campaign=act_formato_excel&amp;utm_content=act_formato_excel_link" xr:uid="{5D93D2CB-A8F1-4EDD-AD95-2EACB1ACDFD5}"/>
    <hyperlink ref="B4861" r:id="rId1600" display="https://actualicese.com/word-modelo-de-accion-y-nota-de-cesion/?referer=L-excel-formato&amp;utm_medium=act_formato_excel&amp;utm_source=act_formato_excel&amp;utm_campaign=act_formato_excel&amp;utm_content=act_formato_excel_link" xr:uid="{82D3D471-8AD3-4E58-BA81-1634393B6A99}"/>
    <hyperlink ref="B4863" r:id="rId1601" display="https://actualicese.com/word-contrato-de-arrendamiento-de-vehiculo-automotor-para-carga-o-transporte/?referer=L-excel-formato&amp;utm_medium=act_formato_excel&amp;utm_source=act_formato_excel&amp;utm_campaign=act_formato_excel&amp;utm_content=act_formato_excel_link" xr:uid="{78A0C647-A34B-4CC4-B2AD-453E848BC976}"/>
    <hyperlink ref="B4865" r:id="rId1602" display="https://actualicese.com/liquidador-contrato-de-trabajo-a-termino-fijo-fredy-robinson-gil-zea/?referer=L-excel-formato&amp;utm_medium=act_formato_excel&amp;utm_source=act_formato_excel&amp;utm_campaign=act_formato_excel&amp;utm_content=act_formato_excel_link" xr:uid="{CC9B6930-3B04-48CA-83B6-7D16A4E39D74}"/>
    <hyperlink ref="B4867" r:id="rId1603" display="https://actualicese.com/word-acta-para-transformacion-de-sociedad-comanditaria-por-acciones-a-sas/?referer=L-excel-formato&amp;utm_medium=act_formato_excel&amp;utm_source=act_formato_excel&amp;utm_campaign=act_formato_excel&amp;utm_content=act_formato_excel_link" xr:uid="{FD7A051F-08AD-467F-932C-26D2D479C49C}"/>
    <hyperlink ref="B4869" r:id="rId1604" display="https://actualicese.com/word-modelo-accion-de-tutela-para-reclamar-incapacidad-o-licencia-negada-segun-el-decreto-1804-de-1999/?referer=L-excel-formato&amp;utm_medium=act_formato_excel&amp;utm_source=act_formato_excel&amp;utm_campaign=act_formato_excel&amp;utm_content=act_formato_excel_link" xr:uid="{4D2E33A3-4739-41FF-82FD-7A8A76859136}"/>
    <hyperlink ref="B4871" r:id="rId1605" display="https://actualicese.com/word-acta-de-junta-para-transformar-sociedad-en-comandita-en-sas/?referer=L-excel-formato&amp;utm_medium=act_formato_excel&amp;utm_source=act_formato_excel&amp;utm_campaign=act_formato_excel&amp;utm_content=act_formato_excel_link" xr:uid="{E8C570CB-1BBA-4A20-9195-421AE1E23179}"/>
    <hyperlink ref="B4873" r:id="rId1606" display="https://actualicese.com/word-minuta-de-comodato-o-prestamo-de-uso/?referer=L-excel-formato&amp;utm_medium=act_formato_excel&amp;utm_source=act_formato_excel&amp;utm_campaign=act_formato_excel&amp;utm_content=act_formato_excel_link" xr:uid="{BD7D0A00-C638-4DBA-9DE8-8EE6123BEC2D}"/>
    <hyperlink ref="B4875" r:id="rId1607" display="https://actualicese.com/modelo-compraventa-usufrouct/?referer=L-excel-formato&amp;utm_medium=act_formato_excel&amp;utm_source=act_formato_excel&amp;utm_campaign=act_formato_excel&amp;utm_content=act_formato_excel_link" xr:uid="{1B785583-B694-4C93-B676-19AD3902B880}"/>
    <hyperlink ref="B4877" r:id="rId1608" display="https://actualicese.com/word-asamblea-extraordinaria-de-accionistas-para-la-entrega-de-acciones-a-acreedores/?referer=L-excel-formato&amp;utm_medium=act_formato_excel&amp;utm_source=act_formato_excel&amp;utm_campaign=act_formato_excel&amp;utm_content=act_formato_excel_link" xr:uid="{DF3D6C9F-1413-42C6-81FC-A4CF85CC4FD0}"/>
    <hyperlink ref="B4879" r:id="rId1609" display="https://actualicese.com/word-cuadro-comparativo-de-modificaciones-hechas-por-la-ley-132809-al-estatuto-organico-financiero/?referer=L-excel-formato&amp;utm_medium=act_formato_excel&amp;utm_source=act_formato_excel&amp;utm_campaign=act_formato_excel&amp;utm_content=act_formato_excel_link" xr:uid="{91F66A46-E57A-43D3-86CE-329FA76A3C94}"/>
    <hyperlink ref="B4881" r:id="rId1610" display="https://actualicese.com/word-reforma-al-componente-social-de-una-sociedad-limitada-cesion-de-cuotas/?referer=L-excel-formato&amp;utm_medium=act_formato_excel&amp;utm_source=act_formato_excel&amp;utm_campaign=act_formato_excel&amp;utm_content=act_formato_excel_link" xr:uid="{DFE21E89-B2D2-4856-B868-B7265BB46F0F}"/>
    <hyperlink ref="B4883" r:id="rId1611" display="https://actualicese.com/word-contrato-de-suministro-de-alimentos-outsourcing-de-casino/?referer=L-excel-formato&amp;utm_medium=act_formato_excel&amp;utm_source=act_formato_excel&amp;utm_campaign=act_formato_excel&amp;utm_content=act_formato_excel_link" xr:uid="{88C7C53D-B9C2-4A2E-A66C-1B38A2A3F527}"/>
    <hyperlink ref="B4885" r:id="rId1612" display="https://actualicese.com/excel-liquidador-de-jornadas-ordinarias-y-extraordinarias-de-trabajo-juan-m-beltran-v/?referer=L-excel-formato&amp;utm_medium=act_formato_excel&amp;utm_source=act_formato_excel&amp;utm_campaign=act_formato_excel&amp;utm_content=act_formato_excel_link" xr:uid="{78838E7C-7856-4DFC-86F0-4D9682754A66}"/>
    <hyperlink ref="B4887" r:id="rId1613" display="https://actualicese.com/word-modelo-de-minuta-para-la-constitucion-de-una-sas/?referer=L-excel-formato&amp;utm_medium=act_formato_excel&amp;utm_source=act_formato_excel&amp;utm_campaign=act_formato_excel&amp;utm_content=act_formato_excel_link" xr:uid="{AF243560-71D9-4E27-877C-CDC060872EBA}"/>
    <hyperlink ref="B4889" r:id="rId1614" display="https://actualicese.com/excel-herramienta-calculadora-de-tarifas-en-la-profesion-de-contador-publico/?referer=L-excel-formato&amp;utm_medium=act_formato_excel&amp;utm_source=act_formato_excel&amp;utm_campaign=act_formato_excel&amp;utm_content=act_formato_excel_link" xr:uid="{AE5D7621-1C4C-44E9-B0AF-3429FB28D564}"/>
    <hyperlink ref="B4891" r:id="rId1615" display="https://actualicese.com/excel-listado-de-los-codigos-para-identificar-en-la-pila-a-las-distintas-administradoras-de-la-seguridad-social/?referer=L-excel-formato&amp;utm_medium=act_formato_excel&amp;utm_source=act_formato_excel&amp;utm_campaign=act_formato_excel&amp;utm_content=act_formato_excel_link" xr:uid="{AFFB1C16-ED65-4CFE-99AA-20DF43C31430}"/>
    <hyperlink ref="B4893" r:id="rId1616" display="https://actualicese.com/word-contrato-de-fabricacion-de-productos/?referer=L-excel-formato&amp;utm_medium=act_formato_excel&amp;utm_source=act_formato_excel&amp;utm_campaign=act_formato_excel&amp;utm_content=act_formato_excel_link" xr:uid="{7B2D80D8-0FA4-41F7-AE3D-258568BC9C96}"/>
    <hyperlink ref="B4895" r:id="rId1617" display="https://actualicese.com/word-segunda-convocatoria-a-asamblea-general-ordinaria-de-socios/?referer=L-excel-formato&amp;utm_medium=act_formato_excel&amp;utm_source=act_formato_excel&amp;utm_campaign=act_formato_excel&amp;utm_content=act_formato_excel_link" xr:uid="{EF8BBE48-ADDB-4C77-947F-772E124DECC8}"/>
    <hyperlink ref="B4897" r:id="rId1618" display="https://actualicese.com/word-cesion-y-venta-de-cuotas-entre-los-mismos-socios/?referer=L-excel-formato&amp;utm_medium=act_formato_excel&amp;utm_source=act_formato_excel&amp;utm_campaign=act_formato_excel&amp;utm_content=act_formato_excel_link" xr:uid="{74BC7E47-4B22-4EA6-AA12-4670CD7A3C2E}"/>
    <hyperlink ref="B4899" r:id="rId1619" display="https://actualicese.com/resumen-de-parametros-clave-para-la-elaboracion-de-declaraciones-tributarias-durante-el-2009/?referer=L-excel-formato&amp;utm_medium=act_formato_excel&amp;utm_source=act_formato_excel&amp;utm_campaign=act_formato_excel&amp;utm_content=act_formato_excel_link" xr:uid="{5697A0D4-4126-49D1-BCC7-B8AE5A0C8096}"/>
    <hyperlink ref="B4901" r:id="rId1620" display="https://actualicese.com/word-modelo-para-la-elaboracion-de-un-contrato-de-suministro/?referer=L-excel-formato&amp;utm_medium=act_formato_excel&amp;utm_source=act_formato_excel&amp;utm_campaign=act_formato_excel&amp;utm_content=act_formato_excel_link" xr:uid="{30EEC788-BE14-4BB3-80E8-429310BCBB8C}"/>
    <hyperlink ref="B4903" r:id="rId1621" display="https://actualicese.com/word-diferencias-entre-contribuyentes-y-no-contribuyentes-del-impuesto-sobre-la-renta-y-complementarios/?referer=L-excel-formato&amp;utm_medium=act_formato_excel&amp;utm_source=act_formato_excel&amp;utm_campaign=act_formato_excel&amp;utm_content=act_formato_excel_link" xr:uid="{DFBDE3EE-BDD1-4C6C-8A7C-2472B4D58973}"/>
    <hyperlink ref="B4905" r:id="rId1622" display="https://actualicese.com/tutela-para-reclamar-incapacidades/?referer=L-excel-formato&amp;utm_medium=act_formato_excel&amp;utm_source=act_formato_excel&amp;utm_campaign=act_formato_excel&amp;utm_content=act_formato_excel_link" xr:uid="{B6546AA3-B61C-4385-B2AC-D74371CDC43A}"/>
    <hyperlink ref="B4907" r:id="rId1623" display="https://actualicese.com/word-acta-de-asamblea-ordinaria-de-socios-o-accionistas/?referer=L-excel-formato&amp;utm_medium=act_formato_excel&amp;utm_source=act_formato_excel&amp;utm_campaign=act_formato_excel&amp;utm_content=act_formato_excel_link" xr:uid="{25A41797-1F5C-4B27-ADCC-D8D827DC98C8}"/>
    <hyperlink ref="B4909" r:id="rId1624" display="https://actualicese.com/word-modelo-de-contrato-de-compraventa-de-carro-o-moto/?referer=L-excel-formato&amp;utm_medium=act_formato_excel&amp;utm_source=act_formato_excel&amp;utm_campaign=act_formato_excel&amp;utm_content=act_formato_excel_link" xr:uid="{6CB82626-3334-4ADC-82FC-04CB83904197}"/>
    <hyperlink ref="B4911" r:id="rId1625" display="https://actualicese.com/word-cuestionario-basico-para-preparar-la-dr-2007-de-personas-naturales-colombianas/?referer=L-excel-formato&amp;utm_medium=act_formato_excel&amp;utm_source=act_formato_excel&amp;utm_campaign=act_formato_excel&amp;utm_content=act_formato_excel_link" xr:uid="{B98C9343-D861-4E65-B4BA-0B415547CC86}"/>
    <hyperlink ref="B4913" r:id="rId1626" display="https://actualicese.com/word-modelo-de-dictamen-sin-salvedades-que-la-revisoria-fiscal-expediria-para-el-cierre-del-periodo-2007/?referer=L-excel-formato&amp;utm_medium=act_formato_excel&amp;utm_source=act_formato_excel&amp;utm_campaign=act_formato_excel&amp;utm_content=act_formato_excel_link" xr:uid="{BAC62087-9F5E-4318-8986-66D2DE4B6C08}"/>
    <hyperlink ref="B4915" r:id="rId1627" display="https://actualicese.com/clasificacion-actual-de-los-bienes-corporales-muebles-en-relacion-con-el-impuesto-sobre-las-ventas/?referer=L-excel-formato&amp;utm_medium=act_formato_excel&amp;utm_source=act_formato_excel&amp;utm_campaign=act_formato_excel&amp;utm_content=act_formato_excel_link" xr:uid="{46DFF8E1-4508-4CB7-A93F-2C3AAA481CDB}"/>
    <hyperlink ref="B4917" r:id="rId1628" display="https://actualicese.com/modelo-para-la-elaboracion-de-un-reglamento-interno-de-trabajo/?referer=L-excel-formato&amp;utm_medium=act_formato_excel&amp;utm_source=act_formato_excel&amp;utm_campaign=act_formato_excel&amp;utm_content=act_formato_excel_link" xr:uid="{12700BC4-65F8-4A4B-9846-B8F2CB189D85}"/>
    <hyperlink ref="B4919" r:id="rId1629" display="https://actualicese.com/modelo-de-consolidacion-accionaria-exigida-en-el-articulo-130-del-decreto-2649-de-1993/?referer=L-excel-formato&amp;utm_medium=act_formato_excel&amp;utm_source=act_formato_excel&amp;utm_campaign=act_formato_excel&amp;utm_content=act_formato_excel_link" xr:uid="{A093963C-EB01-4B1E-BA4B-5FE0D707013C}"/>
    <hyperlink ref="B4921" r:id="rId1630" display="https://actualicese.com/informacion-necesaria-para-efectos-contables-laborales-y-tributarios-tanto-en-el-cierre-contable-como-para-la-declaracion-de-renta-del-ano-gravable/?referer=L-excel-formato&amp;utm_medium=act_formato_excel&amp;utm_source=act_formato_excel&amp;utm_campaign=act_formato_excel&amp;utm_content=act_formato_excel_link" xr:uid="{AD6EA864-0EEA-4BA1-87FE-9A4AD607E983}"/>
    <hyperlink ref="B4923" r:id="rId1631" display="https://actualicese.com/modelo-para-elaborar-un-resumen-de-ajustes-propuestos-a-los-estados-financieros-en-el-desarrollo-de-una-auditoria-externa-o-revisoria-fiscal/?referer=L-excel-formato&amp;utm_medium=act_formato_excel&amp;utm_source=act_formato_excel&amp;utm_campaign=act_formato_excel&amp;utm_content=act_formato_excel_link" xr:uid="{05144438-0A7E-407A-AD1F-287C63905762}"/>
    <hyperlink ref="B1617" r:id="rId1632" display="https://actualicese.com/reclamacion-por-garantias-sobre-bienes-o-servicios/?referer=L-excel-formato&amp;utm_medium=act_formato_excel&amp;utm_source=act_formato_excel&amp;utm_campaign=act_formato_excel&amp;utm_content=act_formato_excel_link" xr:uid="{A72505AA-EF41-45BD-88D5-8A51D1F97569}"/>
    <hyperlink ref="B1619" r:id="rId1633" display="https://actualicese.com/pack-de-formatos-casos-practicos-en-excel-sobre-impuesto-diferido-en-2022/?referer=L-excel-formato&amp;utm_medium=act_formato_excel&amp;utm_source=act_formato_excel&amp;utm_campaign=act_formato_excel&amp;utm_content=act_formato_excel_link" xr:uid="{180426B1-76AB-43BF-9C11-D09D5E1A25D3}"/>
    <hyperlink ref="B1621" r:id="rId1634" display="https://actualicese.com/amortizacion-de-contrato-de-leasing/?referer=L-excel-formato&amp;utm_medium=act_formato_excel&amp;utm_source=act_formato_excel&amp;utm_campaign=act_formato_excel&amp;utm_content=act_formato_excel_link" xr:uid="{8F35A6A0-976E-4FEC-B8B0-49F05067AAA5}"/>
    <hyperlink ref="B1623" r:id="rId1635" display="https://actualicese.com/ejercicio-practico-en-excel-valuacion-de-inventarios-por-el-metodo-de-identificacion-especifica/?referer=L-excel-formato&amp;utm_medium=act_formato_excel&amp;utm_source=act_formato_excel&amp;utm_campaign=act_formato_excel&amp;utm_content=act_formato_excel_link" xr:uid="{81A9B068-3E55-4D0C-9125-14B45CDCE099}"/>
    <hyperlink ref="B1625" r:id="rId1636" display="https://actualicese.com/modelo-kardex/?referer=L-excel-formato&amp;utm_medium=act_formato_excel&amp;utm_source=act_formato_excel&amp;utm_campaign=act_formato_excel&amp;utm_content=act_formato_excel_link" xr:uid="{90239F1D-A55B-4F84-A7FA-E18510A2CF2C}"/>
    <hyperlink ref="B1627" r:id="rId1637" display="https://actualicese.com/hoja-de-costos-en-excel/?referer=L-excel-formato&amp;utm_medium=act_formato_excel&amp;utm_source=act_formato_excel&amp;utm_campaign=act_formato_excel&amp;utm_content=act_formato_excel_link" xr:uid="{7596D2F0-3A51-4418-8986-BF4199182C6D}"/>
    <hyperlink ref="B1629" r:id="rId1638" display="https://actualicese.com/casos-practicos-en-excel-de-contabilizacion-de-contratos-de-prestacion-de-servicios-independientes/?referer=L-excel-formato&amp;utm_medium=act_formato_excel&amp;utm_source=act_formato_excel&amp;utm_campaign=act_formato_excel&amp;utm_content=act_formato_excel_link" xr:uid="{22BBFD38-EEE1-4786-9E72-A33B3B21C611}"/>
    <hyperlink ref="B1631" r:id="rId1639" display="https://actualicese.com/caso-practico-en-excel-contabilizacion-de-beneficios-a-empleados-por-terminacion/?referer=L-excel-formato&amp;utm_medium=act_formato_excel&amp;utm_source=act_formato_excel&amp;utm_campaign=act_formato_excel&amp;utm_content=act_formato_excel_link" xr:uid="{7FDA1A1E-0624-4EC7-A4B6-C25F81881F23}"/>
    <hyperlink ref="B1633" r:id="rId1640" display="https://actualicese.com/liquidador-casos-practicos-de-contabilizacion-de-contratos-de-renting/?referer=L-excel-formato&amp;utm_medium=act_formato_excel&amp;utm_source=act_formato_excel&amp;utm_campaign=act_formato_excel&amp;utm_content=act_formato_excel_link" xr:uid="{DCD11819-ECFD-4297-83EA-E35E632B52D1}"/>
    <hyperlink ref="B1635" r:id="rId1641" display="https://actualicese.com/guia-modelo-de-notas-a-los-estados-financieros-estado-de-situacion-financiera/?referer=L-excel-formato&amp;utm_medium=act_formato_excel&amp;utm_source=act_formato_excel&amp;utm_campaign=act_formato_excel&amp;utm_content=act_formato_excel_link" xr:uid="{42684EFE-D79D-410D-8024-2CAF6B06A8B3}"/>
    <hyperlink ref="B1637" r:id="rId1642" display="https://actualicese.com/correccion-de-errores-de-periodos-anteriores-en-el-cierre-contable/?referer=L-excel-formato&amp;utm_medium=act_formato_excel&amp;utm_source=act_formato_excel&amp;utm_campaign=act_formato_excel&amp;utm_content=act_formato_excel_link" xr:uid="{9BB3649A-13AE-4949-889C-3789B2A0432D}"/>
    <hyperlink ref="B1639" r:id="rId1643" display="https://actualicese.com/simulador-de-estado-de-situacion-financiera-analisis-comparativo/?referer=L-excel-formato&amp;utm_medium=act_formato_excel&amp;utm_source=act_formato_excel&amp;utm_campaign=act_formato_excel&amp;utm_content=act_formato_excel_link" xr:uid="{F3F16897-52AF-4D43-9028-1FE820E019A0}"/>
    <hyperlink ref="B1641" r:id="rId1644" display="https://actualicese.com/guia-modelo-en-excel-de-la-estructura-del-balance-de-comprobacion/?referer=L-excel-formato&amp;utm_medium=act_formato_excel&amp;utm_source=act_formato_excel&amp;utm_campaign=act_formato_excel&amp;utm_content=act_formato_excel_link" xr:uid="{3CE852FD-9F46-4F84-82D7-DF15D3BF28CC}"/>
    <hyperlink ref="B1643" r:id="rId1645" display="https://actualicese.com/guia-matriz-en-excel-de-costos-y-deducciones-de-las-personas-juridicas-en-2022/?referer=L-excel-formato&amp;utm_medium=act_formato_excel&amp;utm_source=act_formato_excel&amp;utm_campaign=act_formato_excel&amp;utm_content=act_formato_excel_link" xr:uid="{7F5527F4-E2FD-43EC-B6EB-916FAA333E4B}"/>
    <hyperlink ref="B1645" r:id="rId1646" display="https://actualicese.com/casos-practicos-de-liquidacion-de-seguridad-social-de-independientes-con-contrato-de-prestacion-de-servicios/?referer=L-excel-formato&amp;utm_medium=act_formato_excel&amp;utm_source=act_formato_excel&amp;utm_campaign=act_formato_excel&amp;utm_content=act_formato_excel_link" xr:uid="{BC0FB5E4-D5CA-48FA-AE0E-6906D8AD3A99}"/>
    <hyperlink ref="B1647" r:id="rId1647" display="https://actualicese.com/caso-practico-en-excel-utilidad-del-impuesto-diferido-en-la-correccion-del-efecto-de-las-normas-fiscales/?referer=L-excel-formato&amp;utm_medium=act_formato_excel&amp;utm_source=act_formato_excel&amp;utm_campaign=act_formato_excel&amp;utm_content=act_formato_excel_link" xr:uid="{F249C619-FC0C-4B1A-8C61-80E9CF56524B}"/>
    <hyperlink ref="B1649" r:id="rId1648" display="https://actualicese.com/casos-practicos-sobre-metodos-para-determinar-la-naturaleza-del-impuesto-diferido/?referer=L-excel-formato&amp;utm_medium=act_formato_excel&amp;utm_source=act_formato_excel&amp;utm_campaign=act_formato_excel&amp;utm_content=act_formato_excel_link" xr:uid="{091CD7AC-2385-4CBC-805A-DDA6C2A13E39}"/>
    <hyperlink ref="B1651" r:id="rId1649" display="https://actualicese.com/plantilla-del-estado-de-costos-de-produccion-y-ventas/?referer=L-excel-formato&amp;utm_medium=act_formato_excel&amp;utm_source=act_formato_excel&amp;utm_campaign=act_formato_excel&amp;utm_content=act_formato_excel_link" xr:uid="{09BCECFD-4215-456C-B166-2790343CCC6A}"/>
    <hyperlink ref="B1653" r:id="rId1650" display="https://actualicese.com/casos-practicos-de-liquidacion-y-contabilizacion-de-sanciones-por-no-inscribirse-o-actualizar-el-rut/?referer=L-excel-formato&amp;utm_medium=act_formato_excel&amp;utm_source=act_formato_excel&amp;utm_campaign=act_formato_excel&amp;utm_content=act_formato_excel_link" xr:uid="{110ECD7B-C0F6-49C6-825E-806918266DAD}"/>
    <hyperlink ref="B1655" r:id="rId1651" display="https://actualicese.com/guia-plantilla-para-clasificar-una-entidad-en-un-grupo-de-aplicacion-de-las-niif-en-colombia/?referer=L-excel-formato&amp;utm_medium=act_formato_excel&amp;utm_source=act_formato_excel&amp;utm_campaign=act_formato_excel&amp;utm_content=act_formato_excel_link" xr:uid="{60A6A5AE-9E37-4A70-831D-B2478AB15CDA}"/>
    <hyperlink ref="B1657" r:id="rId1652" display="https://actualicese.com/ejercicio-practico-en-excel-impuesto-diferido-cuando-hay-compensacion-de-perdidas-fiscales/?referer=L-excel-formato&amp;utm_medium=act_formato_excel&amp;utm_source=act_formato_excel&amp;utm_campaign=act_formato_excel&amp;utm_content=act_formato_excel_link" xr:uid="{140B3598-77F0-4870-93CE-7A337637276B}"/>
    <hyperlink ref="B1659" r:id="rId1653" display="https://actualicese.com/guia-matriz-en-excel-rentas-exentas-y-descuentos-tributarios-de-las-personas-juridicas-en-2022/?referer=L-excel-formato&amp;utm_medium=act_formato_excel&amp;utm_source=act_formato_excel&amp;utm_campaign=act_formato_excel&amp;utm_content=act_formato_excel_link" xr:uid="{A4E07604-1F7F-4A7D-93A9-2B5AA8E92CBA}"/>
    <hyperlink ref="B1661" r:id="rId1654" display="https://actualicese.com/liquidador-casos-practicos-de-liquidacion-de-aportes-a-seguridad-social-de-independientes-cuenta-propia-y-rentistas-de-capital/?referer=L-excel-formato&amp;utm_medium=act_formato_excel&amp;utm_source=act_formato_excel&amp;utm_campaign=act_formato_excel&amp;utm_content=act_formato_excel_link" xr:uid="{15A39834-5C6C-4261-A917-B8C94835DB0B}"/>
    <hyperlink ref="B1611" r:id="rId1655" display="https://actualicese.com/informe-de-entrega-del-cargo-de-contador-externo-al-finalizar-un-contrato/?referer=L-excel-formato&amp;utm_medium=act_formato_excel&amp;utm_source=act_formato_excel&amp;utm_campaign=act_formato_excel&amp;utm_content=act_formato_excel_link" xr:uid="{C2E2698B-54F9-4E9C-A976-F798593F9F92}"/>
    <hyperlink ref="B1613" r:id="rId1656" display="https://actualicese.com/caso-practico-en-excel-de-contabilizacion-de-ingresos-en-contratos-de-construccion/?referer=L-excel-formato&amp;utm_medium=act_formato_excel&amp;utm_source=act_formato_excel&amp;utm_campaign=act_formato_excel&amp;utm_content=act_formato_excel_link" xr:uid="{89628707-D63D-4078-85F7-67AF6F8C90BF}"/>
    <hyperlink ref="B1615" r:id="rId1657" display="https://actualicese.com/casos-practicos-en-excel-sobre-la-distribucion-de-los-cif-costos-indirectos-de-fabricacion/?referer=L-excel-formato&amp;utm_medium=act_formato_excel&amp;utm_source=act_formato_excel&amp;utm_campaign=act_formato_excel&amp;utm_content=act_formato_excel_link" xr:uid="{6C5D44D3-2EDE-4A7B-8EBE-5F8EF46A7254}"/>
    <hyperlink ref="B1599" r:id="rId1658" display="https://actualicese.com/nota-2-base-de-preparacion-de-estados-financieros-bajo-el-estandar-internacional-para-pymes/?referer=L-excel-formato&amp;utm_medium=act_formato_excel&amp;utm_source=act_formato_excel&amp;utm_campaign=act_formato_excel&amp;utm_content=act_formato_excel_link" xr:uid="{4E48C11F-49E5-4A38-B983-064D90F62821}"/>
    <hyperlink ref="B1601" r:id="rId1659" display="https://actualicese.com/formulario-de-reclamos-del-usuario-o-cliente/?referer=L-excel-formato&amp;utm_medium=act_formato_excel&amp;utm_source=act_formato_excel&amp;utm_campaign=act_formato_excel&amp;utm_content=act_formato_excel_link" xr:uid="{17F838C0-5BC3-45D5-B000-084306F4032B}"/>
    <hyperlink ref="B1603" r:id="rId1660" display="https://actualicese.com/reclamacion-directa-contra-proveedor-o-productor/?referer=L-excel-formato&amp;utm_medium=act_formato_excel&amp;utm_source=act_formato_excel&amp;utm_campaign=act_formato_excel&amp;utm_content=act_formato_excel_link" xr:uid="{7C0ED14A-B353-4B12-9BD0-615B2FF4161B}"/>
    <hyperlink ref="B1605" r:id="rId1661" display="https://actualicese.com/lista-de-chequeo-de-las-etapas-requeridas-en-el-proceso-presupuestal/?referer=L-excel-formato&amp;utm_medium=act_formato_excel&amp;utm_source=act_formato_excel&amp;utm_campaign=act_formato_excel&amp;utm_content=act_formato_excel_link" xr:uid="{5BC1F805-71DB-4470-92CD-906E3E65E955}"/>
    <hyperlink ref="B1607" r:id="rId1662" display="https://actualicese.com/guia-plantilla-en-excel-con-macros-de-la-nota-credito/?referer=L-excel-formato&amp;utm_medium=act_formato_excel&amp;utm_source=act_formato_excel&amp;utm_campaign=act_formato_excel&amp;utm_content=act_formato_excel_link" xr:uid="{59A17FA2-D388-4C2E-912D-5FF3F6E39641}"/>
    <hyperlink ref="B1609" r:id="rId1663" display="https://actualicese.com/nota-debito/?referer=L-excel-formato&amp;utm_medium=act_formato_excel&amp;utm_source=act_formato_excel&amp;utm_campaign=act_formato_excel&amp;utm_content=act_formato_excel_link" xr:uid="{61FBBA3E-45C4-45B4-8672-CB5A7DA1733F}"/>
    <hyperlink ref="B1597" r:id="rId1664" display="https://actualicese.com/modelo-para-la-elaboracion-de-estados-financieros-y-calculo-de-los-indicadores-financieros/?referer=L-excel-formato&amp;utm_medium=act_formato_excel&amp;utm_source=act_formato_excel&amp;utm_campaign=act_formato_excel&amp;utm_content=act_formato_excel_link" xr:uid="{2F6C1379-EBAD-40F6-8ACA-83F919024009}"/>
    <hyperlink ref="B1595" r:id="rId1665" display="https://actualicese.com/modelo-en-word-de-carta-de-terminacion-del-contrato-de-trabajo-sin-justa-causa-por-parte-del-empleador/?referer=L-excel-formato&amp;utm_medium=act_formato_excel&amp;utm_source=act_formato_excel&amp;utm_campaign=act_formato_excel&amp;utm_content=act_formato_excel_link" xr:uid="{617951C6-5D79-4679-B7E1-3F7774D8C978}"/>
    <hyperlink ref="B1541" r:id="rId1666" display="https://actualicese.com/liquidador-caso-practico-en-excel-sobre-bancarizacion-por-el-ano-gravable-2022/?referer=L-excel-formato&amp;utm_medium=act_formato_excel&amp;utm_source=act_formato_excel&amp;utm_campaign=act_formato_excel&amp;utm_content=act_formato_excel_link" xr:uid="{DCE0BA23-4888-4B2D-9068-E71057254743}"/>
    <hyperlink ref="B1543" r:id="rId1667" display="https://actualicese.com/liquidador-casos-practicos-en-excel-con-las-diferencias-mas-comunes-en-el-proceso-de-conciliacion-fiscal-de-personas-juridicas/?referer=L-excel-formato&amp;utm_medium=act_formato_excel&amp;utm_source=act_formato_excel&amp;utm_campaign=act_formato_excel&amp;utm_content=act_formato_excel_link" xr:uid="{B5067119-FC27-4099-86A5-F8A717858014}"/>
    <hyperlink ref="B1545" r:id="rId1668" display="https://actualicese.com/liquidador-casos-practicos-en-excel-de-liquidacion-de-aportes-a-seguridad-social-de-independientes-del-transporte-de-carga/?referer=L-excel-formato&amp;utm_medium=act_formato_excel&amp;utm_source=act_formato_excel&amp;utm_campaign=act_formato_excel&amp;utm_content=act_formato_excel_link" xr:uid="{73BA74AA-AFEF-43BF-9446-7C1D80DFC95C}"/>
    <hyperlink ref="B1547" r:id="rId1669" display="https://actualicese.com/indicadores-financieros-de-actividad-y-rentabilidad/?referer=L-excel-formato&amp;utm_medium=act_formato_excel&amp;utm_source=act_formato_excel&amp;utm_campaign=act_formato_excel&amp;utm_content=act_formato_excel_link" xr:uid="{978AC316-3C5A-46BA-BC60-F8AB15660AF1}"/>
    <hyperlink ref="B1549" r:id="rId1670" display="https://actualicese.com/informe-de-auditoria-denegacion-abstencion-de-opinion-por-no-obtener-evidencia/?referer=L-excel-formato&amp;utm_medium=act_formato_excel&amp;utm_source=act_formato_excel&amp;utm_campaign=act_formato_excel&amp;utm_content=act_formato_excel_link" xr:uid="{070527A4-EE71-41C5-AA14-059124AFA14E}"/>
    <hyperlink ref="B1551" r:id="rId1671" display="https://actualicese.com/simulador-del-punto-de-equilibrio-en-excel-herramienta-de-analisis-financiero/?referer=L-excel-formato&amp;utm_medium=act_formato_excel&amp;utm_source=act_formato_excel&amp;utm_campaign=act_formato_excel&amp;utm_content=act_formato_excel_link" xr:uid="{2E3DCC65-EA23-43CA-8EBB-1DD73176E6AF}"/>
    <hyperlink ref="B1553" r:id="rId1672" display="https://actualicese.com/modelo-de-certificado-para-acceder-al-incentivo-a-la-creacion-de-nuevos-empleos/?referer=L-excel-formato&amp;utm_medium=act_formato_excel&amp;utm_source=act_formato_excel&amp;utm_campaign=act_formato_excel&amp;utm_content=act_formato_excel_link" xr:uid="{02BECD22-DDEF-4DA2-BFE6-999862ABD45A}"/>
    <hyperlink ref="B1555" r:id="rId1673" display="https://actualicese.com/caso-practico-en-excel-sobre-adquisicion-de-activos-inventarios-con-interes-implicito/?referer=L-excel-formato&amp;utm_medium=act_formato_excel&amp;utm_source=act_formato_excel&amp;utm_campaign=act_formato_excel&amp;utm_content=act_formato_excel_link" xr:uid="{13E257DC-5B1B-4ACB-9A12-25DD2B5E6D2D}"/>
    <hyperlink ref="B1557" r:id="rId1674" display="https://actualicese.com/guia-en-excel-con-los-principales-indices-de-coherencia-tributaria-para-las-personas-juridicas/?referer=L-excel-formato&amp;utm_medium=act_formato_excel&amp;utm_source=act_formato_excel&amp;utm_campaign=act_formato_excel&amp;utm_content=act_formato_excel_link" xr:uid="{FD794C82-072E-420F-A842-1B92F4B79662}"/>
    <hyperlink ref="B1559" r:id="rId1675" display="https://actualicese.com/guia-modelo-de-notas-a-los-estados-financieros-estado-de-resultados/?referer=L-excel-formato&amp;utm_medium=act_formato_excel&amp;utm_source=act_formato_excel&amp;utm_campaign=act_formato_excel&amp;utm_content=act_formato_excel_link" xr:uid="{EB95000C-2B7D-4426-8363-528CA761C1EE}"/>
    <hyperlink ref="B1561" r:id="rId1676" display="https://actualicese.com/funciones-responsabilidades-y-conocimientos-para-aplicar-al-cargo-de-contador-general-de-una-empresa/?referer=L-excel-formato&amp;utm_medium=act_formato_excel&amp;utm_source=act_formato_excel&amp;utm_campaign=act_formato_excel&amp;utm_content=act_formato_excel_link" xr:uid="{4EC83F74-F31B-43A7-BCD1-7BD91C37DFE4}"/>
    <hyperlink ref="B1563" r:id="rId1677" display="https://actualicese.com/nia-700-vs-nia-700-revisada-comparativo-de-estructura-del-informe-de-revisor-fiscal/?referer=L-excel-formato&amp;utm_medium=act_formato_excel&amp;utm_source=act_formato_excel&amp;utm_campaign=act_formato_excel&amp;utm_content=act_formato_excel_link" xr:uid="{A38F4A8F-6159-4ECD-A543-155E33E010B2}"/>
    <hyperlink ref="B1565" r:id="rId1678" display="https://actualicese.com/analisis-vertical-y-horizontal-aplicados-a-la-interpretacion-de-informacion-financiera/?referer=L-excel-formato&amp;utm_medium=act_formato_excel&amp;utm_source=act_formato_excel&amp;utm_campaign=act_formato_excel&amp;utm_content=act_formato_excel_link" xr:uid="{AD8CDAD8-2D73-409F-92D7-1D1303D1B8A7}"/>
    <hyperlink ref="B1567" r:id="rId1679" display="https://actualicese.com/analisis-de-informacion-de-ventas-utilizando-el-metodo-del-indice-de-estacionalidad/?referer=L-excel-formato&amp;utm_medium=act_formato_excel&amp;utm_source=act_formato_excel&amp;utm_campaign=act_formato_excel&amp;utm_content=act_formato_excel_link" xr:uid="{CFE9D0DF-4A04-4A6F-A71A-64C916EE721C}"/>
    <hyperlink ref="B1569" r:id="rId1680" display="https://actualicese.com/simulador-del-beneficio-de-auditoria-para-2021-2022-y-2023-con-las-novedades-de-la-ley-de-inversion-social/?referer=L-excel-formato&amp;utm_medium=act_formato_excel&amp;utm_source=act_formato_excel&amp;utm_campaign=act_formato_excel&amp;utm_content=act_formato_excel_link" xr:uid="{13A85A57-409D-4CD1-AD89-8555E26C7574}"/>
    <hyperlink ref="B1571" r:id="rId1681" display="https://actualicese.com/modelo-en-excel-del-documento-soporte-para-operaciones-con-no-obligados-a-facturar/?referer=L-excel-formato&amp;utm_medium=act_formato_excel&amp;utm_source=act_formato_excel&amp;utm_campaign=act_formato_excel&amp;utm_content=act_formato_excel_link" xr:uid="{6AF26179-2E42-4668-816A-B14C58656D99}"/>
    <hyperlink ref="B1573" r:id="rId1682" display="https://actualicese.com/liquidador-de-sancion-por-correccion-presentada-por-el-contribuyente/?referer=L-excel-formato&amp;utm_medium=act_formato_excel&amp;utm_source=act_formato_excel&amp;utm_campaign=act_formato_excel&amp;utm_content=act_formato_excel_link" xr:uid="{20563795-E671-4379-A12C-F5F71BD46E0C}"/>
    <hyperlink ref="B1575" r:id="rId1683" display="https://actualicese.com/solicitud-de-licencia-no-remunerada/?referer=L-excel-formato&amp;utm_medium=act_formato_excel&amp;utm_source=act_formato_excel&amp;utm_campaign=act_formato_excel&amp;utm_content=act_formato_excel_link" xr:uid="{A94AD5CB-CCED-4B4B-B32F-E8A441B580D7}"/>
    <hyperlink ref="B1577" r:id="rId1684" display="https://actualicese.com/cuenta-de-cobro-para-una-persona-que-presta-servicios-y-no-es-responsable-de-iva/?referer=L-excel-formato&amp;utm_medium=act_formato_excel&amp;utm_source=act_formato_excel&amp;utm_campaign=act_formato_excel&amp;utm_content=act_formato_excel_link" xr:uid="{1FEE0B76-196E-445A-92F1-2D039E8C70A7}"/>
    <hyperlink ref="B1579" r:id="rId1685" display="https://actualicese.com/liquidador-en-excel-sobre-efectos-fiscales-de-escriturar-bienes-inmuebles-por-debajo-del-valor-comercial/?referer=L-excel-formato&amp;utm_medium=act_formato_excel&amp;utm_source=act_formato_excel&amp;utm_campaign=act_formato_excel&amp;utm_content=act_formato_excel_link" xr:uid="{0BF55811-76F9-43BD-B34A-5F0D5CBB8962}"/>
    <hyperlink ref="B1581" r:id="rId1686" display="https://actualicese.com/dictamen-de-revisor-fiscal-con-comunicacion-de-cuestiones-clave-nia-700-revisada-y-nia-701/?referer=L-excel-formato&amp;utm_medium=act_formato_excel&amp;utm_source=act_formato_excel&amp;utm_campaign=act_formato_excel&amp;utm_content=act_formato_excel_link" xr:uid="{1BCD1A81-DB3C-4AD5-A72F-BFF775D87624}"/>
    <hyperlink ref="B1583" r:id="rId1687" display="https://actualicese.com/modelo-para-analizar-el-valor-presente-y-el-valor-presente-neto-de-una-inversion/?referer=L-excel-formato&amp;utm_medium=act_formato_excel&amp;utm_source=act_formato_excel&amp;utm_campaign=act_formato_excel&amp;utm_content=act_formato_excel_link" xr:uid="{EC1F790F-9E32-4FD8-A356-F171940D7EA1}"/>
    <hyperlink ref="B1585" r:id="rId1688" display="https://actualicese.com/indicadores-financieros-de-mercado/?referer=L-excel-formato&amp;utm_medium=act_formato_excel&amp;utm_source=act_formato_excel&amp;utm_campaign=act_formato_excel&amp;utm_content=act_formato_excel_link" xr:uid="{FF93E5FE-0527-4D9C-8BF4-34EE29D471AF}"/>
    <hyperlink ref="B1587" r:id="rId1689" display="https://actualicese.com/ejercicios-de-conversion-entre-tasas-de-interes-efectiva-nominal-y-periodica/?referer=L-excel-formato&amp;utm_medium=act_formato_excel&amp;utm_source=act_formato_excel&amp;utm_campaign=act_formato_excel&amp;utm_content=act_formato_excel_link" xr:uid="{E0964A8C-CBE3-4E3A-B488-5F9EE0E4D5BB}"/>
    <hyperlink ref="B1589" r:id="rId1690" display="https://actualicese.com/intereses-moratorios-sobre-deudas-tributarias/?referer=L-excel-formato&amp;utm_medium=act_formato_excel&amp;utm_source=act_formato_excel&amp;utm_campaign=act_formato_excel&amp;utm_content=act_formato_excel_link" xr:uid="{161AE0BD-1103-44F4-8CA4-96C68C2B85F9}"/>
    <hyperlink ref="B1591" r:id="rId1691" display="https://actualicese.com/aportes-a-seguridad-social-para-trabajadores-independientes/?referer=L-excel-formato&amp;utm_medium=act_formato_excel&amp;utm_source=act_formato_excel&amp;utm_campaign=act_formato_excel&amp;utm_content=act_formato_excel_link" xr:uid="{6061C570-F36B-4AC1-B68E-B0ACDE799979}"/>
    <hyperlink ref="B1593" r:id="rId1692" display="https://actualicese.com/lista-de-convenios-internacionales-para-evitar-la-doble-tributacion-ano-gravable-2021/?referer=L-excel-formato&amp;utm_medium=act_formato_excel&amp;utm_source=act_formato_excel&amp;utm_campaign=act_formato_excel&amp;utm_content=act_formato_excel_link" xr:uid="{2AC2E381-AE1E-4CB0-9D74-B812A74374C3}"/>
    <hyperlink ref="B1539" r:id="rId1693" display="https://actualicese.com/pack-de-formatos-para-el-cierre-contable-y-fiscal-del-ano-gravable-2022/?referer=L-excel-formato&amp;utm_medium=act_formato_excel&amp;utm_source=act_formato_excel&amp;utm_campaign=act_formato_excel&amp;utm_content=act_formato_excel_link" xr:uid="{3040B717-45DC-41DD-BD1A-869C7A43AE3C}"/>
    <hyperlink ref="B1537" r:id="rId1694" display="https://actualicese.com/convertidor-de-uvt/?referer=L-excel-formato&amp;utm_medium=act_formato_excel&amp;utm_source=act_formato_excel&amp;utm_campaign=act_formato_excel&amp;utm_content=act_formato_excel_link" xr:uid="{1FBE8BB1-7E6F-47EE-A417-00368449BC12}"/>
    <hyperlink ref="B1435" r:id="rId1695" display="https://actualicese.com/liquidador-del-auxilio-de-incapacidad-de-origen-comun-para-trabajador-independiente/?referer=L-excel-formato&amp;utm_medium=act_formato_excel&amp;utm_source=act_formato_excel&amp;utm_campaign=act_formato_excel&amp;utm_content=act_formato_excel_link" xr:uid="{E470DE4B-2262-4C90-835D-50875507C47F}"/>
    <hyperlink ref="B1437" r:id="rId1696" display="https://actualicese.com/liquidador-de-auxilio-de-incapacidad-aplicado-a-salario-variable-fijo-o-integral/?referer=L-excel-formato&amp;utm_medium=act_formato_excel&amp;utm_source=act_formato_excel&amp;utm_campaign=act_formato_excel&amp;utm_content=act_formato_excel_link" xr:uid="{C8C8CB63-B855-4A84-8609-8775188EC271}"/>
    <hyperlink ref="B1439" r:id="rId1697" display="https://actualicese.com/calendario-tributario-2023-version-para-imprimir/?referer=L-excel-formato&amp;utm_medium=act_formato_excel&amp;utm_source=act_formato_excel&amp;utm_campaign=act_formato_excel&amp;utm_content=act_formato_excel_link" xr:uid="{F6FE6241-E4DE-454E-96FF-95F086AF9657}"/>
    <hyperlink ref="B1441" r:id="rId1698" display="https://actualicese.com/efectivo-y-equivalentes-al-efectivo-informe-sobre-los-hallazgos-obtenidos/?referer=L-excel-formato&amp;utm_medium=act_formato_excel&amp;utm_source=act_formato_excel&amp;utm_campaign=act_formato_excel&amp;utm_content=act_formato_excel_link" xr:uid="{C0706F9F-8878-45FE-B9DC-74FE7D0C6191}"/>
    <hyperlink ref="B1443" r:id="rId1699" display="https://actualicese.com/sancion-por-no-consignar-las-cesantias-y-no-pagar-los-intereses/?referer=L-excel-formato&amp;utm_medium=act_formato_excel&amp;utm_source=act_formato_excel&amp;utm_campaign=act_formato_excel&amp;utm_content=act_formato_excel_link" xr:uid="{2B14EFDC-10A6-456F-84BC-E8A0A9A7D981}"/>
    <hyperlink ref="B1445" r:id="rId1700" display="https://actualicese.com/simulador-de-sancion-por-no-pagar-la-liquidacion-del-contrato-laboral/?referer=L-excel-formato&amp;utm_medium=act_formato_excel&amp;utm_source=act_formato_excel&amp;utm_campaign=act_formato_excel&amp;utm_content=act_formato_excel_link" xr:uid="{6C878619-A77B-456A-8FC7-463E0583945A}"/>
    <hyperlink ref="B1447" r:id="rId1701" display="https://actualicese.com/simulador-en-excel-para-realizar-la-liquidacion-de-contratos-de-trabajo/?referer=L-excel-formato&amp;utm_medium=act_formato_excel&amp;utm_source=act_formato_excel&amp;utm_campaign=act_formato_excel&amp;utm_content=act_formato_excel_link" xr:uid="{C13704E2-C649-4B03-83D8-28B48A9EC763}"/>
    <hyperlink ref="B1449" r:id="rId1702" display="https://actualicese.com/certificacion-del-contador-o-revisor-fiscal-para-la-inscripcion-de-libros-en-la-camara-de-comercio/?referer=L-excel-formato&amp;utm_medium=act_formato_excel&amp;utm_source=act_formato_excel&amp;utm_campaign=act_formato_excel&amp;utm_content=act_formato_excel_link" xr:uid="{5ED119B9-B6EA-4263-AB27-2248BFB59D1E}"/>
    <hyperlink ref="B1451" r:id="rId1703" display="https://actualicese.com/informe-de-revision-de-informacion-financiera-intermedia-sin-salvedades/?referer=L-excel-formato&amp;utm_medium=act_formato_excel&amp;utm_source=act_formato_excel&amp;utm_campaign=act_formato_excel&amp;utm_content=act_formato_excel_link" xr:uid="{0FB50E11-4D75-45B7-B9A2-5085A1AE9A70}"/>
    <hyperlink ref="B1453" r:id="rId1704" display="https://actualicese.com/informe-de-revision-de-informacion-financiera-intermedia-con-salvedades/?referer=L-excel-formato&amp;utm_medium=act_formato_excel&amp;utm_source=act_formato_excel&amp;utm_campaign=act_formato_excel&amp;utm_content=act_formato_excel_link" xr:uid="{926C8F2C-9EC4-4662-B728-C01E0C42F8B4}"/>
    <hyperlink ref="B1455" r:id="rId1705" display="https://actualicese.com/modelo-de-dictamen-del-revisor-fiscal-para-empresas-en-liquidacion-opinion-favorable/?referer=L-excel-formato&amp;utm_medium=act_formato_excel&amp;utm_source=act_formato_excel&amp;utm_campaign=act_formato_excel&amp;utm_content=act_formato_excel_link" xr:uid="{EFBDEF08-8907-43CB-8E10-9B3FD1EF9C3A}"/>
    <hyperlink ref="B1457" r:id="rId1706" display="https://actualicese.com/informe-del-revisor-fiscal-dirigido-a-la-asamblea-de-accionistas-o-junta-de-socios/?referer=L-excel-formato&amp;utm_medium=act_formato_excel&amp;utm_source=act_formato_excel&amp;utm_campaign=act_formato_excel&amp;utm_content=act_formato_excel_link" xr:uid="{25328C20-5A44-4181-B133-2BD1735574C2}"/>
    <hyperlink ref="B1459" r:id="rId1707" display="https://actualicese.com/informe-nisr-4400-para-revision-de-requerimientos-del-programa-de-incentivo-por-creacion-de-nuevos-empleos/?referer=L-excel-formato&amp;utm_medium=act_formato_excel&amp;utm_source=act_formato_excel&amp;utm_campaign=act_formato_excel&amp;utm_content=act_formato_excel_link" xr:uid="{2399D240-B95F-480E-A4DF-041BA81A47CC}"/>
    <hyperlink ref="B1461" r:id="rId1708" display="https://actualicese.com/comparativo-de-las-normas-afectadas-por-la-reforma-tributaria-ley-2277-de-2022/?referer=L-excel-formato&amp;utm_medium=act_formato_excel&amp;utm_source=act_formato_excel&amp;utm_campaign=act_formato_excel&amp;utm_content=act_formato_excel_link" xr:uid="{305816AE-D65B-4D17-ABAC-EB1689C0D900}"/>
    <hyperlink ref="B1463" r:id="rId1709" display="https://actualicese.com/tabla-de-tarifas-de-honorarios-profesionales-para-contadores-publicos/?referer=L-excel-formato&amp;utm_medium=act_formato_excel&amp;utm_source=act_formato_excel&amp;utm_campaign=act_formato_excel&amp;utm_content=act_formato_excel_link" xr:uid="{DB7C3095-18B4-477C-B734-D0C119A5FC37}"/>
    <hyperlink ref="B1465" r:id="rId1710" display="https://actualicese.com/costo-de-la-contratacion-de-un-trabajador-que-devenga-un-salario-minimo-caso-practico/?referer=L-excel-formato&amp;utm_medium=act_formato_excel&amp;utm_source=act_formato_excel&amp;utm_campaign=act_formato_excel&amp;utm_content=act_formato_excel_link" xr:uid="{7FF0E616-DF09-49B0-9351-095E952DAB46}"/>
    <hyperlink ref="B1467" r:id="rId1711" display="https://actualicese.com/cuadro-tematico-con-las-normas-afectadas-por-la-ley-de-reforma-tributaria-2277-de-2022/?referer=L-excel-formato&amp;utm_medium=act_formato_excel&amp;utm_source=act_formato_excel&amp;utm_campaign=act_formato_excel&amp;utm_content=act_formato_excel_link" xr:uid="{7F3720D0-BFF0-42A4-85A3-86E056DF34FE}"/>
    <hyperlink ref="B1469" r:id="rId1712" display="https://actualicese.com/informe-sobre-los-hallazgos-obtenidos-en-las-cuentas-por-pagar/?referer=L-excel-formato&amp;utm_medium=act_formato_excel&amp;utm_source=act_formato_excel&amp;utm_campaign=act_formato_excel&amp;utm_content=act_formato_excel_link" xr:uid="{BAE0E152-6BAC-48AD-9BD8-9B277F3F2815}"/>
    <hyperlink ref="B1471" r:id="rId1713" display="https://actualicese.com/informe-sobre-los-hallazgos-obtenidos-en-los-inventarios/?referer=L-excel-formato&amp;utm_medium=act_formato_excel&amp;utm_source=act_formato_excel&amp;utm_campaign=act_formato_excel&amp;utm_content=act_formato_excel_link" xr:uid="{ACC4DFE4-E5B8-45B8-B83E-1B99181DE2B7}"/>
    <hyperlink ref="B1473" r:id="rId1714" display="https://actualicese.com/informe-de-verificacion-del-cumplimiento-de-los-requerimientos-del-paef-segun-la-nisr-4400/?referer=L-excel-formato&amp;utm_medium=act_formato_excel&amp;utm_source=act_formato_excel&amp;utm_campaign=act_formato_excel&amp;utm_content=act_formato_excel_link" xr:uid="{CD9A28B3-F07D-4EFA-8F99-2C6C00449E3F}"/>
    <hyperlink ref="B1475" r:id="rId1715" display="https://actualicese.com/formatos-de-analisis-financiero-en-excel/?referer=L-excel-formato&amp;utm_medium=act_formato_excel&amp;utm_source=act_formato_excel&amp;utm_campaign=act_formato_excel&amp;utm_content=act_formato_excel_link" xr:uid="{768D726C-D0CC-494E-8E54-1218FF909B78}"/>
    <hyperlink ref="B1477" r:id="rId1716" display="https://actualicese.com/informe-de-verificacion-del-cumplimiento-del-sistema-de-facturacion-y-de-nomina-electronica/?referer=L-excel-formato&amp;utm_medium=act_formato_excel&amp;utm_source=act_formato_excel&amp;utm_campaign=act_formato_excel&amp;utm_content=act_formato_excel_link" xr:uid="{2B1915FF-4313-4E70-A025-E99483796A64}"/>
    <hyperlink ref="B1479" r:id="rId1717" display="https://actualicese.com/guia-en-word-con-los-principales-cambios-en-el-impuesto-de-renta-de-las-personas-juridicas-segun-la-reforma-tributaria-2022/?referer=L-excel-formato&amp;utm_medium=act_formato_excel&amp;utm_source=act_formato_excel&amp;utm_campaign=act_formato_excel&amp;utm_content=act_formato_excel_link" xr:uid="{A0E0CE27-15BB-40E7-B142-06954BF6C887}"/>
    <hyperlink ref="B1481" r:id="rId1718" display="https://actualicese.com/liquidador-en-excel-del-porcentaje-fijo-de-retencion-en-la-fuente-sobre-salarios-en-diciembre-de-2022-procedimiento-2/?referer=L-excel-formato&amp;utm_medium=act_formato_excel&amp;utm_source=act_formato_excel&amp;utm_campaign=act_formato_excel&amp;utm_content=act_formato_excel_link" xr:uid="{7F422737-3863-4C9F-9C11-D72FA5ED39C2}"/>
    <hyperlink ref="B1483" r:id="rId1719" display="https://actualicese.com/liquidador-modelo-en-excel-para-calcular-la-nueva-tasa-minima-de-tributacion-de-las-personas-juridicas-segun-reforma-tributaria-2022/?referer=L-excel-formato&amp;utm_medium=act_formato_excel&amp;utm_source=act_formato_excel&amp;utm_campaign=act_formato_excel&amp;utm_content=act_formato_excel_link" xr:uid="{138E1EC3-1345-4CD1-B58C-232D0F81AA59}"/>
    <hyperlink ref="B1485" r:id="rId1720" display="https://actualicese.com/modelo-en-excel-para-calcular-el-valor-en-pesos-del-impuesto-a-las-bebidas-azucaradas-segun-reforma-tributaria-2022/?referer=L-excel-formato&amp;utm_medium=act_formato_excel&amp;utm_source=act_formato_excel&amp;utm_campaign=act_formato_excel&amp;utm_content=act_formato_excel_link" xr:uid="{64A27AEE-EC98-415E-A51C-5B43FD0A0068}"/>
    <hyperlink ref="B1487" r:id="rId1721" display="https://actualicese.com/modelo-calculo-de-intereses-sobre-las-cesantias/?referer=L-excel-formato&amp;utm_medium=act_formato_excel&amp;utm_source=act_formato_excel&amp;utm_campaign=act_formato_excel&amp;utm_content=act_formato_excel_link" xr:uid="{5A171256-6DB9-43E8-B57B-17C86F9392AF}"/>
    <hyperlink ref="B1489" r:id="rId1722" display="https://actualicese.com/comprobante-de-pago-intereses-a-las-cesantias/?referer=L-excel-formato&amp;utm_medium=act_formato_excel&amp;utm_source=act_formato_excel&amp;utm_campaign=act_formato_excel&amp;utm_content=act_formato_excel_link" xr:uid="{CA2F444E-F779-43DD-94A3-0F4C5CC11492}"/>
    <hyperlink ref="B1491" r:id="rId1723" display="https://actualicese.com/formulas-para-liquidacion-de-prestaciones-vacaciones-y-horas-extras/?referer=L-excel-formato&amp;utm_medium=act_formato_excel&amp;utm_source=act_formato_excel&amp;utm_campaign=act_formato_excel&amp;utm_content=act_formato_excel_link" xr:uid="{17902566-01B3-4A07-B652-4AB9EDB7B48F}"/>
    <hyperlink ref="B1493" r:id="rId1724" display="https://actualicese.com/metodos-de-medicion-de-activos-y-pasivos-segun-el-estandar-para-pymes/?referer=L-excel-formato&amp;utm_medium=act_formato_excel&amp;utm_source=act_formato_excel&amp;utm_campaign=act_formato_excel&amp;utm_content=act_formato_excel_link" xr:uid="{9DEA8FBE-7144-4B74-A219-C9435BE1E75E}"/>
    <hyperlink ref="B1495" r:id="rId1725" display="https://actualicese.com/informe-de-compilacion-de-estados-financieros-con-fines-generales/?referer=L-excel-formato&amp;utm_medium=act_formato_excel&amp;utm_source=act_formato_excel&amp;utm_campaign=act_formato_excel&amp;utm_content=act_formato_excel_link" xr:uid="{17209E79-DA8D-41E3-A80F-A2FBD244F7B9}"/>
    <hyperlink ref="B1497" r:id="rId1726" display="https://actualicese.com/informe-de-compilacion-de-estados-financieros-con-fines-especificos/?referer=L-excel-formato&amp;utm_medium=act_formato_excel&amp;utm_source=act_formato_excel&amp;utm_campaign=act_formato_excel&amp;utm_content=act_formato_excel_link" xr:uid="{C14EF5C7-69B4-4952-B3E4-DA44C1D47D1D}"/>
    <hyperlink ref="B1499" r:id="rId1727" display="https://actualicese.com/dictamen-del-revisor-fiscal-en-entidades-del-grupo-3-opinion-favorable/?referer=L-excel-formato&amp;utm_medium=act_formato_excel&amp;utm_source=act_formato_excel&amp;utm_campaign=act_formato_excel&amp;utm_content=act_formato_excel_link" xr:uid="{F0C2CC9A-BDF0-457D-9ADE-1D3D53A2CF8B}"/>
    <hyperlink ref="B1501" r:id="rId1728" display="https://actualicese.com/liquidador-y-desprendible-de-nomina-basico-en-excel/?referer=L-excel-formato&amp;utm_medium=act_formato_excel&amp;utm_source=act_formato_excel&amp;utm_campaign=act_formato_excel&amp;utm_content=act_formato_excel_link" xr:uid="{7FB9E6F4-1F43-4577-8B86-5D8059607711}"/>
    <hyperlink ref="B1503" r:id="rId1729" display="https://actualicese.com/dictamen-de-revisor-fiscal-con-comunicacion-de-cuestiones-clave-y-parrafo-de-enfasis/?referer=L-excel-formato&amp;utm_medium=act_formato_excel&amp;utm_source=act_formato_excel&amp;utm_campaign=act_formato_excel&amp;utm_content=act_formato_excel_link" xr:uid="{3D4A39AC-73C1-494F-9A10-4FA556664C07}"/>
    <hyperlink ref="B1505" r:id="rId1730" display="https://actualicese.com/estados-financieros-consolidados-opinion-desfavorable-por-incorreccion-material/?referer=L-excel-formato&amp;utm_medium=act_formato_excel&amp;utm_source=act_formato_excel&amp;utm_campaign=act_formato_excel&amp;utm_content=act_formato_excel_link" xr:uid="{3EAF92D6-2DF4-44AD-930A-27D93FFB83CD}"/>
    <hyperlink ref="B1507" r:id="rId1731" display="https://actualicese.com/estados-financieros-consolidados-opinion-con-salvedades-cuando-no-se-obtiene-evidencia/?referer=L-excel-formato&amp;utm_medium=act_formato_excel&amp;utm_source=act_formato_excel&amp;utm_campaign=act_formato_excel&amp;utm_content=act_formato_excel_link" xr:uid="{C3AE472C-A9E0-429A-A4D8-7B875604BE0D}"/>
    <hyperlink ref="B1509" r:id="rId1732" display="https://actualicese.com/dictamen-de-revisor-fiscal-con-parrafos-de-cuestiones-clave-y-otras-cuestiones/?referer=L-excel-formato&amp;utm_medium=act_formato_excel&amp;utm_source=act_formato_excel&amp;utm_campaign=act_formato_excel&amp;utm_content=act_formato_excel_link" xr:uid="{FC9DEB03-8562-41B2-B40C-5751AC176B45}"/>
    <hyperlink ref="B1511" r:id="rId1733" display="https://actualicese.com/estados-financieros-consolidados-dictamen-sin-salvedades/?referer=L-excel-formato&amp;utm_medium=act_formato_excel&amp;utm_source=act_formato_excel&amp;utm_campaign=act_formato_excel&amp;utm_content=act_formato_excel_link" xr:uid="{60094330-6CBB-4A3E-89BB-8FBC69069FC1}"/>
    <hyperlink ref="B1513" r:id="rId1734" display="https://actualicese.com/lista-de-convenios-internacionales-para-evitar-la-doble-tributacion-ano-gravable-2021/?referer=L-excel-formato&amp;utm_medium=act_formato_excel&amp;utm_source=act_formato_excel&amp;utm_campaign=act_formato_excel&amp;utm_content=act_formato_excel_link" xr:uid="{12BD85E8-DB3E-4AF9-A41D-533D3329EFAC}"/>
    <hyperlink ref="B1515" r:id="rId1735" display="https://actualicese.com/dupont-indice-de-rentabilidad/?referer=L-excel-formato&amp;utm_medium=act_formato_excel&amp;utm_source=act_formato_excel&amp;utm_campaign=act_formato_excel&amp;utm_content=act_formato_excel_link" xr:uid="{7888E352-3D05-4E16-9CED-62D96519E9C1}"/>
    <hyperlink ref="B1517" r:id="rId1736" display="https://actualicese.com/modelo-de-dictamen-con-opinion-adversa-o-desfavorable/?referer=L-excel-formato&amp;utm_medium=act_formato_excel&amp;utm_source=act_formato_excel&amp;utm_campaign=act_formato_excel&amp;utm_content=act_formato_excel_link" xr:uid="{2FB0F33E-11E0-4ED1-8EDF-7C82ED779DD6}"/>
    <hyperlink ref="B1519" r:id="rId1737" display="https://actualicese.com/intereses-moratorios-sobre-deudas-tributarias/?referer=L-excel-formato&amp;utm_medium=act_formato_excel&amp;utm_source=act_formato_excel&amp;utm_campaign=act_formato_excel&amp;utm_content=act_formato_excel_link" xr:uid="{2D02B472-EB4B-4531-BE4B-3B1FA3330F03}"/>
    <hyperlink ref="B1521" r:id="rId1738" display="https://actualicese.com/indicadores-financieros-de-endeudamiento/?referer=L-excel-formato&amp;utm_medium=act_formato_excel&amp;utm_source=act_formato_excel&amp;utm_campaign=act_formato_excel&amp;utm_content=act_formato_excel_link" xr:uid="{48EEA4BF-9F82-4561-B617-867D00AEE56C}"/>
    <hyperlink ref="B1523" r:id="rId1739" display="https://actualicese.com/guia-en-excel-y-casos-practicos-de-tributacion-en-el-impuesto-de-renta-de-los-dividendos-y-participaciones-2022/?referer=L-excel-formato&amp;utm_medium=act_formato_excel&amp;utm_source=act_formato_excel&amp;utm_campaign=act_formato_excel&amp;utm_content=act_formato_excel_link" xr:uid="{6D8674D0-FCD5-4D4A-8617-0760FA803F0B}"/>
    <hyperlink ref="B1525" r:id="rId1740" display="https://actualicese.com/casos-practicos-de-liquidacion-de-aportes-a-seguridad-social-de-independientes-con-varios-contratos-de-prestacion-de-servicios/?referer=L-excel-formato&amp;utm_medium=act_formato_excel&amp;utm_source=act_formato_excel&amp;utm_campaign=act_formato_excel&amp;utm_content=act_formato_excel_link" xr:uid="{232D6CC8-C1E6-4C41-897B-42C2110DCA25}"/>
    <hyperlink ref="B1527" r:id="rId1741" display="https://actualicese.com/grados-de-apalancamiento-financiero-y-operativo/?referer=L-excel-formato&amp;utm_medium=act_formato_excel&amp;utm_source=act_formato_excel&amp;utm_campaign=act_formato_excel&amp;utm_content=act_formato_excel_link" xr:uid="{A99A0332-932B-41AA-955B-7FCBE0783DA4}"/>
    <hyperlink ref="B1529" r:id="rId1742" display="https://actualicese.com/indicadores-financieros-margenes-de-utilidad-o-rentabilidad/?referer=L-excel-formato&amp;utm_medium=act_formato_excel&amp;utm_source=act_formato_excel&amp;utm_campaign=act_formato_excel&amp;utm_content=act_formato_excel_link" xr:uid="{E451EB2B-9131-42DA-932D-E1B430D22D5F}"/>
    <hyperlink ref="B1531" r:id="rId1743" display="https://actualicese.com/indicadores-financieros-de-liquidez/?referer=L-excel-formato&amp;utm_medium=act_formato_excel&amp;utm_source=act_formato_excel&amp;utm_campaign=act_formato_excel&amp;utm_content=act_formato_excel_link" xr:uid="{ABDBBF27-4165-484D-8A07-83F756157913}"/>
    <hyperlink ref="B1533" r:id="rId1744" display="https://actualicese.com/informe-de-revisor-fiscal-bajo-nia-701-comunicacion-de-las-cuestiones-clave-de-auditoria/?referer=L-excel-formato&amp;utm_medium=act_formato_excel&amp;utm_source=act_formato_excel&amp;utm_campaign=act_formato_excel&amp;utm_content=act_formato_excel_link" xr:uid="{C84DA947-49D6-47EC-99DF-8A796221A836}"/>
    <hyperlink ref="B1535" r:id="rId1745" display="https://actualicese.com/dictamen-de-revisor-fiscal-que-incluye-opinion-con-salvedades/?referer=L-excel-formato&amp;utm_medium=act_formato_excel&amp;utm_source=act_formato_excel&amp;utm_campaign=act_formato_excel&amp;utm_content=act_formato_excel_link" xr:uid="{91ED8C68-D125-482B-AF11-8FAB7EF733CB}"/>
    <hyperlink ref="B1349" r:id="rId1746" display="https://actualicese.com/modelo-basico-en-excel-para-proyectar-el-impuesto-al-patrimonio-anos-2023-y-siguientes/?referer=L-excel-formato&amp;utm_medium=act_formato_excel&amp;utm_source=act_formato_excel&amp;utm_campaign=act_formato_excel&amp;utm_content=act_formato_excel_link" xr:uid="{9D2709CC-E0B9-48CF-9DC7-9DE6CCB6885E}"/>
    <hyperlink ref="B1351" r:id="rId1747" display="https://actualicese.com/calendario-tributario-2023-version-automatizada-en-excel/?referer=L-excel-formato&amp;utm_medium=act_formato_excel&amp;utm_source=act_formato_excel&amp;utm_campaign=act_formato_excel&amp;utm_content=act_formato_excel_link" xr:uid="{BE3439B6-0047-4B0C-8EE0-1A6A778A98F5}"/>
    <hyperlink ref="B1353" r:id="rId1748" display="https://actualicese.com/convocatoria-a-asamblea-general-ordinaria-de-sociosaccionistas/?referer=L-excel-formato&amp;utm_medium=act_formato_excel&amp;utm_source=act_formato_excel&amp;utm_campaign=act_formato_excel&amp;utm_content=act_formato_excel_link" xr:uid="{A05510D2-5E5B-4476-8553-1EF84FF90833}"/>
    <hyperlink ref="B1355" r:id="rId1749" display="https://actualicese.com/convocatoria-a-una-reunion-extraordinaria/?referer=L-excel-formato&amp;utm_medium=act_formato_excel&amp;utm_source=act_formato_excel&amp;utm_campaign=act_formato_excel&amp;utm_content=act_formato_excel_link" xr:uid="{15E66B87-B8CA-49EB-A18B-E43CDB3E334C}"/>
    <hyperlink ref="B1357" r:id="rId1750" display="https://actualicese.com/reparto-de-utilidades-pago-de-dividendos/?referer=L-excel-formato&amp;utm_medium=act_formato_excel&amp;utm_source=act_formato_excel&amp;utm_campaign=act_formato_excel&amp;utm_content=act_formato_excel_link" xr:uid="{B618C20F-57D0-4D7C-B88D-71D47C2772A1}"/>
    <hyperlink ref="B1359" r:id="rId1751" display="https://actualicese.com/poder-de-representacion-en-asamblea-de-accionistas-o-junta-de-socios/?referer=L-excel-formato&amp;utm_medium=act_formato_excel&amp;utm_source=act_formato_excel&amp;utm_campaign=act_formato_excel&amp;utm_content=act_formato_excel_link" xr:uid="{F38336C4-FF6B-4973-80DD-3EC476DDBB4E}"/>
    <hyperlink ref="B1361" r:id="rId1752" display="https://actualicese.com/acta-de-asamblea-general/?referer=L-excel-formato&amp;utm_medium=act_formato_excel&amp;utm_source=act_formato_excel&amp;utm_campaign=act_formato_excel&amp;utm_content=act_formato_excel_link" xr:uid="{39EF0FC4-C389-42D9-BE3B-87B17B155733}"/>
    <hyperlink ref="B1363" r:id="rId1753" display="https://actualicese.com/segunda-convocatoria-de-asamblea-de-accionistas-o-junta-de-socios/?referer=L-excel-formato&amp;utm_medium=act_formato_excel&amp;utm_source=act_formato_excel&amp;utm_campaign=act_formato_excel&amp;utm_content=act_formato_excel_link" xr:uid="{D7174016-D547-4437-A361-90183CCDDA28}"/>
    <hyperlink ref="B1365" r:id="rId1754" display="https://actualicese.com/planilla-de-asistencia-y-toma-de-decisiones-en-asambleas-de-accionistas-o-juntas-de-socios/?referer=L-excel-formato&amp;utm_medium=act_formato_excel&amp;utm_source=act_formato_excel&amp;utm_campaign=act_formato_excel&amp;utm_content=act_formato_excel_link" xr:uid="{7918A4B0-F0C5-4C8A-BDE4-BF257477A90E}"/>
    <hyperlink ref="B1367" r:id="rId1755" display="https://actualicese.com/guia-clasificacion-de-las-personas-juridicas-frente-al-impuesto-de-renta-y-al-simple-ag-2022/?referer=L-excel-formato&amp;utm_medium=act_formato_excel&amp;utm_source=act_formato_excel&amp;utm_campaign=act_formato_excel&amp;utm_content=act_formato_excel_link" xr:uid="{E4A1DD4D-DCF2-4845-9A37-34A228DD5164}"/>
    <hyperlink ref="B1369" r:id="rId1756" display="https://actualicese.com/horas-diurnas-nocturnas-extras-dominicales-y-festivas/?referer=L-excel-formato&amp;utm_medium=act_formato_excel&amp;utm_source=act_formato_excel&amp;utm_campaign=act_formato_excel&amp;utm_content=act_formato_excel_link" xr:uid="{2D8B44A4-715D-4D00-85DD-F1ED55C623EA}"/>
    <hyperlink ref="B1371" r:id="rId1757" display="https://actualicese.com/liquidador-de-prestaciones-sociales/?referer=L-excel-formato&amp;utm_medium=act_formato_excel&amp;utm_source=act_formato_excel&amp;utm_campaign=act_formato_excel&amp;utm_content=act_formato_excel_link" xr:uid="{A404DA55-5CB1-4B89-94A4-400C2B878C58}"/>
    <hyperlink ref="B1373" r:id="rId1758" display="https://actualicese.com/liquidador-automatizado-de-la-prima-de-servicios-con-comprobante-de-pago/?referer=L-excel-formato&amp;utm_medium=act_formato_excel&amp;utm_source=act_formato_excel&amp;utm_campaign=act_formato_excel&amp;utm_content=act_formato_excel_link" xr:uid="{1DA1232A-B237-4CB7-989B-548FD9342AFA}"/>
    <hyperlink ref="B1375" r:id="rId1759" display="https://actualicese.com/historico-de-salario-minimo-y-auxilio-de-transporte-1990-2023/?referer=L-excel-formato&amp;utm_medium=act_formato_excel&amp;utm_source=act_formato_excel&amp;utm_campaign=act_formato_excel&amp;utm_content=act_formato_excel_link" xr:uid="{DD7F0ADE-BA3E-4444-B833-CC7D11F48DBD}"/>
    <hyperlink ref="B1377" r:id="rId1760" display="https://actualicese.com/historico-de-la-variacion-nominal-del-salario-minimo-e-inflacion-1993-2023/?referer=L-excel-formato&amp;utm_medium=act_formato_excel&amp;utm_source=act_formato_excel&amp;utm_campaign=act_formato_excel&amp;utm_content=act_formato_excel_link" xr:uid="{23832742-2E69-4E73-8D1C-5761F66C3ED7}"/>
    <hyperlink ref="B1379" r:id="rId1761" display="https://actualicese.com/responsabilidad-en-seguridad-social-de-trabajadores-independientes/?referer=L-excel-formato&amp;utm_medium=act_formato_excel&amp;utm_source=act_formato_excel&amp;utm_campaign=act_formato_excel&amp;utm_content=act_formato_excel_link" xr:uid="{BA61C0AE-715B-40A2-BC51-B1644163EDF1}"/>
    <hyperlink ref="B1381" r:id="rId1762" display="https://actualicese.com/modelo-del-certificado-anual-a-socios-o-accionistas/?referer=L-excel-formato&amp;utm_medium=act_formato_excel&amp;utm_source=act_formato_excel&amp;utm_campaign=act_formato_excel&amp;utm_content=act_formato_excel_link" xr:uid="{71AFB723-FF35-43B8-A739-D2510A120096}"/>
    <hyperlink ref="B1383" r:id="rId1763" display="https://actualicese.com/aportes-a-seguridad-social-para-trabajadores-independientes/?referer=L-excel-formato&amp;utm_medium=act_formato_excel&amp;utm_source=act_formato_excel&amp;utm_campaign=act_formato_excel&amp;utm_content=act_formato_excel_link" xr:uid="{3EB1C9E2-2920-4552-B99A-96BC20D23323}"/>
    <hyperlink ref="B1385" r:id="rId1764" display="https://actualicese.com/liquidador-de-aportes-a-seguridad-social-de-independientes-por-cuenta-propia-y-rentistas-de-capital/?referer=L-excel-formato&amp;utm_medium=act_formato_excel&amp;utm_source=act_formato_excel&amp;utm_campaign=act_formato_excel&amp;utm_content=act_formato_excel_link" xr:uid="{DF426C19-A46C-4063-B1C5-1B9BF23C12AA}"/>
    <hyperlink ref="B1387" r:id="rId1765" display="https://actualicese.com/calendario-tributario-distrital-2023/?referer=L-excel-formato&amp;utm_medium=act_formato_excel&amp;utm_source=act_formato_excel&amp;utm_campaign=act_formato_excel&amp;utm_content=act_formato_excel_link" xr:uid="{0CE1695B-2140-4A7A-81E6-20193E8DFC82}"/>
    <hyperlink ref="B1389" r:id="rId1766" display="https://actualicese.com/guia-informacion-laboral-2023/?referer=L-excel-formato&amp;utm_medium=act_formato_excel&amp;utm_source=act_formato_excel&amp;utm_campaign=act_formato_excel&amp;utm_content=act_formato_excel_link" xr:uid="{6BFF9818-4D8B-4334-9990-24B0693DC079}"/>
    <hyperlink ref="B1391" r:id="rId1767" display="https://actualicese.com/solicitud-compensacion-en-dinero-de-las-vacaciones/?referer=L-excel-formato&amp;utm_medium=act_formato_excel&amp;utm_source=act_formato_excel&amp;utm_campaign=act_formato_excel&amp;utm_content=act_formato_excel_link" xr:uid="{8CD01311-2DE5-461D-8AD1-81AF3581AE1C}"/>
    <hyperlink ref="B1393" r:id="rId1768" display="https://actualicese.com/historico-de-indice-de-precios-al-consumidor-ipc/?referer=L-excel-formato&amp;utm_medium=act_formato_excel&amp;utm_source=act_formato_excel&amp;utm_campaign=act_formato_excel&amp;utm_content=act_formato_excel_link" xr:uid="{E09B3847-8640-40C7-8486-1CF554AFEBA8}"/>
    <hyperlink ref="B1395" r:id="rId1769" display="https://actualicese.com/cuadro-comparativo-de-regimenes-pensionales-en-colombia/?referer=L-excel-formato&amp;utm_medium=act_formato_excel&amp;utm_source=act_formato_excel&amp;utm_campaign=act_formato_excel&amp;utm_content=act_formato_excel_link" xr:uid="{228DE1C4-36EE-4C7B-8BE9-80A50D1C37C1}"/>
    <hyperlink ref="B1397" r:id="rId1770" display="https://actualicese.com/notificacion-a-trabajadores-que-no-tienen-derecho-a-la-prima-de-servicios/?referer=L-excel-formato&amp;utm_medium=act_formato_excel&amp;utm_source=act_formato_excel&amp;utm_campaign=act_formato_excel&amp;utm_content=act_formato_excel_link" xr:uid="{563B2961-4FC9-4165-B05C-769986F48A6F}"/>
    <hyperlink ref="B1399" r:id="rId1771" display="https://actualicese.com/notificacion-de-embargo-de-la-prima-de-servicios/?referer=L-excel-formato&amp;utm_medium=act_formato_excel&amp;utm_source=act_formato_excel&amp;utm_campaign=act_formato_excel&amp;utm_content=act_formato_excel_link" xr:uid="{1BA585BA-DA49-4357-9E7B-9E399492AF9F}"/>
    <hyperlink ref="B1401" r:id="rId1772" display="https://actualicese.com/dictamenes-e-informes-del-revisor-fiscal-actualizados-al-2022/?referer=L-excel-formato&amp;utm_medium=act_formato_excel&amp;utm_source=act_formato_excel&amp;utm_campaign=act_formato_excel&amp;utm_content=act_formato_excel_link" xr:uid="{D56C10D7-5ADD-45AE-9DA7-51FEB7B78EA2}"/>
    <hyperlink ref="B1403" r:id="rId1773" display="https://actualicese.com/tabla-de-retencion-en-la-fuente-2023/?referer=L-excel-formato&amp;utm_medium=act_formato_excel&amp;utm_source=act_formato_excel&amp;utm_campaign=act_formato_excel&amp;utm_content=act_formato_excel_link" xr:uid="{F4AAAA6B-6C3C-4E1B-AA60-E82626CAEA0E}"/>
    <hyperlink ref="B1405" r:id="rId1774" display="https://actualicese.com/tablas-de-retencion-en-la-fuente-2023-a-titulo-de-impuestos-nacionales/?referer=L-excel-formato&amp;utm_medium=act_formato_excel&amp;utm_source=act_formato_excel&amp;utm_campaign=act_formato_excel&amp;utm_content=act_formato_excel_link" xr:uid="{619C7F9B-A08A-41B6-B5BE-2C2054A97548}"/>
    <hyperlink ref="B1407" r:id="rId1775" display="https://actualicese.com/12-liquidadores-para-calcular-la-prima-de-servicios-semestral/?referer=L-excel-formato&amp;utm_medium=act_formato_excel&amp;utm_source=act_formato_excel&amp;utm_campaign=act_formato_excel&amp;utm_content=act_formato_excel_link" xr:uid="{6E14218A-29DF-4C9D-8960-20900871E1CB}"/>
    <hyperlink ref="B1409" r:id="rId1776" display="https://actualicese.com/liquidador-de-cesantias-en-excel-aplicado-a-11-casos-practicos/?referer=L-excel-formato&amp;utm_medium=act_formato_excel&amp;utm_source=act_formato_excel&amp;utm_campaign=act_formato_excel&amp;utm_content=act_formato_excel_link" xr:uid="{44B9B673-B59B-4C8E-A666-BDF2FACFEA6A}"/>
    <hyperlink ref="B1411" r:id="rId1777" display="https://actualicese.com/liquidador-de-vacaciones-en-excel-aplicado-a-10-casos-practicos/?referer=L-excel-formato&amp;utm_medium=act_formato_excel&amp;utm_source=act_formato_excel&amp;utm_campaign=act_formato_excel&amp;utm_content=act_formato_excel_link" xr:uid="{E9D33A08-0E16-4D5B-A371-788C4304945B}"/>
    <hyperlink ref="B1413" r:id="rId1778" display="https://actualicese.com/liquidador-de-retencion-en-la-fuente-con-procedimiento-1-durante-2023-sobre-rentas-de-trabajo-laborales-y-no-laborales/?referer=L-excel-formato&amp;utm_medium=act_formato_excel&amp;utm_source=act_formato_excel&amp;utm_campaign=act_formato_excel&amp;utm_content=act_formato_excel_link" xr:uid="{F1A1A6ED-6CFD-445D-8939-23C5D71C7885}"/>
    <hyperlink ref="B1415" r:id="rId1779" display="https://actualicese.com/historico-de-la-trm-en-2022/?referer=L-excel-formato&amp;utm_medium=act_formato_excel&amp;utm_source=act_formato_excel&amp;utm_campaign=act_formato_excel&amp;utm_content=act_formato_excel_link" xr:uid="{BD6B0931-BB23-429A-9E5D-4E2D62059775}"/>
    <hyperlink ref="B1417" r:id="rId1780" display="https://actualicese.com/historico-de-tasas-de-intereses-moratorios-dian/?referer=L-excel-formato&amp;utm_medium=act_formato_excel&amp;utm_source=act_formato_excel&amp;utm_campaign=act_formato_excel&amp;utm_content=act_formato_excel_link" xr:uid="{D0221360-0056-4683-A270-85249BDFF502}"/>
    <hyperlink ref="B1419" r:id="rId1781" display="https://actualicese.com/liquidador-historico-de-porcentajes-de-reajuste-fiscal/?referer=L-excel-formato&amp;utm_medium=act_formato_excel&amp;utm_source=act_formato_excel&amp;utm_campaign=act_formato_excel&amp;utm_content=act_formato_excel_link" xr:uid="{0F71FAA9-71DA-44C4-B3CF-D1EFA95FFAAC}"/>
    <hyperlink ref="B1421" r:id="rId1782" display="https://actualicese.com/listado-de-convenios-internacionales-para-evitar-la-doble-tributacion-ano-gravable-2022-y-2023/?referer=L-excel-formato&amp;utm_medium=act_formato_excel&amp;utm_source=act_formato_excel&amp;utm_campaign=act_formato_excel&amp;utm_content=act_formato_excel_link" xr:uid="{DE3DE2A2-E6C9-4B17-80A0-5AEE0F25FA96}"/>
    <hyperlink ref="B1423" r:id="rId1783" display="https://actualicese.com/manifestacion-sobre-las-pruebas-de-cumplimiento-y-sustantivas-en-informe-de-control-interno/?referer=L-excel-formato&amp;utm_medium=act_formato_excel&amp;utm_source=act_formato_excel&amp;utm_campaign=act_formato_excel&amp;utm_content=act_formato_excel_link" xr:uid="{19C4B105-582F-40DD-85B3-F4E653446BE3}"/>
    <hyperlink ref="B1425" r:id="rId1784" display="https://actualicese.com/carta-de-aceptacion-de-un-encargo-de-auditoria-concreto/?referer=L-excel-formato&amp;utm_medium=act_formato_excel&amp;utm_source=act_formato_excel&amp;utm_campaign=act_formato_excel&amp;utm_content=act_formato_excel_link" xr:uid="{41F98BEB-6D45-4373-BA27-1F8D2B830603}"/>
    <hyperlink ref="B1427" r:id="rId1785" display="https://actualicese.com/informe-de-auditoria-sobre-un-solo-estado-financiero-elemento-partida-o-cuenta-especificos/?referer=L-excel-formato&amp;utm_medium=act_formato_excel&amp;utm_source=act_formato_excel&amp;utm_campaign=act_formato_excel&amp;utm_content=act_formato_excel_link" xr:uid="{B9E808B8-984B-4BDA-9EDB-08DA3DC0A4B6}"/>
    <hyperlink ref="B1429" r:id="rId1786" display="https://actualicese.com/informe-del-revisor-fiscal-sobre-irregularidades-y-deficiencias-en-el-control-interno/?referer=L-excel-formato&amp;utm_medium=act_formato_excel&amp;utm_source=act_formato_excel&amp;utm_campaign=act_formato_excel&amp;utm_content=act_formato_excel_link" xr:uid="{DFF951AC-A2DB-4F55-A7A6-196AA5600BEF}"/>
    <hyperlink ref="B1431" r:id="rId1787" display="https://actualicese.com/liquidador-de-prestaciones-sociales-en-periodo-de-incapacidad/?referer=L-excel-formato&amp;utm_medium=act_formato_excel&amp;utm_source=act_formato_excel&amp;utm_campaign=act_formato_excel&amp;utm_content=act_formato_excel_link" xr:uid="{A5E01473-CFE7-4D61-82CF-504E2B80A162}"/>
    <hyperlink ref="B1433" r:id="rId1788" display="https://actualicese.com/liquidador-de-auxilio-de-incapacidad-valores-asumidos-por-el-empleador-la-eps-o-la-arl/?referer=L-excel-formato&amp;utm_medium=act_formato_excel&amp;utm_source=act_formato_excel&amp;utm_campaign=act_formato_excel&amp;utm_content=act_formato_excel_link" xr:uid="{DBE8C4AC-F814-4FB9-ADA1-64FB498E671E}"/>
    <hyperlink ref="B1335" r:id="rId1789" display="https://actualicese.com/reunion-del-maximo-organo-social-para-cambio-de-los-miembros-de-junta-directiva/?referer=L-excel-formato&amp;utm_medium=act_formato_excel&amp;utm_source=act_formato_excel&amp;utm_campaign=act_formato_excel&amp;utm_content=act_formato_excel_link" xr:uid="{1051F01F-35DA-40F5-A7F9-20C06E80ACAF}"/>
    <hyperlink ref="B1337" r:id="rId1790" display="https://actualicese.com/acta-asamblea-o-junta-extraordinaria-por-cambio-de-revisor-fiscal-renuncia-o-revocatoria/?referer=L-excel-formato&amp;utm_medium=act_formato_excel&amp;utm_source=act_formato_excel&amp;utm_campaign=act_formato_excel&amp;utm_content=act_formato_excel_link" xr:uid="{0E5A62CD-8FBD-421F-8B92-6E3109811285}"/>
    <hyperlink ref="B1339" r:id="rId1791" display="https://actualicese.com/reunion-de-junta-de-socios-o-asamblea-general-por-derecho-propio/?referer=L-excel-formato&amp;utm_medium=act_formato_excel&amp;utm_source=act_formato_excel&amp;utm_campaign=act_formato_excel&amp;utm_content=act_formato_excel_link" xr:uid="{96CF0156-C73C-444B-A506-49DA0CB1A6BD}"/>
    <hyperlink ref="B1341" r:id="rId1792" display="https://actualicese.com/ampliacion-del-termino-de-duracion-de-una-sociedad/?referer=L-excel-formato&amp;utm_medium=act_formato_excel&amp;utm_source=act_formato_excel&amp;utm_campaign=act_formato_excel&amp;utm_content=act_formato_excel_link" xr:uid="{99EC9285-B7D8-43C8-B48F-5988D58BD23C}"/>
    <hyperlink ref="B1343" r:id="rId1793" display="https://actualicese.com/intereses-moratorios-sobre-deudas-tributarias/?referer=L-excel-formato&amp;utm_medium=act_formato_excel&amp;utm_source=act_formato_excel&amp;utm_campaign=act_formato_excel&amp;utm_content=act_formato_excel_link" xr:uid="{D522F56E-EE31-4504-AAF8-E0B778C78E97}"/>
    <hyperlink ref="B1345" r:id="rId1794" display="https://actualicese.com/carta-para-notificar-la-exclusion-de-un-socio-de-la-sociedad/?referer=L-excel-formato&amp;utm_medium=act_formato_excel&amp;utm_source=act_formato_excel&amp;utm_campaign=act_formato_excel&amp;utm_content=act_formato_excel_link" xr:uid="{06592536-D822-4B90-827F-028D36CA358A}"/>
    <hyperlink ref="B1347" r:id="rId1795" display="https://actualicese.com/lista-de-chequeo-de-documentos-presentados-en-asamblea-de-accionistas-o-junta-de-socios/?referer=L-excel-formato&amp;utm_medium=act_formato_excel&amp;utm_source=act_formato_excel&amp;utm_campaign=act_formato_excel&amp;utm_content=act_formato_excel_link" xr:uid="{BA71E393-B65C-41C7-919F-FD7EEA1290A3}"/>
    <hyperlink ref="B1211" r:id="rId1796" display="https://actualicese.com/plantilla-del-formato-1647-para-el-reporte-de-ingresos-recibidos-para-terceros-exogena-2022/?referer=L-excel-formato&amp;utm_medium=act_formato_excel&amp;utm_source=act_formato_excel&amp;utm_campaign=act_formato_excel&amp;utm_content=act_formato_excel_link" xr:uid="{5AE351F4-4353-4219-8F02-5EEF3FDE36C9}"/>
    <hyperlink ref="B1215" r:id="rId1797" display="https://actualicese.com/plantilla-del-formato-1004-de-exogena-de-2022-reporte-de-descuentos-al-impuesto-de-renta-y-el-simple/?referer=L-excel-formato&amp;utm_medium=act_formato_excel&amp;utm_source=act_formato_excel&amp;utm_campaign=act_formato_excel&amp;utm_content=act_formato_excel_link" xr:uid="{D9716676-790D-4F85-A688-F08C22BD32E7}"/>
    <hyperlink ref="B1217" r:id="rId1798" display="https://actualicese.com/plantilla-del-formato-1003-para-el-reporte-de-exogena-2022-retenciones-que-le-practicaron-al-informante/?referer=L-excel-formato&amp;utm_medium=act_formato_excel&amp;utm_source=act_formato_excel&amp;utm_campaign=act_formato_excel&amp;utm_content=act_formato_excel_link" xr:uid="{3C988D84-8DBF-4CE2-BAA5-69FBD7552D8A}"/>
    <hyperlink ref="B1219" r:id="rId1799" display="https://actualicese.com/plantilla-de-los-formatos-de-exogena-del-5247-al-5252-por-el-ag-2022-reportes-de-los-mandatarios/?referer=L-excel-formato&amp;utm_medium=act_formato_excel&amp;utm_source=act_formato_excel&amp;utm_campaign=act_formato_excel&amp;utm_content=act_formato_excel_link" xr:uid="{B431E479-B5E6-4ABA-A7BF-3CCF4E28F040}"/>
    <hyperlink ref="B1221" r:id="rId1800" display="https://actualicese.com/pack-de-formatos-para-elaborar-la-declaracion-de-renta-de-personas-juridicas-ano-gravable-2022/?referer=L-excel-formato&amp;utm_medium=act_formato_excel&amp;utm_source=act_formato_excel&amp;utm_campaign=act_formato_excel&amp;utm_content=act_formato_excel_link" xr:uid="{A2C9EDDA-107D-4CA7-ABFF-E2309CC091B5}"/>
    <hyperlink ref="B1223" r:id="rId1801" display="https://actualicese.com/liquidador-en-excel-del-formulario-110-y-el-formato-2516-declaracion-de-renta-de-personas-juridicas-ag-2022/?referer=L-excel-formato&amp;utm_medium=act_formato_excel&amp;utm_source=act_formato_excel&amp;utm_campaign=act_formato_excel&amp;utm_content=act_formato_excel_link" xr:uid="{0500425A-79DA-4C23-A3EF-55A69A71B3F7}"/>
    <hyperlink ref="B1225" r:id="rId1802" display="https://actualicese.com/guia-en-excel-para-auditar-el-formato-2516-conciliacion-fiscal-de-las-personas-juridicas/?referer=L-excel-formato&amp;utm_medium=act_formato_excel&amp;utm_source=act_formato_excel&amp;utm_campaign=act_formato_excel&amp;utm_content=act_formato_excel_link" xr:uid="{02DF5BF5-9192-4705-8E38-DEE9C56BF92A}"/>
    <hyperlink ref="B1227" r:id="rId1803" display="https://actualicese.com/requisitos-para-reportar-informacion-exogena-por-el-ag-2022-guia-y-casos-practicos/?referer=L-excel-formato&amp;utm_medium=act_formato_excel&amp;utm_source=act_formato_excel&amp;utm_campaign=act_formato_excel&amp;utm_content=act_formato_excel_link" xr:uid="{E3E89BED-958A-4815-A705-5396925CCC2E}"/>
    <hyperlink ref="B1229" r:id="rId1804" display="https://actualicese.com/plantilla-del-formato-1010-para-reporte-de-exogena-2022-informacion-de-socios-cooperados-o-comuneros/?referer=L-excel-formato&amp;utm_medium=act_formato_excel&amp;utm_source=act_formato_excel&amp;utm_campaign=act_formato_excel&amp;utm_content=act_formato_excel_link" xr:uid="{E0F2429F-4086-4352-8274-E60C352D5452}"/>
    <hyperlink ref="B1231" r:id="rId1805" display="https://actualicese.com/casos-practicos-sobre-el-reporte-de-informacion-exogena-ag-2022/?referer=L-excel-formato&amp;utm_medium=act_formato_excel&amp;utm_source=act_formato_excel&amp;utm_campaign=act_formato_excel&amp;utm_content=act_formato_excel_link" xr:uid="{A2A4FB34-3368-4ED0-8D6C-1D88E0D6DE65}"/>
    <hyperlink ref="B1233" r:id="rId1806" display="https://actualicese.com/intereses-moratorios-sobre-deudas-tributarias/?referer=L-excel-formato&amp;utm_medium=act_formato_excel&amp;utm_source=act_formato_excel&amp;utm_campaign=act_formato_excel&amp;utm_content=act_formato_excel_link" xr:uid="{F68B1282-85C2-4668-9B41-127C5545C7B8}"/>
    <hyperlink ref="B1235" r:id="rId1807" display="https://actualicese.com/herramienta-en-excel-para-la-consulta-automatica-de-terceros-en-la-dian/?referer=L-excel-formato&amp;utm_medium=act_formato_excel&amp;utm_source=act_formato_excel&amp;utm_campaign=act_formato_excel&amp;utm_content=act_formato_excel_link" xr:uid="{3FA2C8B1-3701-469A-B827-DF69C882A679}"/>
    <hyperlink ref="B1237" r:id="rId1808" display="https://actualicese.com/plantilla-del-formato-2276-2280-y-2743-para-el-reporte-de-informacion-exogena-de-2022/?referer=L-excel-formato&amp;utm_medium=act_formato_excel&amp;utm_source=act_formato_excel&amp;utm_campaign=act_formato_excel&amp;utm_content=act_formato_excel_link" xr:uid="{403E7721-4608-42E0-BE61-AEFBB1715A00}"/>
    <hyperlink ref="B1239" r:id="rId1809" display="https://actualicese.com/plantilla-del-formato-1001-por-el-ano-gravable-2022-reporte-de-exogena-de-pagos-o-abonos-en-cuenta/?referer=L-excel-formato&amp;utm_medium=act_formato_excel&amp;utm_source=act_formato_excel&amp;utm_campaign=act_formato_excel&amp;utm_content=act_formato_excel_link" xr:uid="{F4038859-4084-4D94-BC5A-9371869235D0}"/>
    <hyperlink ref="B1241" r:id="rId1810" display="https://actualicese.com/guia-en-excel-para-evitar-errores-en-la-presentacion-de-informacion-exogena/?referer=L-excel-formato&amp;utm_medium=act_formato_excel&amp;utm_source=act_formato_excel&amp;utm_campaign=act_formato_excel&amp;utm_content=act_formato_excel_link" xr:uid="{4353DABA-FE34-493E-9E11-EDEC9699E990}"/>
    <hyperlink ref="B1243" r:id="rId1811" display="https://actualicese.com/simulador-de-los-efectos-del-rechazo-de-costos-y-gastos-en-efectivo-a-partir-de-2018/?referer=L-excel-formato&amp;utm_medium=act_formato_excel&amp;utm_source=act_formato_excel&amp;utm_campaign=act_formato_excel&amp;utm_content=act_formato_excel_link" xr:uid="{C0B99D77-4AAF-476B-A657-4A9DF32BA96C}"/>
    <hyperlink ref="B1245" r:id="rId1812" display="https://actualicese.com/simulador-del-limite-de-costos-y-gastos-no-soportados-en-factura-electronica/?referer=L-excel-formato&amp;utm_medium=act_formato_excel&amp;utm_source=act_formato_excel&amp;utm_campaign=act_formato_excel&amp;utm_content=act_formato_excel_link" xr:uid="{9086FCF0-41D5-4674-A2C5-8F416AB7D97D}"/>
    <hyperlink ref="B1247" r:id="rId1813" display="https://actualicese.com/liquidador-certificado-de-ingresos-y-retenciones-plantilla-del-formulario-220-y-del-formato-2ag-2022/?referer=L-excel-formato&amp;utm_medium=act_formato_excel&amp;utm_source=act_formato_excel&amp;utm_campaign=act_formato_excel&amp;utm_content=act_formato_excel_link" xr:uid="{3A504ACD-CEE8-4D2A-B96B-2531FD1122FF}"/>
    <hyperlink ref="B1249" r:id="rId1814" display="https://actualicese.com/codigos-de-responsabilidades-tributarias-rut-casilla-53/?referer=L-excel-formato&amp;utm_medium=act_formato_excel&amp;utm_source=act_formato_excel&amp;utm_campaign=act_formato_excel&amp;utm_content=act_formato_excel_link" xr:uid="{67DEB510-A7BD-4B90-B92C-B620787CAC25}"/>
    <hyperlink ref="B1251" r:id="rId1815" display="https://actualicese.com/liquidador-del-anticipo-del-impuesto-de-renta-2023-para-personas-juridicas-y-naturales/?referer=L-excel-formato&amp;utm_medium=act_formato_excel&amp;utm_source=act_formato_excel&amp;utm_campaign=act_formato_excel&amp;utm_content=act_formato_excel_link" xr:uid="{25AE9075-364F-44E1-AE6E-6E22E9A959B5}"/>
    <hyperlink ref="B1253" r:id="rId1816" display="https://actualicese.com/modelo-certificacion-para-que-proceda-descuento-tributario-por-donacion-realizada/?referer=L-excel-formato&amp;utm_medium=act_formato_excel&amp;utm_source=act_formato_excel&amp;utm_campaign=act_formato_excel&amp;utm_content=act_formato_excel_link" xr:uid="{013A148C-E42C-426F-8B82-880630A1B3B5}"/>
    <hyperlink ref="B1255" r:id="rId1817" display="https://actualicese.com/plantilla-para-elaborar-el-formulario-300-para-las-declaraciones-del-iva-en-2023/?referer=L-excel-formato&amp;utm_medium=act_formato_excel&amp;utm_source=act_formato_excel&amp;utm_campaign=act_formato_excel&amp;utm_content=act_formato_excel_link" xr:uid="{3EA497B2-C2B4-46E7-BD34-91ED4C1087F3}"/>
    <hyperlink ref="B1257" r:id="rId1818" display="https://actualicese.com/formulario-260-ag-2022-declaracion-anual-regimen-simple-personas-naturales-que-no-llevan-contabilidad/?referer=L-excel-formato&amp;utm_medium=act_formato_excel&amp;utm_source=act_formato_excel&amp;utm_campaign=act_formato_excel&amp;utm_content=act_formato_excel_link" xr:uid="{56C1A503-1766-4134-8E03-71AA1F58518F}"/>
    <hyperlink ref="B1259" r:id="rId1819" display="https://actualicese.com/matriz-de-categorias-para-el-reporte-de-informacion-exogena-y-los-formatos-para-el-ag-2022/?referer=L-excel-formato&amp;utm_medium=act_formato_excel&amp;utm_source=act_formato_excel&amp;utm_campaign=act_formato_excel&amp;utm_content=act_formato_excel_link" xr:uid="{47652ED8-DFED-4AEA-96F8-B48C92DCA240}"/>
    <hyperlink ref="B1261" r:id="rId1820" display="https://actualicese.com/liquidador-tributacion-sobre-dividendos-y-calculo-de-su-retencion-luego-de-la-ley-2277-de-2022/?referer=L-excel-formato&amp;utm_medium=act_formato_excel&amp;utm_source=act_formato_excel&amp;utm_campaign=act_formato_excel&amp;utm_content=act_formato_excel_link" xr:uid="{39E83C8D-898D-4B76-A3EC-E55A66642D7D}"/>
    <hyperlink ref="B1263" r:id="rId1821" display="https://actualicese.com/modelo-de-certificacion-laboral-para-deduccion-del-primer-empleo/?referer=L-excel-formato&amp;utm_medium=act_formato_excel&amp;utm_source=act_formato_excel&amp;utm_campaign=act_formato_excel&amp;utm_content=act_formato_excel_link" xr:uid="{728114C8-BB05-46F4-8853-0A3B2F242434}"/>
    <hyperlink ref="B1265" r:id="rId1822" display="https://actualicese.com/carta-entrega-de-dotacion/?referer=L-excel-formato&amp;utm_medium=act_formato_excel&amp;utm_source=act_formato_excel&amp;utm_campaign=act_formato_excel&amp;utm_content=act_formato_excel_link" xr:uid="{D39657AF-2074-4394-9733-C486B9BCC471}"/>
    <hyperlink ref="B1267" r:id="rId1823" display="https://actualicese.com/carta-de-finalizacion-del-contrato-individual-de-trabajo-por-justa-causa/?referer=L-excel-formato&amp;utm_medium=act_formato_excel&amp;utm_source=act_formato_excel&amp;utm_campaign=act_formato_excel&amp;utm_content=act_formato_excel_link" xr:uid="{B7EF0489-67FE-43D0-9929-3584CD0DF9CC}"/>
    <hyperlink ref="B1269" r:id="rId1824" display="https://actualicese.com/pack-de-formatos-formatos-para-la-liquidacion-de-nomina-paso-a-paso/?referer=L-excel-formato&amp;utm_medium=act_formato_excel&amp;utm_source=act_formato_excel&amp;utm_campaign=act_formato_excel&amp;utm_content=act_formato_excel_link" xr:uid="{CA6D9CF7-2534-41AD-9B8A-11647D3C1ABF}"/>
    <hyperlink ref="B1271" r:id="rId1825" display="https://actualicese.com/liquidador-de-aportes-a-seguridad-social-durante-la-licencia-de-maternidad/?referer=L-excel-formato&amp;utm_medium=act_formato_excel&amp;utm_source=act_formato_excel&amp;utm_campaign=act_formato_excel&amp;utm_content=act_formato_excel_link" xr:uid="{50B941FB-3062-4964-9026-EE557340E11C}"/>
    <hyperlink ref="B1273" r:id="rId1826" display="https://actualicese.com/casos-practicos-de-liquidacion-de-sanciones-relacionadas-con-la-informacion-exogena/?referer=L-excel-formato&amp;utm_medium=act_formato_excel&amp;utm_source=act_formato_excel&amp;utm_campaign=act_formato_excel&amp;utm_content=act_formato_excel_link" xr:uid="{CAACC25D-8805-4124-9EF0-4C063899640B}"/>
    <hyperlink ref="B1275" r:id="rId1827" display="https://actualicese.com/tabla-para-liquidar-indemnizaciones-por-perdida-de-capacidad-laboral/?referer=L-excel-formato&amp;utm_medium=act_formato_excel&amp;utm_source=act_formato_excel&amp;utm_campaign=act_formato_excel&amp;utm_content=act_formato_excel_link" xr:uid="{193193B0-5BF6-4BDA-AE20-3F9A69B323DB}"/>
    <hyperlink ref="B1277" r:id="rId1828" display="https://actualicese.com/liquidador-de-indemnizacion-por-despido-sin-justa-causa-para-contrato-fijo-u-obra-labor/?referer=L-excel-formato&amp;utm_medium=act_formato_excel&amp;utm_source=act_formato_excel&amp;utm_campaign=act_formato_excel&amp;utm_content=act_formato_excel_link" xr:uid="{D1864B3A-32E0-4670-AF9D-502B2DFC256B}"/>
    <hyperlink ref="B1279" r:id="rId1829" display="https://actualicese.com/liquidador-de-nomina-para-trabajadora-en-licencia-de-maternidad-caso-practico-en-excel/?referer=L-excel-formato&amp;utm_medium=act_formato_excel&amp;utm_source=act_formato_excel&amp;utm_campaign=act_formato_excel&amp;utm_content=act_formato_excel_link" xr:uid="{69B663E7-9F39-4DB9-BAF8-20234837B18F}"/>
    <hyperlink ref="B1281" r:id="rId1830" display="https://actualicese.com/liquidador-de-seguridad-social-parafiscales-y-prestaciones-en-vacaciones/?referer=L-excel-formato&amp;utm_medium=act_formato_excel&amp;utm_source=act_formato_excel&amp;utm_campaign=act_formato_excel&amp;utm_content=act_formato_excel_link" xr:uid="{7C8E5DC4-03D6-42E7-A65C-62CF4445B853}"/>
    <hyperlink ref="B1283" r:id="rId1831" display="https://actualicese.com/calendario-tributario-2023-version-para-imprimir/?referer=L-excel-formato&amp;utm_medium=act_formato_excel&amp;utm_source=act_formato_excel&amp;utm_campaign=act_formato_excel&amp;utm_content=act_formato_excel_link" xr:uid="{6AD5E175-FE0B-4CA7-BEF0-ADF5BDE0835F}"/>
    <hyperlink ref="B1285" r:id="rId1832" display="https://actualicese.com/modelo-en-excel-calculo-de-intereses-presuntivos-en-2022-sobre-prestamos-entre-socios-y-sociedades/?referer=L-excel-formato&amp;utm_medium=act_formato_excel&amp;utm_source=act_formato_excel&amp;utm_campaign=act_formato_excel&amp;utm_content=act_formato_excel_link" xr:uid="{97DF8E28-584A-40D6-BB48-46717BE0B325}"/>
    <hyperlink ref="B1287" r:id="rId1833" display="https://actualicese.com/liquidador-de-aportes-a-arl-para-trabajadores-independientes/?referer=L-excel-formato&amp;utm_medium=act_formato_excel&amp;utm_source=act_formato_excel&amp;utm_campaign=act_formato_excel&amp;utm_content=act_formato_excel_link" xr:uid="{44D0D3D2-04BE-4FEF-B96C-90722DB76FBB}"/>
    <hyperlink ref="B1289" r:id="rId1834" display="https://actualicese.com/actualicese-110-xls/?referer=L-excel-formato&amp;utm_medium=act_formato_excel&amp;utm_source=act_formato_excel&amp;utm_campaign=act_formato_excel&amp;utm_content=act_formato_excel_link" xr:uid="{7C10E2AD-407C-4723-91A1-2B09CE9FCAA9}"/>
    <hyperlink ref="B1291" r:id="rId1835" display="https://actualicese.com/excel-interactivo-resultados-de-la-encuesta-actualicese-como-estan-realmente-los-honorarios-profesionales-del-contador-publico/?referer=L-excel-formato&amp;utm_medium=act_formato_excel&amp;utm_source=act_formato_excel&amp;utm_campaign=act_formato_excel&amp;utm_content=act_formato_excel_link" xr:uid="{C5E09A47-51FC-43DA-8809-CD020467FB23}"/>
    <hyperlink ref="B1293" r:id="rId1836" display="https://actualicese.com/caso-practico-de-liquidacion-de-nomina-cuando-hay-salario-integral/?referer=L-excel-formato&amp;utm_medium=act_formato_excel&amp;utm_source=act_formato_excel&amp;utm_campaign=act_formato_excel&amp;utm_content=act_formato_excel_link" xr:uid="{A583D456-E75B-4D54-9414-90AAEE424E85}"/>
    <hyperlink ref="B1295" r:id="rId1837" display="https://actualicese.com/liquidacion-de-nomina-cuando-hay-incapacidad-caso-practico/?referer=L-excel-formato&amp;utm_medium=act_formato_excel&amp;utm_source=act_formato_excel&amp;utm_campaign=act_formato_excel&amp;utm_content=act_formato_excel_link" xr:uid="{75514892-20BA-4B52-B317-0CE463988E8E}"/>
    <hyperlink ref="B1297" r:id="rId1838" display="https://actualicese.com/contabilizacion-de-la-nomina-ejemplo-practico/?referer=L-excel-formato&amp;utm_medium=act_formato_excel&amp;utm_source=act_formato_excel&amp;utm_campaign=act_formato_excel&amp;utm_content=act_formato_excel_link" xr:uid="{4520D404-AA8A-4076-80F9-3704F30C8BDF}"/>
    <hyperlink ref="B1299" r:id="rId1839" display="https://actualicese.com/liquidador-de-nomina-mensual-de-trabajador-pensionado-por-vejez/?referer=L-excel-formato&amp;utm_medium=act_formato_excel&amp;utm_source=act_formato_excel&amp;utm_campaign=act_formato_excel&amp;utm_content=act_formato_excel_link" xr:uid="{8F8D8DA7-AD26-41BF-991F-7146C361035E}"/>
    <hyperlink ref="B1301" r:id="rId1840" display="https://actualicese.com/liquidador-y-desprendible-de-nomina-basico-en-excel/?referer=L-excel-formato&amp;utm_medium=act_formato_excel&amp;utm_source=act_formato_excel&amp;utm_campaign=act_formato_excel&amp;utm_content=act_formato_excel_link" xr:uid="{1055AAF1-389A-4836-9416-2D0C38847C22}"/>
    <hyperlink ref="B1303" r:id="rId1841" display="https://actualicese.com/plantilla-para-el-control-de-entrega-de-dotacion-a-empleados/?referer=L-excel-formato&amp;utm_medium=act_formato_excel&amp;utm_source=act_formato_excel&amp;utm_campaign=act_formato_excel&amp;utm_content=act_formato_excel_link" xr:uid="{91C89B8A-0873-4628-9B5D-22B36CCFEEFA}"/>
    <hyperlink ref="B1305" r:id="rId1842" display="https://actualicese.com/calendario-tributario-2023-version-automatizada-en-excel/?referer=L-excel-formato&amp;utm_medium=act_formato_excel&amp;utm_source=act_formato_excel&amp;utm_campaign=act_formato_excel&amp;utm_content=act_formato_excel_link" xr:uid="{97041112-F57A-4BB6-A145-039FB6B77663}"/>
    <hyperlink ref="B1307" r:id="rId1843" display="https://actualicese.com/formulario-260-ag-2022-declaracion-anual-regimen-simple-personas-naturales-y-juridicas-que-llevan-contabilidad/?referer=L-excel-formato&amp;utm_medium=act_formato_excel&amp;utm_source=act_formato_excel&amp;utm_campaign=act_formato_excel&amp;utm_content=act_formato_excel_link" xr:uid="{410F4870-6C9C-42C6-81B0-A7B31D2DC47A}"/>
    <hyperlink ref="B1309" r:id="rId1844" display="https://actualicese.com/liquidador-de-indemnizacion-por-despido-sin-justa-causa-contrato-indefinido/?referer=L-excel-formato&amp;utm_medium=act_formato_excel&amp;utm_source=act_formato_excel&amp;utm_campaign=act_formato_excel&amp;utm_content=act_formato_excel_link" xr:uid="{FBAB528F-951E-4F5A-8594-5CA32FE015CA}"/>
    <hyperlink ref="B1311" r:id="rId1845" display="https://actualicese.com/aportes-al-fondo-de-solidaridad-pensional-por-parte-de-un-empleado/?referer=L-excel-formato&amp;utm_medium=act_formato_excel&amp;utm_source=act_formato_excel&amp;utm_campaign=act_formato_excel&amp;utm_content=act_formato_excel_link" xr:uid="{CA8E2D6B-E107-4B78-8087-4D4E2DB68288}"/>
    <hyperlink ref="B1313" r:id="rId1846" display="https://actualicese.com/liquidador-de-aportes-en-el-piso-de-proteccion-social-trabajadores-dependientes-e-independientes/?referer=L-excel-formato&amp;utm_medium=act_formato_excel&amp;utm_source=act_formato_excel&amp;utm_campaign=act_formato_excel&amp;utm_content=act_formato_excel_link" xr:uid="{79DA84ED-C9BC-46EF-8171-C66D65F8F194}"/>
    <hyperlink ref="B1315" r:id="rId1847" display="https://actualicese.com/liquidador-de-nomina-de-empleados-de-servicio-domestico-que-laboran-por-dias/?referer=L-excel-formato&amp;utm_medium=act_formato_excel&amp;utm_source=act_formato_excel&amp;utm_campaign=act_formato_excel&amp;utm_content=act_formato_excel_link" xr:uid="{30610A82-5F01-436E-93A4-E809AABE385C}"/>
    <hyperlink ref="B1317" r:id="rId1848" display="https://actualicese.com/liquidador-del-costo-de-renovacion-de-matricula-mercantil-y-de-establecimientos-de-comercio-2023/?referer=L-excel-formato&amp;utm_medium=act_formato_excel&amp;utm_source=act_formato_excel&amp;utm_campaign=act_formato_excel&amp;utm_content=act_formato_excel_link" xr:uid="{7E5D7C69-FA2D-42A8-8BD2-8234DD5EDCA2}"/>
    <hyperlink ref="B1319" r:id="rId1849" display="https://actualicese.com/pack-de-formatos-modelos-y-guias-para-asambleas-de-accionistas-socios-y-copropietarios/?referer=L-excel-formato&amp;utm_medium=act_formato_excel&amp;utm_source=act_formato_excel&amp;utm_campaign=act_formato_excel&amp;utm_content=act_formato_excel_link" xr:uid="{BAD1EF8E-6E56-44EF-9553-3EECC70E6114}"/>
    <hyperlink ref="B1321" r:id="rId1850" display="https://actualicese.com/reunion-de-asamblea-general-para-constituir-una-empresa-o-fundacion/?referer=L-excel-formato&amp;utm_medium=act_formato_excel&amp;utm_source=act_formato_excel&amp;utm_campaign=act_formato_excel&amp;utm_content=act_formato_excel_link" xr:uid="{93E5BCCB-358D-486B-A6A9-A78330B7AC06}"/>
    <hyperlink ref="B1323" r:id="rId1851" display="https://actualicese.com/cesion-y-venta-de-cuotas-sociales-a-extranos-a-la-sociedad-ltda/?referer=L-excel-formato&amp;utm_medium=act_formato_excel&amp;utm_source=act_formato_excel&amp;utm_campaign=act_formato_excel&amp;utm_content=act_formato_excel_link" xr:uid="{B1B942E9-C0FF-4992-AFD7-8E2DD2378C0B}"/>
    <hyperlink ref="B1325" r:id="rId1852" display="https://actualicese.com/poder-para-nombrar-delegado-o-apoderado-en-asamblea-de-propietarios-en-p-h/?referer=L-excel-formato&amp;utm_medium=act_formato_excel&amp;utm_source=act_formato_excel&amp;utm_campaign=act_formato_excel&amp;utm_content=act_formato_excel_link" xr:uid="{CB1E6FF1-184E-4427-A34D-1221438E0E31}"/>
    <hyperlink ref="B1327" r:id="rId1853" display="https://actualicese.com/acta-cambio-de-representante-legal/?referer=L-excel-formato&amp;utm_medium=act_formato_excel&amp;utm_source=act_formato_excel&amp;utm_campaign=act_formato_excel&amp;utm_content=act_formato_excel_link" xr:uid="{A363FCBA-8DAD-4F8A-906D-22BDD49A5FB8}"/>
    <hyperlink ref="B1329" r:id="rId1854" display="https://actualicese.com/decisiones-asamblea-de-propietarios/?referer=L-excel-formato&amp;utm_medium=act_formato_excel&amp;utm_source=act_formato_excel&amp;utm_campaign=act_formato_excel&amp;utm_content=act_formato_excel_link" xr:uid="{3CE4266F-15AD-469E-88A9-C5D1E9F7D244}"/>
    <hyperlink ref="B1331" r:id="rId1855" display="https://actualicese.com/convocatoria-de-asamblea-general-ordinaria-de-copropietarios/?referer=L-excel-formato&amp;utm_medium=act_formato_excel&amp;utm_source=act_formato_excel&amp;utm_campaign=act_formato_excel&amp;utm_content=act_formato_excel_link" xr:uid="{40825EC0-6595-4AB7-9881-29006A6291B6}"/>
    <hyperlink ref="B1333" r:id="rId1856" display="https://actualicese.com/liquidadores-de-sanciones-relacionadas-con-la-informacion-exogena/?referer=L-excel-formato&amp;utm_medium=act_formato_excel&amp;utm_source=act_formato_excel&amp;utm_campaign=act_formato_excel&amp;utm_content=act_formato_excel_link" xr:uid="{A42169E2-503F-482A-8B96-BBD3A621C650}"/>
    <hyperlink ref="B1213" r:id="rId1857" xr:uid="{AFA00FB5-5F92-43BA-907D-81ABA783E135}"/>
    <hyperlink ref="B1201" r:id="rId1858" display="https://actualicese.com/plantilla-del-formato-1009-para-el-reporte-de-exogena-2022-informacion-de-cuentas-por-pagar/?referer=L-excel-formato&amp;utm_medium=act_formato_excel&amp;utm_source=act_formato_excel&amp;utm_campaign=act_formato_excel&amp;utm_content=act_formato_excel_link" xr:uid="{DC172F36-2C7F-4D7B-956C-A31913E9EE69}"/>
    <hyperlink ref="B1203" r:id="rId1859" display="https://actualicese.com/plantilla-del-formato-1008-para-el-reporte-de-exogena-2022-informacion-de-cuentas-por-cobrar/?referer=L-excel-formato&amp;utm_medium=act_formato_excel&amp;utm_source=act_formato_excel&amp;utm_campaign=act_formato_excel&amp;utm_content=act_formato_excel_link" xr:uid="{74FD9964-6699-4221-8100-E4149979E764}"/>
    <hyperlink ref="B1205" r:id="rId1860" display="https://actualicese.com/plantilla-de-los-formatos-1011-1012-y-2275-de-exogena-2022-para-el-reporte-de-otros-datos-en-renta-e-iva/?referer=L-excel-formato&amp;utm_medium=act_formato_excel&amp;utm_source=act_formato_excel&amp;utm_campaign=act_formato_excel&amp;utm_content=act_formato_excel_link" xr:uid="{94496A4E-A8D4-4A63-BDF5-010A76D85267}"/>
    <hyperlink ref="B1207" r:id="rId1861" display="https://actualicese.com/plantilla-de-los-formatos-1005-y-1006-de-exogena-2022-para-el-reporte-del-iva-descontable-e-iva-y-o-inc-generados/?referer=L-excel-formato&amp;utm_medium=act_formato_excel&amp;utm_source=act_formato_excel&amp;utm_campaign=act_formato_excel&amp;utm_content=act_formato_excel_link" xr:uid="{2C3E42EF-5A78-4F1D-9654-2A3724DA41C1}"/>
    <hyperlink ref="B1209" r:id="rId1862" display="https://actualicese.com/plantilla-del-formato-1007-para-el-reporte-de-exogena-2022-informacion-de-ingresos-propios/?referer=L-excel-formato&amp;utm_medium=act_formato_excel&amp;utm_source=act_formato_excel&amp;utm_campaign=act_formato_excel&amp;utm_content=act_formato_excel_link" xr:uid="{82E8E372-390B-4EEE-91A3-C997701598A2}"/>
    <hyperlink ref="B1185" r:id="rId1863" display="https://actualicese.com/liquidador-en-excel-del-formulario-110-y-el-formato-2516-declaracion-de-renta-de-personas-juridicas-ag-2022/?referer=L-excel-formato&amp;utm_medium=act_formato_excel&amp;utm_source=act_formato_excel&amp;utm_campaign=act_formato_excel&amp;utm_content=act_formato_excel_link" xr:uid="{A662FE7B-D8B7-49C3-9DC6-88438B08B2AD}"/>
    <hyperlink ref="B1187" r:id="rId1864" display="https://actualicese.com/herramienta-con-macros-en-excel-para-elaborar-y-analizar-estados-financieros/?referer=L-excel-formato&amp;utm_medium=act_formato_excel&amp;utm_source=act_formato_excel&amp;utm_campaign=act_formato_excel&amp;utm_content=act_formato_excel_link" xr:uid="{D198227B-6B86-4799-84DA-C06658BD2CFC}"/>
    <hyperlink ref="B1189" r:id="rId1865" display="https://actualicese.com/pack-de-formatos-herramientas-y-guias-para-el-reporte-de-informacion-exogena-2022/?referer=L-excel-formato&amp;utm_medium=act_formato_excel&amp;utm_source=act_formato_excel&amp;utm_campaign=act_formato_excel&amp;utm_content=act_formato_excel_link" xr:uid="{1CC05C0F-41CB-4F7B-9B24-5E31F05F662E}"/>
    <hyperlink ref="B1191" r:id="rId1866" display="https://actualicese.com/casos-practicos-de-liquidacion-de-intereses-moratorios-y-sancion-de-extemporaneidad-ley-2277-de-2022/?referer=L-excel-formato&amp;utm_medium=act_formato_excel&amp;utm_source=act_formato_excel&amp;utm_campaign=act_formato_excel&amp;utm_content=act_formato_excel_link" xr:uid="{6E8455F8-1A16-4188-BDBF-6EE1D63DDE0D}"/>
    <hyperlink ref="B1193" r:id="rId1867" display="https://actualicese.com/intereses-moratorios-sobre-deudas-tributarias/?referer=L-excel-formato&amp;utm_medium=act_formato_excel&amp;utm_source=act_formato_excel&amp;utm_campaign=act_formato_excel&amp;utm_content=act_formato_excel_link" xr:uid="{5C48ECD8-3D0D-48B9-A5C7-DB1BDED5E066}"/>
    <hyperlink ref="B1195" r:id="rId1868" display="https://actualicese.com/sancion-por-extemporaneidad-antes-del-emplazamiento/?referer=L-excel-formato&amp;utm_medium=act_formato_excel&amp;utm_source=act_formato_excel&amp;utm_campaign=act_formato_excel&amp;utm_content=act_formato_excel_link" xr:uid="{BC3D86A1-FD8F-4E2A-A910-4762530F57DA}"/>
    <hyperlink ref="B1197" r:id="rId1869" display="https://actualicese.com/sancion-por-extemporaneidad-despues-del-emplazamiento/?referer=L-excel-formato&amp;utm_medium=act_formato_excel&amp;utm_source=act_formato_excel&amp;utm_campaign=act_formato_excel&amp;utm_content=act_formato_excel_link" xr:uid="{1F2E5A49-B7FD-405B-BD19-1C4DD81C19D3}"/>
    <hyperlink ref="B1199" r:id="rId1870" display="https://actualicese.com/simulador-del-limite-de-costos-y-gastos-no-soportados-en-factura-electronica/?referer=L-excel-formato&amp;utm_medium=act_formato_excel&amp;utm_source=act_formato_excel&amp;utm_campaign=act_formato_excel&amp;utm_content=act_formato_excel_link" xr:uid="{5CCC7599-0514-433D-9BA7-82E0D60CE1C2}"/>
    <hyperlink ref="B1171" r:id="rId1871" display="https://actualicese.com/intereses-moratorios-sobre-deudas-tributarias/?referer=L-excel-formato&amp;utm_medium=act_formato_excel&amp;utm_source=act_formato_excel&amp;utm_campaign=act_formato_excel&amp;utm_content=act_formato_excel_link" xr:uid="{7D44441E-979C-4A1F-88E0-A5D1F6428B9E}"/>
    <hyperlink ref="B1173" r:id="rId1872" display="https://actualicese.com/plantilla-en-excel-del-formulario-350-ag-2023-declaracion-de-retencion-en-la-fuente/?referer=L-excel-formato&amp;utm_medium=act_formato_excel&amp;utm_source=act_formato_excel&amp;utm_campaign=act_formato_excel&amp;utm_content=act_formato_excel_link" xr:uid="{F0C23CD8-9478-4257-82D3-3CA3AC30D70B}"/>
    <hyperlink ref="B1175" r:id="rId1873" display="https://actualicese.com/plantilla-del-formulario-310-ag-2023-declaracion-del-impuesto-nacional-al-consumo/?referer=L-excel-formato&amp;utm_medium=act_formato_excel&amp;utm_source=act_formato_excel&amp;utm_campaign=act_formato_excel&amp;utm_content=act_formato_excel_link" xr:uid="{39A1FF24-9E75-4C8D-B170-6FD1F436662F}"/>
    <hyperlink ref="B1177" r:id="rId1874" display="https://actualicese.com/simulador-con-los-efectos-de-los-cambios-introducidos-por-la-ley-2277-de-2022-al-impuesto-de-renta-bajo-el-regimen-ordinario-de-las-personas-naturales-residentes/?referer=L-excel-formato&amp;utm_medium=act_formato_excel&amp;utm_source=act_formato_excel&amp;utm_campaign=act_formato_excel&amp;utm_content=act_formato_excel_link" xr:uid="{27C106AA-79EE-4BAD-A7B8-C71B646BE05E}"/>
    <hyperlink ref="B1179" r:id="rId1875" display="https://actualicese.com/modelo-para-definir-si-una-persona-natural-esta-obligada-a-declarar-renta/?referer=L-excel-formato&amp;utm_medium=act_formato_excel&amp;utm_source=act_formato_excel&amp;utm_campaign=act_formato_excel&amp;utm_content=act_formato_excel_link" xr:uid="{688620AB-E066-4C28-96E8-1193A63071F5}"/>
    <hyperlink ref="B1181" r:id="rId1876" display="https://actualicese.com/modelo-de-contrato-de-prestacion-de-servicios/?referer=L-excel-formato&amp;utm_medium=act_formato_excel&amp;utm_source=act_formato_excel&amp;utm_campaign=act_formato_excel&amp;utm_content=act_formato_excel_link" xr:uid="{FF06ECA6-446B-41A2-9908-427EB8832B70}"/>
    <hyperlink ref="B1183" r:id="rId1877" display="https://actualicese.com/modelo-de-derecho-de-peticion-para-el-pago-de-incapacidades-de-trabajadores-independientes/?referer=L-excel-formato&amp;utm_medium=act_formato_excel&amp;utm_source=act_formato_excel&amp;utm_campaign=act_formato_excel&amp;utm_content=act_formato_excel_link" xr:uid="{890D3F98-7029-45D2-9204-D136A8B45068}"/>
    <hyperlink ref="B1145" r:id="rId1878" display="https://actualicese.com/renta-liquida-gravable-por-comparacion-patrimonial-calculos-para-su-determinacion/?referer=L-excel-formato&amp;utm_medium=act_formato_excel&amp;utm_source=act_formato_excel&amp;utm_campaign=act_formato_excel&amp;utm_content=act_formato_excel_link" xr:uid="{697BB691-3731-48E0-8050-344860B52108}"/>
    <hyperlink ref="B1147" r:id="rId1879" display="https://actualicese.com/carta-para-solicitar-el-certificado-de-donacion-para-efectuar-descuento-tributario/?referer=L-excel-formato&amp;utm_medium=act_formato_excel&amp;utm_source=act_formato_excel&amp;utm_campaign=act_formato_excel&amp;utm_content=act_formato_excel_link" xr:uid="{9671CFD5-A770-420F-A4D1-5A4746BBA2DC}"/>
    <hyperlink ref="B1149" r:id="rId1880" display="https://actualicese.com/liquidador-del-componente-inflacionario-de-los-rendimientos-o-costos-financieros/?referer=L-excel-formato&amp;utm_medium=act_formato_excel&amp;utm_source=act_formato_excel&amp;utm_campaign=act_formato_excel&amp;utm_content=act_formato_excel_link" xr:uid="{690D7E20-CAD3-46D9-A370-AD21AEB111F5}"/>
    <hyperlink ref="B1151" r:id="rId1881" display="https://actualicese.com/pack-de-formatos-herramientas-y-guias-para-el-reporte-de-informacion-exogena-2022/?referer=L-excel-formato&amp;utm_medium=act_formato_excel&amp;utm_source=act_formato_excel&amp;utm_campaign=act_formato_excel&amp;utm_content=act_formato_excel_link" xr:uid="{3D0E1A92-24B3-4749-98D5-D4B139067D76}"/>
    <hyperlink ref="B1153" r:id="rId1882" display="https://actualicese.com/calendario-para-pago-de-aportes-a-seguridad-social-para-empleadores-e-independientes-2023-2024/?referer=L-excel-formato&amp;utm_medium=act_formato_excel&amp;utm_source=act_formato_excel&amp;utm_campaign=act_formato_excel&amp;utm_content=act_formato_excel_link" xr:uid="{DA445E67-7B5F-47F9-9402-35ED5E3FAA2E}"/>
    <hyperlink ref="B1155" r:id="rId1883" display="https://actualicese.com/casos-practicos-de-criptoactivos-de-una-persona-natural-en-la-declaracion-de-renta-ag-2022/?referer=L-excel-formato&amp;utm_medium=act_formato_excel&amp;utm_source=act_formato_excel&amp;utm_campaign=act_formato_excel&amp;utm_content=act_formato_excel_link" xr:uid="{168CC700-437F-4895-ADF4-1B75683BDB52}"/>
    <hyperlink ref="B1157" r:id="rId1884" display="https://actualicese.com/cuestionario-de-excel-para-definir-si-una-persona-natural-es-residente-fiscal-en-colombia/?referer=L-excel-formato&amp;utm_medium=act_formato_excel&amp;utm_source=act_formato_excel&amp;utm_campaign=act_formato_excel&amp;utm_content=act_formato_excel_link" xr:uid="{ABDDEB47-7389-4F83-AA2B-4D890A51C12B}"/>
    <hyperlink ref="B1159" r:id="rId1885" display="https://actualicese.com/comparativo-de-pagos-a-trabajador-contrato-de-trabajo-vs-contrato-de-prestacion-de-servicios/?referer=L-excel-formato&amp;utm_medium=act_formato_excel&amp;utm_source=act_formato_excel&amp;utm_campaign=act_formato_excel&amp;utm_content=act_formato_excel_link" xr:uid="{53ACF761-A594-45D9-9A16-DEDA512FD3A2}"/>
    <hyperlink ref="B1161" r:id="rId1886" display="https://actualicese.com/liquidador-del-auxilio-de-incapacidad-de-origen-comun-para-trabajador-independiente/?referer=L-excel-formato&amp;utm_medium=act_formato_excel&amp;utm_source=act_formato_excel&amp;utm_campaign=act_formato_excel&amp;utm_content=act_formato_excel_link" xr:uid="{765EB9B6-2A23-4824-A216-74FFAF94381D}"/>
    <hyperlink ref="B1163" r:id="rId1887" display="https://actualicese.com/liquidador-de-aportes-a-caja-de-compensacion-para-trabajadores-independientes/?referer=L-excel-formato&amp;utm_medium=act_formato_excel&amp;utm_source=act_formato_excel&amp;utm_campaign=act_formato_excel&amp;utm_content=act_formato_excel_link" xr:uid="{1FA496DF-6FFE-4F2F-93BA-B8D807FD6921}"/>
    <hyperlink ref="B1165" r:id="rId1888" display="https://actualicese.com/liquidador-de-topes-de-ingresos-para-presentar-formatos-de-conciliacion-fiscal-2516-y-2517/?referer=L-excel-formato&amp;utm_medium=act_formato_excel&amp;utm_source=act_formato_excel&amp;utm_campaign=act_formato_excel&amp;utm_content=act_formato_excel_link" xr:uid="{0FF1DBCB-D5ED-4077-97D3-04AF871C623E}"/>
    <hyperlink ref="B1167" r:id="rId1889" display="https://actualicese.com/herramienta-con-macros-en-excel-para-elaborar-y-analizar-estados-financieros/?referer=L-excel-formato&amp;utm_medium=act_formato_excel&amp;utm_source=act_formato_excel&amp;utm_campaign=act_formato_excel&amp;utm_content=act_formato_excel_link" xr:uid="{27589DEA-4B5D-43D1-AA56-3AA375A88947}"/>
    <hyperlink ref="B1169" r:id="rId1890" display="https://actualicese.com/intereses-moratorios-sobre-deudas-tributarias/?referer=L-excel-formato&amp;utm_medium=act_formato_excel&amp;utm_source=act_formato_excel&amp;utm_campaign=act_formato_excel&amp;utm_content=act_formato_excel_link" xr:uid="{753BFD55-85D6-46AB-976D-E40733A624E5}"/>
    <hyperlink ref="B1139" r:id="rId1891" display="https://actualicese.com/plantilla-para-elaborar-el-formulario-300-para-las-declaraciones-del-iva-en-2023/?referer=L-excel-formato&amp;utm_medium=act_formato_excel&amp;utm_source=act_formato_excel&amp;utm_campaign=act_formato_excel&amp;utm_content=act_formato_excel_link" xr:uid="{E3EE328B-6D95-49B8-A6BB-23FC2DE57B58}"/>
    <hyperlink ref="B1141" r:id="rId1892" display="https://actualicese.com/guia-caracteristicas-basicas-de-la-cedulacion-de-personas-naturales-residentes-ag-2022/?referer=L-excel-formato&amp;utm_medium=act_formato_excel&amp;utm_source=act_formato_excel&amp;utm_campaign=act_formato_excel&amp;utm_content=act_formato_excel_link" xr:uid="{A812CFC9-81F2-4CA7-BB3E-18CD3DE7FF31}"/>
    <hyperlink ref="B1143" r:id="rId1893" display="https://actualicese.com/contrato-de-outsourcing/?referer=L-excel-formato&amp;utm_medium=act_formato_excel&amp;utm_source=act_formato_excel&amp;utm_campaign=act_formato_excel&amp;utm_content=act_formato_excel_link" xr:uid="{732A30FA-AD44-4F01-BCD7-41CBE76359F1}"/>
    <hyperlink ref="B1133" r:id="rId1894" display="https://actualicese.com/modelo-de-certificado-de-no-declarante-del-impuesto-de-renta-y-complementario-ag-2022/?referer=L-excel-formato&amp;utm_medium=act_formato_excel&amp;utm_source=act_formato_excel&amp;utm_campaign=act_formato_excel&amp;utm_content=act_formato_excel_link" xr:uid="{BFD7EAD6-E8A7-4ECA-9203-C3C10A33B1D7}"/>
    <hyperlink ref="B1135" r:id="rId1895" display="https://actualicese.com/simulador-renta-liquida-de-la-cedula-general-y-distribucion-de-rentas-exentas-y-deducciones-limitadas/?referer=L-excel-formato&amp;utm_medium=act_formato_excel&amp;utm_source=act_formato_excel&amp;utm_campaign=act_formato_excel&amp;utm_content=act_formato_excel_link" xr:uid="{D7AC1964-F31F-47C9-9165-E41C971C6DE3}"/>
    <hyperlink ref="B1137" r:id="rId1896" display="https://actualicese.com/tratamiento-del-ica-como-descuento-o-deduccion-para-personas-naturales-caso-practico-en-excel/?referer=L-excel-formato&amp;utm_medium=act_formato_excel&amp;utm_source=act_formato_excel&amp;utm_campaign=act_formato_excel&amp;utm_content=act_formato_excel_link" xr:uid="{B0E0F296-35BE-452B-98A3-31961A110C28}"/>
    <hyperlink ref="B699" r:id="rId1897" display="https://actualicese.com/presencia-economica-significativa-pes-comparativo-en-word-de-las-normas-del-dut-1625-de-2016-afectadas-con-el-decreto-2039-de-2023/?referer=L-excel-formato&amp;utm_medium=act_formato_excel&amp;utm_source=act_formato_excel&amp;utm_campaign=act_formato_excel&amp;utm_content=act_formato_excel_link" xr:uid="{21B33AAF-CE9E-4DAA-B088-0DD3580F5EAD}"/>
    <hyperlink ref="B701" r:id="rId1898" display="https://actualicese.com/pagare-y-carta-de-instruccion/?referer=L-excel-formato&amp;utm_medium=act_formato_excel&amp;utm_source=act_formato_excel&amp;utm_campaign=act_formato_excel&amp;utm_content=act_formato_excel_link" xr:uid="{CE17A9D9-11F5-4EAB-9B59-D7916A8E690C}"/>
    <hyperlink ref="B703" r:id="rId1899" display="https://actualicese.com/informe-de-revisor-fiscal-bajo-nia-701-comunicacion-de-las-cuestiones-clave-de-auditoria/?referer=L-excel-formato&amp;utm_medium=act_formato_excel&amp;utm_source=act_formato_excel&amp;utm_campaign=act_formato_excel&amp;utm_content=act_formato_excel_link" xr:uid="{8D823BA4-400B-4659-8FF1-A16FDDA0CDE9}"/>
    <hyperlink ref="B705" r:id="rId1900" display="https://actualicese.com/carta-de-aceptacion-de-un-encargo-de-auditoria-concreto/?referer=L-excel-formato&amp;utm_medium=act_formato_excel&amp;utm_source=act_formato_excel&amp;utm_campaign=act_formato_excel&amp;utm_content=act_formato_excel_link" xr:uid="{BF0C8AD1-5DC0-48D1-B8A9-C6717DDC10DF}"/>
    <hyperlink ref="B707" r:id="rId1901" display="https://actualicese.com/dictamen-de-revisor-fiscal-con-comunicacion-de-cuestiones-clave-nia-700-revisada-y-nia-701/?referer=L-excel-formato&amp;utm_medium=act_formato_excel&amp;utm_source=act_formato_excel&amp;utm_campaign=act_formato_excel&amp;utm_content=act_formato_excel_link" xr:uid="{9A26EB9C-BFE8-4E3D-A064-DF4E558FE5FF}"/>
    <hyperlink ref="B709" r:id="rId1902" display="https://actualicese.com/dictamen-de-revisor-fiscal-que-incluye-opinion-con-salvedades/?referer=L-excel-formato&amp;utm_medium=act_formato_excel&amp;utm_source=act_formato_excel&amp;utm_campaign=act_formato_excel&amp;utm_content=act_formato_excel_link" xr:uid="{2EB10CEC-7BF9-4B58-A40D-027D9CED18E4}"/>
    <hyperlink ref="B711" r:id="rId1903" display="https://actualicese.com/certificacion-del-contador-o-revisor-fiscal-para-la-inscripcion-de-libros-en-la-camara-de-comercio/?referer=L-excel-formato&amp;utm_medium=act_formato_excel&amp;utm_source=act_formato_excel&amp;utm_campaign=act_formato_excel&amp;utm_content=act_formato_excel_link" xr:uid="{28BA46DA-14C4-41A9-8A84-A26108E8D0D1}"/>
    <hyperlink ref="B713" r:id="rId1904" display="https://actualicese.com/liquidador-automatizado-de-la-prima-de-servicios-con-comprobante-de-pago/?referer=L-excel-formato&amp;utm_medium=act_formato_excel&amp;utm_source=act_formato_excel&amp;utm_campaign=act_formato_excel&amp;utm_content=act_formato_excel_link" xr:uid="{36904E3E-321F-47FF-9EFA-F1E1B13528FA}"/>
    <hyperlink ref="B715" r:id="rId1905" display="https://actualicese.com/modelo-para-la-elaboracion-de-estados-financieros-y-calculo-de-los-indicadores-financieros/?referer=L-excel-formato&amp;utm_medium=act_formato_excel&amp;utm_source=act_formato_excel&amp;utm_campaign=act_formato_excel&amp;utm_content=act_formato_excel_link" xr:uid="{5E37EA4D-97E1-42AB-9006-F64E28FA51DD}"/>
    <hyperlink ref="B717" r:id="rId1906" display="https://actualicese.com/modelo-basico-en-excel-para-proyectar-el-impuesto-al-patrimonio-anos-2023-y-siguientes/?referer=L-excel-formato&amp;utm_medium=act_formato_excel&amp;utm_source=act_formato_excel&amp;utm_campaign=act_formato_excel&amp;utm_content=act_formato_excel_link" xr:uid="{8B617CB7-291D-41DB-B2C8-0D29139AFD46}"/>
    <hyperlink ref="B719" r:id="rId1907" display="https://actualicese.com/liquidador-en-excel-del-porcentaje-fijo-de-retencion-en-la-fuente-sobre-salarios-en-diciembre-de-2023-procedimiento-2/?referer=L-excel-formato&amp;utm_medium=act_formato_excel&amp;utm_source=act_formato_excel&amp;utm_campaign=act_formato_excel&amp;utm_content=act_formato_excel_link" xr:uid="{AD8B2527-7497-4600-A52D-ECFA46F7BD09}"/>
    <hyperlink ref="B721" r:id="rId1908" display="https://actualicese.com/intereses-moratorios-sobre-deudas-tributarias/?referer=L-excel-formato&amp;utm_medium=act_formato_excel&amp;utm_source=act_formato_excel&amp;utm_campaign=act_formato_excel&amp;utm_content=act_formato_excel_link" xr:uid="{42FE4595-8BD7-4425-9C81-0F17F0407810}"/>
    <hyperlink ref="B723" r:id="rId1909" display="https://actualicese.com/nia-700-vs-nia-700-revisada-comparativo-de-estructura-del-informe-de-revisor-fiscal/?referer=L-excel-formato&amp;utm_medium=act_formato_excel&amp;utm_source=act_formato_excel&amp;utm_campaign=act_formato_excel&amp;utm_content=act_formato_excel_link" xr:uid="{8ACAB0CB-6DF0-482C-9DB2-7043C508C556}"/>
    <hyperlink ref="B725" r:id="rId1910" display="https://actualicese.com/modelo-en-excel-del-documento-soporte-para-operaciones-con-no-obligados-a-facturar/?referer=L-excel-formato&amp;utm_medium=act_formato_excel&amp;utm_source=act_formato_excel&amp;utm_campaign=act_formato_excel&amp;utm_content=act_formato_excel_link" xr:uid="{AD5B2693-21CB-4164-A345-26AE603A90CE}"/>
    <hyperlink ref="B727" r:id="rId1911" display="https://actualicese.com/reparto-de-utilidades-pago-de-dividendos/?referer=L-excel-formato&amp;utm_medium=act_formato_excel&amp;utm_source=act_formato_excel&amp;utm_campaign=act_formato_excel&amp;utm_content=act_formato_excel_link" xr:uid="{70383E0B-A8A2-49A9-92D1-86ADFBBE3198}"/>
    <hyperlink ref="B729" r:id="rId1912" display="https://actualicese.com/reunion-del-maximo-organo-social-para-cambio-de-los-miembros-de-junta-directiva/?referer=L-excel-formato&amp;utm_medium=act_formato_excel&amp;utm_source=act_formato_excel&amp;utm_campaign=act_formato_excel&amp;utm_content=act_formato_excel_link" xr:uid="{74A42C8E-0461-415A-AF31-DABB1ED76FC1}"/>
    <hyperlink ref="B731" r:id="rId1913" display="https://actualicese.com/acta-asamblea-o-junta-extraordinaria-por-cambio-de-revisor-fiscal-renuncia-o-revocatoria/?referer=L-excel-formato&amp;utm_medium=act_formato_excel&amp;utm_source=act_formato_excel&amp;utm_campaign=act_formato_excel&amp;utm_content=act_formato_excel_link" xr:uid="{DC2E7C7E-2E76-415F-A637-85ADC0A6C976}"/>
    <hyperlink ref="B733" r:id="rId1914" display="https://actualicese.com/acta-de-asamblea-general/?referer=L-excel-formato&amp;utm_medium=act_formato_excel&amp;utm_source=act_formato_excel&amp;utm_campaign=act_formato_excel&amp;utm_content=act_formato_excel_link" xr:uid="{86B35615-FB52-45CA-BE70-346EA76D6B87}"/>
    <hyperlink ref="B735" r:id="rId1915" display="https://actualicese.com/papeles-de-trabajo-del-auditor-cuestionarios-de-control-interno-para-pymes/?referer=L-excel-formato&amp;utm_medium=act_formato_excel&amp;utm_source=act_formato_excel&amp;utm_campaign=act_formato_excel&amp;utm_content=act_formato_excel_link" xr:uid="{74980AFF-DE37-4470-A31F-30DEB52819E2}"/>
    <hyperlink ref="B737" r:id="rId1916" display="https://actualicese.com/poder-para-nombrar-delegado-o-apoderado-en-asamblea-de-propietarios-en-p-h/?referer=L-excel-formato&amp;utm_medium=act_formato_excel&amp;utm_source=act_formato_excel&amp;utm_campaign=act_formato_excel&amp;utm_content=act_formato_excel_link" xr:uid="{1C8FC4E8-B555-4E53-9E1F-4AB7C9E3FB3E}"/>
    <hyperlink ref="B739" r:id="rId1917" display="https://actualicese.com/modelo-de-un-proyecto-de-distribucion-de-utilidades-en-una-sociedad-comercial/?referer=L-excel-formato&amp;utm_medium=act_formato_excel&amp;utm_source=act_formato_excel&amp;utm_campaign=act_formato_excel&amp;utm_content=act_formato_excel_link" xr:uid="{D7ABD63F-4955-476A-91A3-5E96221805E5}"/>
    <hyperlink ref="B741" r:id="rId1918" display="https://actualicese.com/cuestionario-de-auditoria-para-area-de-nomina/?referer=L-excel-formato&amp;utm_medium=act_formato_excel&amp;utm_source=act_formato_excel&amp;utm_campaign=act_formato_excel&amp;utm_content=act_formato_excel_link" xr:uid="{0BF54826-B3D8-4CBF-A0B4-966A5CB218BA}"/>
    <hyperlink ref="B743" r:id="rId1919" display="https://actualicese.com/cuestionario-de-auditoria-para-area-de-ventas/?referer=L-excel-formato&amp;utm_medium=act_formato_excel&amp;utm_source=act_formato_excel&amp;utm_campaign=act_formato_excel&amp;utm_content=act_formato_excel_link" xr:uid="{450EF21D-1ACE-4C6F-80AA-0070F669B443}"/>
    <hyperlink ref="B745" r:id="rId1920" display="https://actualicese.com/convocatoria-de-asamblea-general-ordinaria-de-copropietarios/?referer=L-excel-formato&amp;utm_medium=act_formato_excel&amp;utm_source=act_formato_excel&amp;utm_campaign=act_formato_excel&amp;utm_content=act_formato_excel_link" xr:uid="{6EDB1840-8A86-4E09-9235-7F0BC0C01D2E}"/>
    <hyperlink ref="B747" r:id="rId1921" display="https://actualicese.com/acta-de-reunion-de-junta-directiva/?referer=L-excel-formato&amp;utm_medium=act_formato_excel&amp;utm_source=act_formato_excel&amp;utm_campaign=act_formato_excel&amp;utm_content=act_formato_excel_link" xr:uid="{48DF2C8C-9AC4-4AA2-9BB0-BE69A8CC7761}"/>
    <hyperlink ref="B749" r:id="rId1922" display="https://actualicese.com/decisiones-asamblea-de-propietarios/?referer=L-excel-formato&amp;utm_medium=act_formato_excel&amp;utm_source=act_formato_excel&amp;utm_campaign=act_formato_excel&amp;utm_content=act_formato_excel_link" xr:uid="{7F31DF2E-08A8-489A-8496-1890ACE3D48B}"/>
    <hyperlink ref="B751" r:id="rId1923" display="https://actualicese.com/informe-del-revisor-fiscal-dirigido-a-la-asamblea-de-accionistas-o-junta-de-socios/?referer=L-excel-formato&amp;utm_medium=act_formato_excel&amp;utm_source=act_formato_excel&amp;utm_campaign=act_formato_excel&amp;utm_content=act_formato_excel_link" xr:uid="{E96F62E3-09AD-448F-9330-4E5DA2ED1E91}"/>
    <hyperlink ref="B753" r:id="rId1924" display="https://actualicese.com/convocatoria-a-asamblea-general-ordinaria-de-sociosaccionistas/?referer=L-excel-formato&amp;utm_medium=act_formato_excel&amp;utm_source=act_formato_excel&amp;utm_campaign=act_formato_excel&amp;utm_content=act_formato_excel_link" xr:uid="{9F526ACA-FC46-49D5-994D-F3B50F22C40D}"/>
    <hyperlink ref="B755" r:id="rId1925" display="https://actualicese.com/convocatoria-a-una-reunion-extraordinaria/?referer=L-excel-formato&amp;utm_medium=act_formato_excel&amp;utm_source=act_formato_excel&amp;utm_campaign=act_formato_excel&amp;utm_content=act_formato_excel_link" xr:uid="{C01E51E6-D75E-4670-8816-CA7DEDD1761D}"/>
    <hyperlink ref="B757" r:id="rId1926" display="https://actualicese.com/poder-de-representacion-en-asamblea-de-accionistas-o-junta-de-socios/?referer=L-excel-formato&amp;utm_medium=act_formato_excel&amp;utm_source=act_formato_excel&amp;utm_campaign=act_formato_excel&amp;utm_content=act_formato_excel_link" xr:uid="{40934F5A-6659-4C6C-BBF0-693427DF7A05}"/>
    <hyperlink ref="B759" r:id="rId1927" display="https://actualicese.com/modelo-de-informe-de-gestion/?referer=L-excel-formato&amp;utm_medium=act_formato_excel&amp;utm_source=act_formato_excel&amp;utm_campaign=act_formato_excel&amp;utm_content=act_formato_excel_link" xr:uid="{F604C698-959E-4205-8607-6BF2884B62FA}"/>
    <hyperlink ref="B761" r:id="rId1928" display="https://actualicese.com/cuestionario-de-auditoria-para-el-area-de-compras/?referer=L-excel-formato&amp;utm_medium=act_formato_excel&amp;utm_source=act_formato_excel&amp;utm_campaign=act_formato_excel&amp;utm_content=act_formato_excel_link" xr:uid="{CC7D7807-CB6F-4EFE-BAC2-EA0FF11CEAE7}"/>
    <hyperlink ref="B763" r:id="rId1929" display="https://actualicese.com/pack-de-formatos-liquidadores-simuladores-y-guias-para-el-cierre-contable-y-fiscal-del-ano-gravable-2023/?referer=L-excel-formato&amp;utm_medium=act_formato_excel&amp;utm_source=act_formato_excel&amp;utm_campaign=act_formato_excel&amp;utm_content=act_formato_excel_link" xr:uid="{5E2D1BB6-A8C6-4AC2-B6B8-66A158D776C2}"/>
    <hyperlink ref="B765" r:id="rId1930" display="https://actualicese.com/convenio-de-pago-o-acuerdo-de-pago/?referer=L-excel-formato&amp;utm_medium=act_formato_excel&amp;utm_source=act_formato_excel&amp;utm_campaign=act_formato_excel&amp;utm_content=act_formato_excel_link" xr:uid="{178176C2-2603-4D4E-8DB3-676B8DCE19C4}"/>
    <hyperlink ref="B767" r:id="rId1931" display="https://actualicese.com/respuesta-a-solicitud-de-un-servicio/?referer=L-excel-formato&amp;utm_medium=act_formato_excel&amp;utm_source=act_formato_excel&amp;utm_campaign=act_formato_excel&amp;utm_content=act_formato_excel_link" xr:uid="{97E746A8-D492-4069-9939-03A228FECC89}"/>
    <hyperlink ref="B769" r:id="rId1932" display="https://actualicese.com/formato-de-solicitud-de-permiso-compensatorio-por-votaciones/?referer=L-excel-formato&amp;utm_medium=act_formato_excel&amp;utm_source=act_formato_excel&amp;utm_campaign=act_formato_excel&amp;utm_content=act_formato_excel_link" xr:uid="{052F46A0-0D5E-4F64-9923-CED13B7EA0BD}"/>
    <hyperlink ref="B771" r:id="rId1933" display="https://actualicese.com/solicitud-compensacion-de-vacaciones/?referer=L-excel-formato&amp;utm_medium=act_formato_excel&amp;utm_source=act_formato_excel&amp;utm_campaign=act_formato_excel&amp;utm_content=act_formato_excel_link" xr:uid="{D3764F5F-395D-4A5B-871C-CEFDD4324697}"/>
    <hyperlink ref="B773" r:id="rId1934" display="https://actualicese.com/simulador-del-impuesto-para-dividendos-y-participaciones-gravados-de-2016-y-anteriores/?referer=L-excel-formato&amp;utm_medium=act_formato_excel&amp;utm_source=act_formato_excel&amp;utm_campaign=act_formato_excel&amp;utm_content=act_formato_excel_link" xr:uid="{B327A879-96E5-4899-AF35-B76C624E6F1C}"/>
    <hyperlink ref="B775" r:id="rId1935" display="https://actualicese.com/cuestionario-de-auditoria-para-las-propiedades-planta-y-equipo/?referer=L-excel-formato&amp;utm_medium=act_formato_excel&amp;utm_source=act_formato_excel&amp;utm_campaign=act_formato_excel&amp;utm_content=act_formato_excel_link" xr:uid="{24E8A081-6A77-471D-8B49-39DC54EE20C7}"/>
    <hyperlink ref="B777" r:id="rId1936" display="https://actualicese.com/cuestionario-de-control-interno-de-inventarios-en-excel/?referer=L-excel-formato&amp;utm_medium=act_formato_excel&amp;utm_source=act_formato_excel&amp;utm_campaign=act_formato_excel&amp;utm_content=act_formato_excel_link" xr:uid="{C6264963-D8BC-411B-9E0E-4BBBA9248589}"/>
    <hyperlink ref="B779" r:id="rId1937" display="https://actualicese.com/cuestionario-de-control-interno-de-provisiones-y-contingencias-en-excel/?referer=L-excel-formato&amp;utm_medium=act_formato_excel&amp;utm_source=act_formato_excel&amp;utm_campaign=act_formato_excel&amp;utm_content=act_formato_excel_link" xr:uid="{2147CEFB-2318-4188-941A-C754CC72C293}"/>
    <hyperlink ref="B781" r:id="rId1938" display="https://actualicese.com/caso-practico-en-excel-sobre-adquisicion-de-activos-inventarios-con-interes-implicito/?referer=L-excel-formato&amp;utm_medium=act_formato_excel&amp;utm_source=act_formato_excel&amp;utm_campaign=act_formato_excel&amp;utm_content=act_formato_excel_link" xr:uid="{C0869E7A-7EDE-4329-B51B-C621FD2ED717}"/>
    <hyperlink ref="B783" r:id="rId1939" display="https://actualicese.com/codigos-de-responsabilidades-tributarias-rut-casilla-53/?referer=L-excel-formato&amp;utm_medium=act_formato_excel&amp;utm_source=act_formato_excel&amp;utm_campaign=act_formato_excel&amp;utm_content=act_formato_excel_link" xr:uid="{1B53EEB8-87CF-4335-B1E2-387EAF46196F}"/>
    <hyperlink ref="B785" r:id="rId1940" display="https://actualicese.com/correccion-de-errores-de-periodos-anteriores-en-el-cierre-contable/?referer=L-excel-formato&amp;utm_medium=act_formato_excel&amp;utm_source=act_formato_excel&amp;utm_campaign=act_formato_excel&amp;utm_content=act_formato_excel_link" xr:uid="{7E7EA07E-F36A-4EB6-B1E4-52C6B6079C34}"/>
    <hyperlink ref="B787" r:id="rId1941" display="https://actualicese.com/formato-de-circularizacion-de-clientes-automatizado/?referer=L-excel-formato&amp;utm_medium=act_formato_excel&amp;utm_source=act_formato_excel&amp;utm_campaign=act_formato_excel&amp;utm_content=act_formato_excel_link" xr:uid="{377C0C0E-41CF-486B-9829-6288C4E557C5}"/>
    <hyperlink ref="B789" r:id="rId1942" display="https://actualicese.com/ejemplos-sobre-hechos-posteriores-al-cierre-que-implican-o-no-ajustes/?referer=L-excel-formato&amp;utm_medium=act_formato_excel&amp;utm_source=act_formato_excel&amp;utm_campaign=act_formato_excel&amp;utm_content=act_formato_excel_link" xr:uid="{6AA6B4A8-C5FE-4C38-BA85-A9CB0E8B615F}"/>
    <hyperlink ref="B791" r:id="rId1943" display="https://actualicese.com/formato-de-circularizacion-de-proveedores-automatizado/?referer=L-excel-formato&amp;utm_medium=act_formato_excel&amp;utm_source=act_formato_excel&amp;utm_campaign=act_formato_excel&amp;utm_content=act_formato_excel_link" xr:uid="{DE80B555-0D32-495C-84D7-CCE54EFC130D}"/>
    <hyperlink ref="B793" r:id="rId1944" display="https://actualicese.com/guia-en-excel-para-revisiones-pertinentes-en-la-propiedad-planta-y-equipo-en-el-proceso-de-cierre-contable/?referer=L-excel-formato&amp;utm_medium=act_formato_excel&amp;utm_source=act_formato_excel&amp;utm_campaign=act_formato_excel&amp;utm_content=act_formato_excel_link" xr:uid="{AC568E20-7329-4AEE-87BD-4BA34600A2F7}"/>
    <hyperlink ref="B795" r:id="rId1945" display="https://actualicese.com/lista-de-chequeo-para-efectuar-el-cierre-contable-y-fiscal-de-una-entidad/?referer=L-excel-formato&amp;utm_medium=act_formato_excel&amp;utm_source=act_formato_excel&amp;utm_campaign=act_formato_excel&amp;utm_content=act_formato_excel_link" xr:uid="{911AA64D-0E30-4B08-8A21-5639AFB4EDE4}"/>
    <hyperlink ref="B797" r:id="rId1946" display="https://actualicese.com/guia-en-excel-y-casos-practicos-de-tributacion-en-el-impuesto-de-renta-de-los-dividendos-y-participaciones-ag-2023/?referer=L-excel-formato&amp;utm_medium=act_formato_excel&amp;utm_source=act_formato_excel&amp;utm_campaign=act_formato_excel&amp;utm_content=act_formato_excel_link" xr:uid="{19815CD3-5843-404A-A13F-815C0DE3D48E}"/>
    <hyperlink ref="B799" r:id="rId1947" display="https://actualicese.com/formatos-de-analisis-financiero-en-excel/?referer=L-excel-formato&amp;utm_medium=act_formato_excel&amp;utm_source=act_formato_excel&amp;utm_campaign=act_formato_excel&amp;utm_content=act_formato_excel_link" xr:uid="{2EF8960A-E3A5-40AD-A177-F4D4038399E6}"/>
    <hyperlink ref="B801" r:id="rId1948" display="https://actualicese.com/guia-en-word-con-las-revelaciones-de-la-informacion-financiera-a-presentar-segun-el-estandar-para-pymes/?referer=L-excel-formato&amp;utm_medium=act_formato_excel&amp;utm_source=act_formato_excel&amp;utm_campaign=act_formato_excel&amp;utm_content=act_formato_excel_link" xr:uid="{9378447D-4ADB-488A-8904-494F3D71AA24}"/>
    <hyperlink ref="B803" r:id="rId1949" display="https://actualicese.com/plantilla-del-estado-de-costos-de-produccion-y-ventas/?referer=L-excel-formato&amp;utm_medium=act_formato_excel&amp;utm_source=act_formato_excel&amp;utm_campaign=act_formato_excel&amp;utm_content=act_formato_excel_link" xr:uid="{4140D28B-83E7-45B6-A308-A3DE3B3CC26E}"/>
    <hyperlink ref="B805" r:id="rId1950" display="https://actualicese.com/ejercicios-de-conversion-entre-tasas-de-interes-efectiva-nominal-y-periodica/?referer=L-excel-formato&amp;utm_medium=act_formato_excel&amp;utm_source=act_formato_excel&amp;utm_campaign=act_formato_excel&amp;utm_content=act_formato_excel_link" xr:uid="{57D42306-A283-4848-8021-E8FA698BE80C}"/>
    <hyperlink ref="B807" r:id="rId1951" display="https://actualicese.com/formato-de-flujo-de-caja-real-y-presupuestado/?referer=L-excel-formato&amp;utm_medium=act_formato_excel&amp;utm_source=act_formato_excel&amp;utm_campaign=act_formato_excel&amp;utm_content=act_formato_excel_link" xr:uid="{C6304AA5-D341-4847-86C2-B164E4BB3B8C}"/>
    <hyperlink ref="B809" r:id="rId1952" display="https://actualicese.com/guia-modelo-en-excel-de-la-estructura-del-balance-de-comprobacion/?referer=L-excel-formato&amp;utm_medium=act_formato_excel&amp;utm_source=act_formato_excel&amp;utm_campaign=act_formato_excel&amp;utm_content=act_formato_excel_link" xr:uid="{BB24369B-456E-4BB5-87E2-F4BCB830C21D}"/>
    <hyperlink ref="B811" r:id="rId1953" display="https://actualicese.com/modelo-calculo-intereses-de-mora-y-su-iva-en-cuentas-por-cobrar-vencidas/?referer=L-excel-formato&amp;utm_medium=act_formato_excel&amp;utm_source=act_formato_excel&amp;utm_campaign=act_formato_excel&amp;utm_content=act_formato_excel_link" xr:uid="{A2F5386D-8A87-4EE3-B5B7-29D31AF4B396}"/>
    <hyperlink ref="B813" r:id="rId1954" display="https://actualicese.com/estado-de-resultados-con-enfoque-de-gastos-por-naturaleza-o-por-funcion/?referer=L-excel-formato&amp;utm_medium=act_formato_excel&amp;utm_source=act_formato_excel&amp;utm_campaign=act_formato_excel&amp;utm_content=act_formato_excel_link" xr:uid="{787EDCF3-A02E-4FB9-AC12-86B635EDEB83}"/>
    <hyperlink ref="B815" r:id="rId1955" display="https://actualicese.com/simulador-del-punto-de-equilibrio-en-excel-herramienta-de-analisis-financiero/?referer=L-excel-formato&amp;utm_medium=act_formato_excel&amp;utm_source=act_formato_excel&amp;utm_campaign=act_formato_excel&amp;utm_content=act_formato_excel_link" xr:uid="{00AE9103-6E08-4B9A-B9CA-1395DE08CEFA}"/>
    <hyperlink ref="B817" r:id="rId1956" display="https://actualicese.com/analisis-vertical-y-horizontal-aplicados-a-la-interpretacion-de-informacion-financiera/?referer=L-excel-formato&amp;utm_medium=act_formato_excel&amp;utm_source=act_formato_excel&amp;utm_campaign=act_formato_excel&amp;utm_content=act_formato_excel_link" xr:uid="{98F7FE8B-81B8-4E21-9AE7-FB190F23B546}"/>
    <hyperlink ref="B819" r:id="rId1957" display="https://actualicese.com/hoja-de-costos-en-excel/?referer=L-excel-formato&amp;utm_medium=act_formato_excel&amp;utm_source=act_formato_excel&amp;utm_campaign=act_formato_excel&amp;utm_content=act_formato_excel_link" xr:uid="{F8CE3637-C1DF-4FA3-8C90-8BC07BE37150}"/>
    <hyperlink ref="B821" r:id="rId1958" display="https://actualicese.com/liquidador-de-indicadores-financieros/?referer=L-excel-formato&amp;utm_medium=act_formato_excel&amp;utm_source=act_formato_excel&amp;utm_campaign=act_formato_excel&amp;utm_content=act_formato_excel_link" xr:uid="{4EE0CE73-07A5-4293-9D00-E3B3F0A0B10A}"/>
    <hyperlink ref="B823" r:id="rId1959" display="https://actualicese.com/carta-para-autorizar-descuento-en-salario-por-libranza/?referer=L-excel-formato&amp;utm_medium=act_formato_excel&amp;utm_source=act_formato_excel&amp;utm_campaign=act_formato_excel&amp;utm_content=act_formato_excel_link" xr:uid="{57EE0E49-0BBE-4C82-B640-68284AECDCF4}"/>
    <hyperlink ref="B825" r:id="rId1960" display="https://actualicese.com/dupont-indice-de-rentabilidad/?referer=L-excel-formato&amp;utm_medium=act_formato_excel&amp;utm_source=act_formato_excel&amp;utm_campaign=act_formato_excel&amp;utm_content=act_formato_excel_link" xr:uid="{E893330F-39BF-4FAD-A7BE-2570EEDF6759}"/>
    <hyperlink ref="B827" r:id="rId1961" display="https://actualicese.com/modelo-para-analizar-el-valor-presente-y-el-valor-presente-neto-de-una-inversion/?referer=L-excel-formato&amp;utm_medium=act_formato_excel&amp;utm_source=act_formato_excel&amp;utm_campaign=act_formato_excel&amp;utm_content=act_formato_excel_link" xr:uid="{4325185F-ABF1-42C1-915A-1DBC4E4EF0E4}"/>
    <hyperlink ref="B829" r:id="rId1962" display="https://actualicese.com/estado-de-flujos-de-efectivo-por-el-metodo-directo-ejercicio-practico-y-plantilla-en-excel/?referer=L-excel-formato&amp;utm_medium=act_formato_excel&amp;utm_source=act_formato_excel&amp;utm_campaign=act_formato_excel&amp;utm_content=act_formato_excel_link" xr:uid="{95A54E63-6669-48EC-907E-696B62BCEC3A}"/>
    <hyperlink ref="B831" r:id="rId1963" display="https://actualicese.com/estado-de-flujos-de-efectivo-por-el-metodo-indirecto-ejercicio-practico-y-plantilla-en-excel/?referer=L-excel-formato&amp;utm_medium=act_formato_excel&amp;utm_source=act_formato_excel&amp;utm_campaign=act_formato_excel&amp;utm_content=act_formato_excel_link" xr:uid="{3968128F-CEFF-44A9-948B-8BFD150174BA}"/>
    <hyperlink ref="B833" r:id="rId1964" display="https://actualicese.com/modelo-de-estructura-del-estado-de-resultados-y-ganancias-acumuladas/?referer=L-excel-formato&amp;utm_medium=act_formato_excel&amp;utm_source=act_formato_excel&amp;utm_campaign=act_formato_excel&amp;utm_content=act_formato_excel_link" xr:uid="{7D6C5C2A-999F-4EA1-A185-CB6617CB4A77}"/>
    <hyperlink ref="B835" r:id="rId1965" display="https://actualicese.com/calculo-de-la-tir-y-tecnica-del-costo-amortizado-en-el-analisis-financiero/?referer=L-excel-formato&amp;utm_medium=act_formato_excel&amp;utm_source=act_formato_excel&amp;utm_campaign=act_formato_excel&amp;utm_content=act_formato_excel_link" xr:uid="{6DE16702-4153-4004-B1CB-D72FB889292A}"/>
    <hyperlink ref="B837" r:id="rId1966" display="https://actualicese.com/clasificacion-de-arrendamientos-segun-la-seccion-20-del-estandar-para-pymes-casos-practicos-en-excel/?referer=L-excel-formato&amp;utm_medium=act_formato_excel&amp;utm_source=act_formato_excel&amp;utm_campaign=act_formato_excel&amp;utm_content=act_formato_excel_link" xr:uid="{6464EECF-E390-44DE-A9A1-2B3B883FD69B}"/>
    <hyperlink ref="B839" r:id="rId1967" display="https://actualicese.com/liquidador-de-indicadores-de-detrimento-patrimonial-e-insolvencia-financiera/?referer=L-excel-formato&amp;utm_medium=act_formato_excel&amp;utm_source=act_formato_excel&amp;utm_campaign=act_formato_excel&amp;utm_content=act_formato_excel_link" xr:uid="{81FBA6DC-0927-4383-8FF9-6B70F4D352C9}"/>
    <hyperlink ref="B841" r:id="rId1968" display="https://actualicese.com/guia-en-excel-para-determinar-el-control-de-una-entidad-sobre-otra/?referer=L-excel-formato&amp;utm_medium=act_formato_excel&amp;utm_source=act_formato_excel&amp;utm_campaign=act_formato_excel&amp;utm_content=act_formato_excel_link" xr:uid="{27530D68-882B-40A6-9818-E7A3BEDA3C8A}"/>
    <hyperlink ref="B843" r:id="rId1969" display="https://actualicese.com/casos-practicos-en-excel-sobre-la-distribucion-de-los-cif-costos-indirectos-de-fabricacion/?referer=L-excel-formato&amp;utm_medium=act_formato_excel&amp;utm_source=act_formato_excel&amp;utm_campaign=act_formato_excel&amp;utm_content=act_formato_excel_link" xr:uid="{72E12742-4CFF-4E87-9048-821ADE4FCA5F}"/>
    <hyperlink ref="B845" r:id="rId1970" display="https://actualicese.com/modelo-para-la-elaboracion-del-estado-de-cambios-en-el-patrimonio/?referer=L-excel-formato&amp;utm_medium=act_formato_excel&amp;utm_source=act_formato_excel&amp;utm_campaign=act_formato_excel&amp;utm_content=act_formato_excel_link" xr:uid="{F85F9E8E-0302-4A41-9339-95E6381FDED7}"/>
    <hyperlink ref="B847" r:id="rId1971" display="https://actualicese.com/guia-modelo-de-presentacion-del-estado-de-resultado-integral-por-enfoques/?referer=L-excel-formato&amp;utm_medium=act_formato_excel&amp;utm_source=act_formato_excel&amp;utm_campaign=act_formato_excel&amp;utm_content=act_formato_excel_link" xr:uid="{AE837B64-728E-4C5F-AF2A-B2354CC3DE1B}"/>
    <hyperlink ref="B849" r:id="rId1972" display="https://actualicese.com/modelo-de-certificacion-de-estados-financieros-version-simplificada/?referer=L-excel-formato&amp;utm_medium=act_formato_excel&amp;utm_source=act_formato_excel&amp;utm_campaign=act_formato_excel&amp;utm_content=act_formato_excel_link" xr:uid="{9B50BD46-A40B-4F56-A4E2-B1704697DB79}"/>
    <hyperlink ref="B851" r:id="rId1973" display="https://actualicese.com/modelo-de-certificacion-de-estados-financieros-consolidados/?referer=L-excel-formato&amp;utm_medium=act_formato_excel&amp;utm_source=act_formato_excel&amp;utm_campaign=act_formato_excel&amp;utm_content=act_formato_excel_link" xr:uid="{ED085102-983E-467B-A1D4-7075A68BF642}"/>
    <hyperlink ref="B853" r:id="rId1974" display="https://actualicese.com/simulador-de-estado-de-situacion-financiera-analisis-comparativo/?referer=L-excel-formato&amp;utm_medium=act_formato_excel&amp;utm_source=act_formato_excel&amp;utm_campaign=act_formato_excel&amp;utm_content=act_formato_excel_link" xr:uid="{BA8B110C-68AA-4FE7-8D7D-E48249AA0A43}"/>
    <hyperlink ref="B855" r:id="rId1975" display="https://actualicese.com/casos-practicos-para-comprender-la-contabilizacion-de-pasivos-en-el-cierre-contable/?referer=L-excel-formato&amp;utm_medium=act_formato_excel&amp;utm_source=act_formato_excel&amp;utm_campaign=act_formato_excel&amp;utm_content=act_formato_excel_link" xr:uid="{35DD758B-F11C-4D53-937F-E0842CC05375}"/>
    <hyperlink ref="B857" r:id="rId1976" display="https://actualicese.com/ejercicios-sobre-metodos-de-depreciacion-linea-recta-decreciente-unidades-de-produccion-y-mas/?referer=L-excel-formato&amp;utm_medium=act_formato_excel&amp;utm_source=act_formato_excel&amp;utm_campaign=act_formato_excel&amp;utm_content=act_formato_excel_link" xr:uid="{F91C020A-51B7-48E6-8CF8-4D7FF9E6683C}"/>
    <hyperlink ref="B859" r:id="rId1977" display="https://actualicese.com/carta-de-renuncia/?referer=L-excel-formato&amp;utm_medium=act_formato_excel&amp;utm_source=act_formato_excel&amp;utm_campaign=act_formato_excel&amp;utm_content=act_formato_excel_link" xr:uid="{839F8B12-17EA-4D94-AEB8-F843BE6AA9AE}"/>
    <hyperlink ref="B861" r:id="rId1978" display="https://actualicese.com/modelo-de-llamado-de-atencion/?referer=L-excel-formato&amp;utm_medium=act_formato_excel&amp;utm_source=act_formato_excel&amp;utm_campaign=act_formato_excel&amp;utm_content=act_formato_excel_link" xr:uid="{2776F812-BBFE-47B6-B15A-5E36F8F25E11}"/>
    <hyperlink ref="B863" r:id="rId1979" display="https://actualicese.com/modelo-aceptacion-de-renuncia/?referer=L-excel-formato&amp;utm_medium=act_formato_excel&amp;utm_source=act_formato_excel&amp;utm_campaign=act_formato_excel&amp;utm_content=act_formato_excel_link" xr:uid="{84C81C64-3575-4CF5-8AFD-E7A64CDAC241}"/>
    <hyperlink ref="B865" r:id="rId1980" display="https://actualicese.com/modelo-de-certificado-laboral/?referer=L-excel-formato&amp;utm_medium=act_formato_excel&amp;utm_source=act_formato_excel&amp;utm_campaign=act_formato_excel&amp;utm_content=act_formato_excel_link" xr:uid="{CB40FE1F-4F01-40F9-9254-A6C91FC22F8E}"/>
    <hyperlink ref="B867" r:id="rId1981" display="https://actualicese.com/derecho-de-peticion-para-solicitar-certificado-laboral/?referer=L-excel-formato&amp;utm_medium=act_formato_excel&amp;utm_source=act_formato_excel&amp;utm_campaign=act_formato_excel&amp;utm_content=act_formato_excel_link" xr:uid="{0596F544-3132-4A1F-B719-D752F677AE9C}"/>
    <hyperlink ref="B869" r:id="rId1982" display="https://actualicese.com/simulador-de-casos-para-clasificar-instrumentos-financieros-como-pasivos-o-patrimonio/?referer=L-excel-formato&amp;utm_medium=act_formato_excel&amp;utm_source=act_formato_excel&amp;utm_campaign=act_formato_excel&amp;utm_content=act_formato_excel_link" xr:uid="{3707BF2E-E883-4CC7-BACD-47EEE4757E1C}"/>
    <hyperlink ref="B871" r:id="rId1983" display="https://actualicese.com/guia-en-excel-sobre-el-sistema-de-facturacion-electronica-documento-soporte-y-nomina-electronica-ag-2023/?referer=L-excel-formato&amp;utm_medium=act_formato_excel&amp;utm_source=act_formato_excel&amp;utm_campaign=act_formato_excel&amp;utm_content=act_formato_excel_link" xr:uid="{FB93AED0-728E-43AF-9C45-825A163DBCFC}"/>
    <hyperlink ref="B873" r:id="rId1984" display="https://actualicese.com/casos-practicos-para-comprender-la-contabilizacion-de-activos-en-el-cierre-contable/?referer=L-excel-formato&amp;utm_medium=act_formato_excel&amp;utm_source=act_formato_excel&amp;utm_campaign=act_formato_excel&amp;utm_content=act_formato_excel_link" xr:uid="{100E62DC-4825-4666-A770-FA09F56911BF}"/>
    <hyperlink ref="B875" r:id="rId1985" display="https://actualicese.com/liquidador-modelos-de-conciliacion-bancaria-individual-y-conjunta-en-excel/?referer=L-excel-formato&amp;utm_medium=act_formato_excel&amp;utm_source=act_formato_excel&amp;utm_campaign=act_formato_excel&amp;utm_content=act_formato_excel_link" xr:uid="{00AED497-BB3F-45A0-B253-D000FD87B260}"/>
    <hyperlink ref="B877" r:id="rId1986" display="https://actualicese.com/ejercicio-practico-en-excel-valuacion-de-inventarios-por-el-metodo-de-identificacion-especifica/?referer=L-excel-formato&amp;utm_medium=act_formato_excel&amp;utm_source=act_formato_excel&amp;utm_campaign=act_formato_excel&amp;utm_content=act_formato_excel_link" xr:uid="{39B08BA4-694A-42B3-94EA-08484C9C2A4B}"/>
    <hyperlink ref="B879" r:id="rId1987" display="https://actualicese.com/simulador-para-la-clasificacion-de-entidades-en-los-grupos-1-2-o-3-de-estandares-internacionales/?referer=L-excel-formato&amp;utm_medium=act_formato_excel&amp;utm_source=act_formato_excel&amp;utm_campaign=act_formato_excel&amp;utm_content=act_formato_excel_link" xr:uid="{66A5DD6A-E0C1-4062-8B57-EAA39671FC19}"/>
    <hyperlink ref="B881" r:id="rId1988" display="https://actualicese.com/guia-en-excel-con-los-principales-indices-de-coherencia-tributaria-para-las-personas-juridicas/?referer=L-excel-formato&amp;utm_medium=act_formato_excel&amp;utm_source=act_formato_excel&amp;utm_campaign=act_formato_excel&amp;utm_content=act_formato_excel_link" xr:uid="{F325605A-42DF-41CC-AA45-38BA22BF34F7}"/>
    <hyperlink ref="B883" r:id="rId1989" display="https://actualicese.com/liquidador-casos-practicos-en-excel-con-las-diferencias-mas-comunes-en-el-proceso-de-conciliacion-fiscal-de-personas-juridicas/?referer=L-excel-formato&amp;utm_medium=act_formato_excel&amp;utm_source=act_formato_excel&amp;utm_campaign=act_formato_excel&amp;utm_content=act_formato_excel_link" xr:uid="{CA0DE0B4-DBE8-472A-BB8C-69BA113FB8BB}"/>
    <hyperlink ref="B885" r:id="rId1990" display="https://actualicese.com/simulador-con-las-diferencias-permanentes-temporales-y-temporarias-efectos-en-la-utilidad-contable-y-fiscal/?referer=L-excel-formato&amp;utm_medium=act_formato_excel&amp;utm_source=act_formato_excel&amp;utm_campaign=act_formato_excel&amp;utm_content=act_formato_excel_link" xr:uid="{DDAF219A-490C-4907-BF24-0EA0E77E46C7}"/>
    <hyperlink ref="B887" r:id="rId1991" display="https://actualicese.com/liquidador-en-excel-para-calcular-la-contribucion-2023-a-supersociedades/?referer=L-excel-formato&amp;utm_medium=act_formato_excel&amp;utm_source=act_formato_excel&amp;utm_campaign=act_formato_excel&amp;utm_content=act_formato_excel_link" xr:uid="{7E43C72E-9D0F-49BB-8198-8B5FF22CF541}"/>
    <hyperlink ref="B889" r:id="rId1992" display="https://actualicese.com/caso-practico-en-excel-sobre-bancarizacion-en-personas-juridicas/?referer=L-excel-formato&amp;utm_medium=act_formato_excel&amp;utm_source=act_formato_excel&amp;utm_campaign=act_formato_excel&amp;utm_content=act_formato_excel_link" xr:uid="{B780648C-7092-41A0-94FC-6151A3FB6B39}"/>
    <hyperlink ref="B891" r:id="rId1993" display="https://actualicese.com/indicadores-financieros-de-actividad-y-rentabilidad/?referer=L-excel-formato&amp;utm_medium=act_formato_excel&amp;utm_source=act_formato_excel&amp;utm_campaign=act_formato_excel&amp;utm_content=act_formato_excel_link" xr:uid="{833A214C-6CA1-4487-94AA-20B174274BC1}"/>
    <hyperlink ref="B893" r:id="rId1994" display="https://actualicese.com/indicadores-financieros-de-endeudamiento/?referer=L-excel-formato&amp;utm_medium=act_formato_excel&amp;utm_source=act_formato_excel&amp;utm_campaign=act_formato_excel&amp;utm_content=act_formato_excel_link" xr:uid="{D1347C8E-CFE9-4A9A-8FB0-5401CFFA5373}"/>
    <hyperlink ref="B895" r:id="rId1995" display="https://actualicese.com/indicadores-financieros-margenes-de-utilidad-o-rentabilidad/?referer=L-excel-formato&amp;utm_medium=act_formato_excel&amp;utm_source=act_formato_excel&amp;utm_campaign=act_formato_excel&amp;utm_content=act_formato_excel_link" xr:uid="{9CF30D65-215D-41CB-9EC7-D57D09AB0030}"/>
    <hyperlink ref="B897" r:id="rId1996" display="https://actualicese.com/indicadores-financieros-de-liquidez/?referer=L-excel-formato&amp;utm_medium=act_formato_excel&amp;utm_source=act_formato_excel&amp;utm_campaign=act_formato_excel&amp;utm_content=act_formato_excel_link" xr:uid="{043B1B30-4631-47AE-BD9D-35D48C4D8C95}"/>
    <hyperlink ref="B899" r:id="rId1997" display="https://actualicese.com/indicadores-financieros-de-mercado/?referer=L-excel-formato&amp;utm_medium=act_formato_excel&amp;utm_source=act_formato_excel&amp;utm_campaign=act_formato_excel&amp;utm_content=act_formato_excel_link" xr:uid="{891AB6E9-7CA6-4ED5-890F-BEB63AD535FC}"/>
    <hyperlink ref="B901" r:id="rId1998" display="https://actualicese.com/modelo-cesion-de-acciones/?referer=L-excel-formato&amp;utm_medium=act_formato_excel&amp;utm_source=act_formato_excel&amp;utm_campaign=act_formato_excel&amp;utm_content=act_formato_excel_link" xr:uid="{33F49D6D-A4C7-411C-A460-58BFC3AF6F70}"/>
    <hyperlink ref="B903" r:id="rId1999" display="https://actualicese.com/modelo-de-memorial-para-solicitarle-al-juez-librar-medida-cautelar/?referer=L-excel-formato&amp;utm_medium=act_formato_excel&amp;utm_source=act_formato_excel&amp;utm_campaign=act_formato_excel&amp;utm_content=act_formato_excel_link" xr:uid="{7E208E59-71A4-4F66-9885-1581A58CD4AD}"/>
    <hyperlink ref="B905" r:id="rId2000" display="https://actualicese.com/nota-1-a-los-estados-financieros-bajo-el-estandar-internacional-para-pymes/?referer=L-excel-formato&amp;utm_medium=act_formato_excel&amp;utm_source=act_formato_excel&amp;utm_campaign=act_formato_excel&amp;utm_content=act_formato_excel_link" xr:uid="{AE6505A6-9057-4467-AFE2-2B4E32A1461F}"/>
    <hyperlink ref="B907" r:id="rId2001" display="https://actualicese.com/revocatoria-de-poder-otorgado-a-un-abogado/?referer=L-excel-formato&amp;utm_medium=act_formato_excel&amp;utm_source=act_formato_excel&amp;utm_campaign=act_formato_excel&amp;utm_content=act_formato_excel_link" xr:uid="{AFF9ADDA-FAC5-44A0-BB53-F93782DBA63C}"/>
    <hyperlink ref="B909" r:id="rId2002" display="https://actualicese.com/guia-modelo-de-notas-a-los-estados-financieros-estado-de-resultados/?referer=L-excel-formato&amp;utm_medium=act_formato_excel&amp;utm_source=act_formato_excel&amp;utm_campaign=act_formato_excel&amp;utm_content=act_formato_excel_link" xr:uid="{1E97229C-153A-4EC6-B42C-25B2F39DE8D1}"/>
    <hyperlink ref="B911" r:id="rId2003" display="https://actualicese.com/matriz-en-excel-rentas-exentas-descuentos-costos-y-deducciones-para-personas-juridicas-en-2023/?referer=L-excel-formato&amp;utm_medium=act_formato_excel&amp;utm_source=act_formato_excel&amp;utm_campaign=act_formato_excel&amp;utm_content=act_formato_excel_link" xr:uid="{7941B880-1080-4D13-BE92-EE67516A2F50}"/>
    <hyperlink ref="B913" r:id="rId2004" display="https://actualicese.com/modelo-de-carta-para-solicitar-a-la-empresa-de-servicios-publicos-la-suspension-del-contrato-de-telefonia-e-internet/?referer=L-excel-formato&amp;utm_medium=act_formato_excel&amp;utm_source=act_formato_excel&amp;utm_campaign=act_formato_excel&amp;utm_content=act_formato_excel_link" xr:uid="{D9E67188-7317-4AC3-8A6A-79891C44A16E}"/>
    <hyperlink ref="B915" r:id="rId2005" display="https://actualicese.com/solicitud-pago-de-acreencias-laborales/?referer=L-excel-formato&amp;utm_medium=act_formato_excel&amp;utm_source=act_formato_excel&amp;utm_campaign=act_formato_excel&amp;utm_content=act_formato_excel_link" xr:uid="{789913AC-09C9-4326-A930-6851F91ADB54}"/>
    <hyperlink ref="B917" r:id="rId2006" display="https://actualicese.com/carta-otorgando-poder/?referer=L-excel-formato&amp;utm_medium=act_formato_excel&amp;utm_source=act_formato_excel&amp;utm_campaign=act_formato_excel&amp;utm_content=act_formato_excel_link" xr:uid="{A80245BB-7104-4FF0-BB27-9EB287782AC2}"/>
    <hyperlink ref="B919" r:id="rId2007" display="https://actualicese.com/cuestionario-control-interno-efectivo-y-equivalentes-de-efectivo/?referer=L-excel-formato&amp;utm_medium=act_formato_excel&amp;utm_source=act_formato_excel&amp;utm_campaign=act_formato_excel&amp;utm_content=act_formato_excel_link" xr:uid="{7159F4F0-8859-4755-8E70-4CF3AF0D2C73}"/>
    <hyperlink ref="B921" r:id="rId2008" display="https://actualicese.com/pack-de-formatos-en-excel-para-calcular-el-impuesto-diferido-en-2023-guias-casos-practicos-y-mas/?referer=L-excel-formato&amp;utm_medium=act_formato_excel&amp;utm_source=act_formato_excel&amp;utm_campaign=act_formato_excel&amp;utm_content=act_formato_excel_link" xr:uid="{C1A1F410-2C6D-44C4-978E-4F0D0C2E0241}"/>
    <hyperlink ref="B923" r:id="rId2009" display="https://actualicese.com/modelo-de-politica-base-para-la-preparacion-de-estados-financieros-bajo-estandar-internacional-para-pymes/?referer=L-excel-formato&amp;utm_medium=act_formato_excel&amp;utm_source=act_formato_excel&amp;utm_campaign=act_formato_excel&amp;utm_content=act_formato_excel_link" xr:uid="{12B12DEF-D79D-4857-910D-04F3335CEF44}"/>
    <hyperlink ref="B925" r:id="rId2010" display="https://actualicese.com/liquidador-de-actualizacion-de-sanciones-tributarias/?referer=L-excel-formato&amp;utm_medium=act_formato_excel&amp;utm_source=act_formato_excel&amp;utm_campaign=act_formato_excel&amp;utm_content=act_formato_excel_link" xr:uid="{CF1E1026-AC6C-46AC-AAEC-4BC292CD29A1}"/>
    <hyperlink ref="B927" r:id="rId2011" display="https://actualicese.com/determinacion-de-diferencias-temporarias-e-impuesto-diferido/?referer=L-excel-formato&amp;utm_medium=act_formato_excel&amp;utm_source=act_formato_excel&amp;utm_campaign=act_formato_excel&amp;utm_content=act_formato_excel_link" xr:uid="{2D2F2397-E626-491B-A840-3D7FF504DDA1}"/>
    <hyperlink ref="B929" r:id="rId2012" display="https://actualicese.com/caso-practico-en-excel-utilidad-del-impuesto-diferido-en-la-correccion-del-efecto-de-las-normas-fiscales/?referer=L-excel-formato&amp;utm_medium=act_formato_excel&amp;utm_source=act_formato_excel&amp;utm_campaign=act_formato_excel&amp;utm_content=act_formato_excel_link" xr:uid="{03076E8D-02F9-45C5-AF52-02273285629A}"/>
    <hyperlink ref="B931" r:id="rId2013" display="https://actualicese.com/casos-practicos-sobre-metodos-para-determinar-la-naturaleza-del-impuesto-diferido/?referer=L-excel-formato&amp;utm_medium=act_formato_excel&amp;utm_source=act_formato_excel&amp;utm_campaign=act_formato_excel&amp;utm_content=act_formato_excel_link" xr:uid="{C046F7F4-FA85-4B95-AFF1-8627AE2B344D}"/>
    <hyperlink ref="B933" r:id="rId2014" display="https://actualicese.com/pack-de-formatos-para-realizar-contabilizaciones-en-operaciones-diarias/?referer=L-excel-formato&amp;utm_medium=act_formato_excel&amp;utm_source=act_formato_excel&amp;utm_campaign=act_formato_excel&amp;utm_content=act_formato_excel_link" xr:uid="{BD1AA85F-9C86-40D4-997D-49803E765931}"/>
    <hyperlink ref="B935" r:id="rId2015" display="https://actualicese.com/horas-diurnas-nocturnas-extras-dominicales-y-festivas/?referer=L-excel-formato&amp;utm_medium=act_formato_excel&amp;utm_source=act_formato_excel&amp;utm_campaign=act_formato_excel&amp;utm_content=act_formato_excel_link" xr:uid="{164B2F61-8E5D-4E66-8AF9-DFDA45D1D8CC}"/>
    <hyperlink ref="B937" r:id="rId2016" display="https://actualicese.com/formato-en-excel-para-la-toma-de-inventario-fisico-con-macros/?referer=L-excel-formato&amp;utm_medium=act_formato_excel&amp;utm_source=act_formato_excel&amp;utm_campaign=act_formato_excel&amp;utm_content=act_formato_excel_link" xr:uid="{4174D6FB-62A9-4B47-8523-49650ABCB02F}"/>
    <hyperlink ref="B939" r:id="rId2017" display="https://actualicese.com/casos-practicos-de-contabilizacion-de-sanciones-e-intereses-tributarios-a-la-dian/?referer=L-excel-formato&amp;utm_medium=act_formato_excel&amp;utm_source=act_formato_excel&amp;utm_campaign=act_formato_excel&amp;utm_content=act_formato_excel_link" xr:uid="{9B6DC6AF-9EEF-4536-A365-477747F47D8A}"/>
    <hyperlink ref="B941" r:id="rId2018" display="https://actualicese.com/formato-de-arqueo-de-caja-general/?referer=L-excel-formato&amp;utm_medium=act_formato_excel&amp;utm_source=act_formato_excel&amp;utm_campaign=act_formato_excel&amp;utm_content=act_formato_excel_link" xr:uid="{B98852AA-3049-4217-A752-4A80F749E873}"/>
    <hyperlink ref="B943" r:id="rId2019" display="https://actualicese.com/arqueo-caja-menor/?referer=L-excel-formato&amp;utm_medium=act_formato_excel&amp;utm_source=act_formato_excel&amp;utm_campaign=act_formato_excel&amp;utm_content=act_formato_excel_link" xr:uid="{5541E396-B45C-4BF2-8E08-590352F5A02A}"/>
    <hyperlink ref="B945" r:id="rId2020" display="https://actualicese.com/liquidador-y-caso-practico-para-calcular-y-contabilizar-horas-extra-y-recargos-con-la-reduccion-de-la-jornada-laboral-en-2023/?referer=L-excel-formato&amp;utm_medium=act_formato_excel&amp;utm_source=act_formato_excel&amp;utm_campaign=act_formato_excel&amp;utm_content=act_formato_excel_link" xr:uid="{D863FFD7-63AE-4E46-A9EC-A6496654C341}"/>
    <hyperlink ref="B947" r:id="rId2021" display="https://actualicese.com/notificacion-a-empleado-de-la-reduccion-de-la-jornada-laboral/?referer=L-excel-formato&amp;utm_medium=act_formato_excel&amp;utm_source=act_formato_excel&amp;utm_campaign=act_formato_excel&amp;utm_content=act_formato_excel_link" xr:uid="{C3D47616-4811-4090-8EFA-ACB5A7463333}"/>
    <hyperlink ref="B949" r:id="rId2022" display="https://actualicese.com/casos-practicos-de-contabilizacion-de-ingresos-en-pymes-bajo-estandares-internacionales/?referer=L-excel-formato&amp;utm_medium=act_formato_excel&amp;utm_source=act_formato_excel&amp;utm_campaign=act_formato_excel&amp;utm_content=act_formato_excel_link" xr:uid="{1117A66A-EFA8-421B-BA42-4A691898B087}"/>
    <hyperlink ref="B951" r:id="rId2023" display="https://actualicese.com/formato-de-calculo-de-horas-extra-y-recargos-mensuales-o-quincenales/?referer=L-excel-formato&amp;utm_medium=act_formato_excel&amp;utm_source=act_formato_excel&amp;utm_campaign=act_formato_excel&amp;utm_content=act_formato_excel_link" xr:uid="{DF28B548-740F-493F-A36B-153CFA795CC0}"/>
    <hyperlink ref="B953" r:id="rId2024" display="https://actualicese.com/caso-practico-de-contabilizacion-de-un-prestamo-bancario-en-pymes-y-microempresas/?referer=L-excel-formato&amp;utm_medium=act_formato_excel&amp;utm_source=act_formato_excel&amp;utm_campaign=act_formato_excel&amp;utm_content=act_formato_excel_link" xr:uid="{43D6935F-E476-484A-9EC1-F18FBE57476C}"/>
    <hyperlink ref="B955" r:id="rId2025" display="https://actualicese.com/casos-practicos-sobre-contabilizacion-de-combinacion-de-negocios-y-determinacion-de-la-plusvalia/?referer=L-excel-formato&amp;utm_medium=act_formato_excel&amp;utm_source=act_formato_excel&amp;utm_campaign=act_formato_excel&amp;utm_content=act_formato_excel_link" xr:uid="{FD8FA722-7AC6-4569-8B2F-23D0DBAD6878}"/>
    <hyperlink ref="B957" r:id="rId2026" display="https://actualicese.com/solicitud-de-licencia-por-luto/?referer=L-excel-formato&amp;utm_medium=act_formato_excel&amp;utm_source=act_formato_excel&amp;utm_campaign=act_formato_excel&amp;utm_content=act_formato_excel_link" xr:uid="{A0EC986E-CDE8-4FB9-BCE9-B798BF76592F}"/>
    <hyperlink ref="B959" r:id="rId2027" display="https://actualicese.com/formato-de-solicitud-de-licencia-de-calamidad-domestica/?referer=L-excel-formato&amp;utm_medium=act_formato_excel&amp;utm_source=act_formato_excel&amp;utm_campaign=act_formato_excel&amp;utm_content=act_formato_excel_link" xr:uid="{5E726E2D-87F5-4637-9F51-A63740BE6F26}"/>
    <hyperlink ref="B961" r:id="rId2028" display="https://actualicese.com/sanciones-relacionadas-con-la-declaracion-informativa/?referer=L-excel-formato&amp;utm_medium=act_formato_excel&amp;utm_source=act_formato_excel&amp;utm_campaign=act_formato_excel&amp;utm_content=act_formato_excel_link" xr:uid="{8920D694-B642-4103-87E3-8B36B71A8DCF}"/>
    <hyperlink ref="B963" r:id="rId2029" display="https://actualicese.com/politica-de-pago-a-proveedores-y-plantilla-de-control-de-cuentas-por-pagar/?referer=L-excel-formato&amp;utm_medium=act_formato_excel&amp;utm_source=act_formato_excel&amp;utm_campaign=act_formato_excel&amp;utm_content=act_formato_excel_link" xr:uid="{D647418C-0AEC-4C8A-BA7F-B84C90FA729A}"/>
    <hyperlink ref="B965" r:id="rId2030" display="https://actualicese.com/plantilla-para-el-control-y-auditoria-del-gasto-de-servicios-publicos/?referer=L-excel-formato&amp;utm_medium=act_formato_excel&amp;utm_source=act_formato_excel&amp;utm_campaign=act_formato_excel&amp;utm_content=act_formato_excel_link" xr:uid="{3D823DED-AA5A-4527-A06B-A5AB528D3411}"/>
    <hyperlink ref="B967" r:id="rId2031" display="https://actualicese.com/casos-practicos-de-retencion-en-la-fuente-por-compras-servicios-y-honorarios/?referer=L-excel-formato&amp;utm_medium=act_formato_excel&amp;utm_source=act_formato_excel&amp;utm_campaign=act_formato_excel&amp;utm_content=act_formato_excel_link" xr:uid="{3C66CE18-679A-4631-A32B-91E9C92CD7E5}"/>
    <hyperlink ref="B969" r:id="rId2032" display="https://actualicese.com/plantilla-para-el-control-y-auditoria-del-gasto-de-celulares/?referer=L-excel-formato&amp;utm_medium=act_formato_excel&amp;utm_source=act_formato_excel&amp;utm_campaign=act_formato_excel&amp;utm_content=act_formato_excel_link" xr:uid="{9AC07C70-6531-4F83-8C87-882755C9D69E}"/>
    <hyperlink ref="B971" r:id="rId2033" display="https://actualicese.com/casos-practicos-sobre-aiu-calculo-del-iva-y-retencion-en-la-fuente-en-esta-figura/?referer=L-excel-formato&amp;utm_medium=act_formato_excel&amp;utm_source=act_formato_excel&amp;utm_campaign=act_formato_excel&amp;utm_content=act_formato_excel_link" xr:uid="{7F662791-7CFE-4B74-9BA8-39B344041780}"/>
    <hyperlink ref="B973" r:id="rId2034" display="https://actualicese.com/simulador-para-la-aplicacion-de-la-renta-exenta-de-las-cesantias-y-sus-intereses-ag-2022-numeral-4-del-articulo-206-del-et/?referer=L-excel-formato&amp;utm_medium=act_formato_excel&amp;utm_source=act_formato_excel&amp;utm_campaign=act_formato_excel&amp;utm_content=act_formato_excel_link" xr:uid="{BB8CC9A5-70F4-4925-B5F1-E11C347007C6}"/>
    <hyperlink ref="B975" r:id="rId2035" display="https://actualicese.com/liquidador-en-excel-con-macros-del-porcentaje-de-retencion-en-la-fuente-sobre-salarios-procedimiento-1-2023/?referer=L-excel-formato&amp;utm_medium=act_formato_excel&amp;utm_source=act_formato_excel&amp;utm_campaign=act_formato_excel&amp;utm_content=act_formato_excel_link" xr:uid="{D58741FE-8C33-4AE4-B9AE-DA5E82C6E7B8}"/>
    <hyperlink ref="B977" r:id="rId2036" display="https://actualicese.com/caso-practico-de-contabilizacion-de-devoluciones-en-ventas/?referer=L-excel-formato&amp;utm_medium=act_formato_excel&amp;utm_source=act_formato_excel&amp;utm_campaign=act_formato_excel&amp;utm_content=act_formato_excel_link" xr:uid="{BDA2FB8A-7D4D-4566-837E-0369B33DF387}"/>
    <hyperlink ref="B979" r:id="rId2037" display="https://actualicese.com/liquidador-de-politica-de-recaudo-a-clientes-y-plantilla-de-control-de-cuentas-por-cobrar/?referer=L-excel-formato&amp;utm_medium=act_formato_excel&amp;utm_source=act_formato_excel&amp;utm_campaign=act_formato_excel&amp;utm_content=act_formato_excel_link" xr:uid="{1F62AEDC-CD6A-429E-8249-E44E8E32CC10}"/>
    <hyperlink ref="B981" r:id="rId2038" display="https://actualicese.com/impuesto-diferido-por-diferencia-en-cambio-caso-practico-en-excel/?referer=L-excel-formato&amp;utm_medium=act_formato_excel&amp;utm_source=act_formato_excel&amp;utm_campaign=act_formato_excel&amp;utm_content=act_formato_excel_link" xr:uid="{6236D078-30E3-40E7-A71B-89FFA92A04F7}"/>
    <hyperlink ref="B983" r:id="rId2039" display="https://actualicese.com/caso-practico-en-excel-impuesto-diferido-por-deterioro-de-inventario/?referer=L-excel-formato&amp;utm_medium=act_formato_excel&amp;utm_source=act_formato_excel&amp;utm_campaign=act_formato_excel&amp;utm_content=act_formato_excel_link" xr:uid="{D82276F2-5197-4B06-A48D-41086E63F28C}"/>
    <hyperlink ref="B985" r:id="rId2040" display="https://actualicese.com/liquidador-caso-practico-en-excel-impuesto-diferido-por-valorizacion-de-activos-intangibles/?referer=L-excel-formato&amp;utm_medium=act_formato_excel&amp;utm_source=act_formato_excel&amp;utm_campaign=act_formato_excel&amp;utm_content=act_formato_excel_link" xr:uid="{33172DED-4ED0-485C-B68B-315EC0B4187C}"/>
    <hyperlink ref="B987" r:id="rId2041" display="https://actualicese.com/ejercicios-para-determinar-si-una-persona-natural-esta-obligada-a-presentar-renta-por-el-ag-2022/?referer=L-excel-formato&amp;utm_medium=act_formato_excel&amp;utm_source=act_formato_excel&amp;utm_campaign=act_formato_excel&amp;utm_content=act_formato_excel_link" xr:uid="{91097E88-964D-4A3B-B9B2-299568F2C6EE}"/>
    <hyperlink ref="B989" r:id="rId2042" display="https://actualicese.com/matriz-y-ejemplos-sobre-la-determinacion-de-la-residencia-fiscal-de-las-personas-naturales/?referer=L-excel-formato&amp;utm_medium=act_formato_excel&amp;utm_source=act_formato_excel&amp;utm_campaign=act_formato_excel&amp;utm_content=act_formato_excel_link" xr:uid="{7B2D566F-6283-44B5-A1F4-4E8FEB278529}"/>
    <hyperlink ref="B991" r:id="rId2043" display="https://actualicese.com/aplicacion-del-impuesto-a-los-dividendos-recibidos-por-personas-naturales-caso-practico-en-excel/?referer=L-excel-formato&amp;utm_medium=act_formato_excel&amp;utm_source=act_formato_excel&amp;utm_campaign=act_formato_excel&amp;utm_content=act_formato_excel_link" xr:uid="{B6E07071-F5B2-408B-A733-04ACC5D34019}"/>
    <hyperlink ref="B993" r:id="rId2044" display="https://actualicese.com/simulador-para-el-calculo-del-limite-del-descuento-por-impuestos-pagados-en-el-exterior-en-el-formulario-210/?referer=L-excel-formato&amp;utm_medium=act_formato_excel&amp;utm_source=act_formato_excel&amp;utm_campaign=act_formato_excel&amp;utm_content=act_formato_excel_link" xr:uid="{57606985-7BC3-48D3-89BE-1337AD25758A}"/>
    <hyperlink ref="B995" r:id="rId2045" display="https://actualicese.com/ejercicio-practico-de-impuesto-diferido-compensacion-de-perdidas-fiscales-y-exceso-de-renta-presuntiva/?referer=L-excel-formato&amp;utm_medium=act_formato_excel&amp;utm_source=act_formato_excel&amp;utm_campaign=act_formato_excel&amp;utm_content=act_formato_excel_link" xr:uid="{13574EE9-0B1B-41D6-9823-2D814DE9DBEC}"/>
    <hyperlink ref="B997" r:id="rId2046" display="https://actualicese.com/liquidador-caso-practico-en-excel-impuesto-diferido-por-provisiones-no-aceptadas-fiscalmente/?referer=L-excel-formato&amp;utm_medium=act_formato_excel&amp;utm_source=act_formato_excel&amp;utm_campaign=act_formato_excel&amp;utm_content=act_formato_excel_link" xr:uid="{B001E269-3AAC-4D85-9F42-71D74C23CD40}"/>
    <hyperlink ref="B999" r:id="rId2047" display="https://actualicese.com/liquidador-impuesto-diferido-por-activos-biologicos-caso-practico-en-excel/?referer=L-excel-formato&amp;utm_medium=act_formato_excel&amp;utm_source=act_formato_excel&amp;utm_campaign=act_formato_excel&amp;utm_content=act_formato_excel_link" xr:uid="{3B22875F-BE7A-431F-8A84-0FA8DFD8098F}"/>
    <hyperlink ref="B1001" r:id="rId2048" display="https://actualicese.com/liquidador-caso-practico-en-excel-de-impuesto-diferido-por-acciones-medidas-a-valor-razonable/?referer=L-excel-formato&amp;utm_medium=act_formato_excel&amp;utm_source=act_formato_excel&amp;utm_campaign=act_formato_excel&amp;utm_content=act_formato_excel_link" xr:uid="{3005BB86-2FE7-4985-82DC-8E275BAD00AE}"/>
    <hyperlink ref="B1003" r:id="rId2049" display="https://actualicese.com/impuesto-diferido-en-la-depreciacion-de-propiedad-planta-y-equipo-caso-practico-en-excel/?referer=L-excel-formato&amp;utm_medium=act_formato_excel&amp;utm_source=act_formato_excel&amp;utm_campaign=act_formato_excel&amp;utm_content=act_formato_excel_link" xr:uid="{1D16E80E-FFFA-42D2-8140-EE3DB9B9DB76}"/>
    <hyperlink ref="B1005" r:id="rId2050" display="https://actualicese.com/modelo-en-excel-calculo-de-intereses-presuntivos-en-2023-sobre-prestamos-entre-socios-y-sociedades/?referer=L-excel-formato&amp;utm_medium=act_formato_excel&amp;utm_source=act_formato_excel&amp;utm_campaign=act_formato_excel&amp;utm_content=act_formato_excel_link" xr:uid="{8ACA7167-CE30-4CF3-B072-0FEF02083FF9}"/>
    <hyperlink ref="B1007" r:id="rId2051" display="https://actualicese.com/casos-practicos-de-contabilizacion-de-compras-e-impuestos-asumidos/?referer=L-excel-formato&amp;utm_medium=act_formato_excel&amp;utm_source=act_formato_excel&amp;utm_campaign=act_formato_excel&amp;utm_content=act_formato_excel_link" xr:uid="{7B4CBA9C-7861-4624-96DA-024F01349247}"/>
    <hyperlink ref="B1009" r:id="rId2052" display="https://actualicese.com/caso-practico-de-determinacion-de-la-renta-liquida-cedular-por-pensiones-del-exterior/?referer=L-excel-formato&amp;utm_medium=act_formato_excel&amp;utm_source=act_formato_excel&amp;utm_campaign=act_formato_excel&amp;utm_content=act_formato_excel_link" xr:uid="{ABEFA3A6-6F20-4976-BC08-E2E6F01E518A}"/>
    <hyperlink ref="B1011" r:id="rId2053" display="https://actualicese.com/guia-modelo-de-notas-a-los-estados-financieros-estado-de-situacion-financiera/?referer=L-excel-formato&amp;utm_medium=act_formato_excel&amp;utm_source=act_formato_excel&amp;utm_campaign=act_formato_excel&amp;utm_content=act_formato_excel_link" xr:uid="{011DD8F4-9241-449A-85E5-92444F262098}"/>
    <hyperlink ref="B1013" r:id="rId2054" display="https://actualicese.com/simulador-de-los-efectos-del-rechazo-de-costos-y-gastos-en-efectivo-a-partir-de-2018/?referer=L-excel-formato&amp;utm_medium=act_formato_excel&amp;utm_source=act_formato_excel&amp;utm_campaign=act_formato_excel&amp;utm_content=act_formato_excel_link" xr:uid="{F047E84A-061C-457C-8B9F-9DFCF598D179}"/>
    <hyperlink ref="B1015" r:id="rId2055" display="https://actualicese.com/liquidador-del-impuesto-sobre-la-renta-liquida-de-las-cedulas-general-y-de-pensiones/?referer=L-excel-formato&amp;utm_medium=act_formato_excel&amp;utm_source=act_formato_excel&amp;utm_campaign=act_formato_excel&amp;utm_content=act_formato_excel_link" xr:uid="{78F78DA6-03D8-40F7-A77F-642A74667955}"/>
    <hyperlink ref="B1017" r:id="rId2056" display="https://actualicese.com/determinacion-de-ganancia-ocasional-gravable-de-una-persona-natural-residente-caso-practico-en-excel/?referer=L-excel-formato&amp;utm_medium=act_formato_excel&amp;utm_source=act_formato_excel&amp;utm_campaign=act_formato_excel&amp;utm_content=act_formato_excel_link" xr:uid="{C8669707-EEC0-42A3-BF24-5E53E77918D1}"/>
    <hyperlink ref="B1019" r:id="rId2057" display="https://actualicese.com/caso-practico-deducciones-y-descuentos-tributarios-para-personas-juridicas-con-los-cambios-de-la-ley-2277-de-2022/?referer=L-excel-formato&amp;utm_medium=act_formato_excel&amp;utm_source=act_formato_excel&amp;utm_campaign=act_formato_excel&amp;utm_content=act_formato_excel_link" xr:uid="{91E3E31C-0B32-43CB-B8D7-B3B78CFA8322}"/>
    <hyperlink ref="B1021" r:id="rId2058" display="https://actualicese.com/liquidador-en-excel-con-macros-del-porcentaje-fijo-de-retencion-en-la-fuente-sobre-salarios-con-procedimiento-2/?referer=L-excel-formato&amp;utm_medium=act_formato_excel&amp;utm_source=act_formato_excel&amp;utm_campaign=act_formato_excel&amp;utm_content=act_formato_excel_link" xr:uid="{B868A15F-4F6F-4337-8A6E-149FA42D31D9}"/>
    <hyperlink ref="B1023" r:id="rId2059" display="https://actualicese.com/caso-practico-calculo-del-valor-a-adicionar-y-limites-de-beneficios-tributarios/?referer=L-excel-formato&amp;utm_medium=act_formato_excel&amp;utm_source=act_formato_excel&amp;utm_campaign=act_formato_excel&amp;utm_content=act_formato_excel_link" xr:uid="{2392620A-1739-4785-9550-DE2A98DEC97A}"/>
    <hyperlink ref="B1025" r:id="rId2060" display="https://actualicese.com/conciliacion-contable-y-tributaria-casos-de-descuentos-y-donaciones-especiales/?referer=L-excel-formato&amp;utm_medium=act_formato_excel&amp;utm_source=act_formato_excel&amp;utm_campaign=act_formato_excel&amp;utm_content=act_formato_excel_link" xr:uid="{BB68B521-A7C6-4A2C-B28B-88835C96A3D5}"/>
    <hyperlink ref="B1027" r:id="rId2061" display="https://actualicese.com/listado-de-contribuyentes-inscritos-en-el-regimen-simple/?referer=L-excel-formato&amp;utm_medium=act_formato_excel&amp;utm_source=act_formato_excel&amp;utm_campaign=act_formato_excel&amp;utm_content=act_formato_excel_link" xr:uid="{A3149E75-6367-4E89-8980-01EC14AD8BC2}"/>
    <hyperlink ref="B1029" r:id="rId2062" display="https://actualicese.com/caso-practico-de-determinacion-de-la-renta-liquida-cedular-por-pensiones-recibidas-en-colombia/?referer=L-excel-formato&amp;utm_medium=act_formato_excel&amp;utm_source=act_formato_excel&amp;utm_campaign=act_formato_excel&amp;utm_content=act_formato_excel_link" xr:uid="{B128B66E-C56E-41C9-A12C-F269B2ABFEEB}"/>
    <hyperlink ref="B1031" r:id="rId2063" display="https://actualicese.com/caso-practico-en-excel-impuesto-diferido-por-valoracion-de-propiedades-de-inversion/?referer=L-excel-formato&amp;utm_medium=act_formato_excel&amp;utm_source=act_formato_excel&amp;utm_campaign=act_formato_excel&amp;utm_content=act_formato_excel_link" xr:uid="{C6C061CA-D429-4B39-9DD0-00ADB584A4FD}"/>
    <hyperlink ref="B1033" r:id="rId2064" display="https://actualicese.com/pack-de-formatos-para-profundizar-en-las-novedades-de-la-ley-de-reforma-tributaria-2277-de-2022/?referer=L-excel-formato&amp;utm_medium=act_formato_excel&amp;utm_source=act_formato_excel&amp;utm_campaign=act_formato_excel&amp;utm_content=act_formato_excel_link" xr:uid="{53E55B33-4EAB-42A6-B341-8D7E92916A07}"/>
    <hyperlink ref="B1035" r:id="rId2065" display="https://actualicese.com/casos-practicos-en-excel-del-impuesto-al-patrimonio-ag-2023/?referer=L-excel-formato&amp;utm_medium=act_formato_excel&amp;utm_source=act_formato_excel&amp;utm_campaign=act_formato_excel&amp;utm_content=act_formato_excel_link" xr:uid="{D044699E-59A1-420C-8743-E38D35C2F8B5}"/>
    <hyperlink ref="B1037" r:id="rId2066" display="https://actualicese.com/impuesto-diferido-por-venta-de-bienes-inmuebles-a-largo-plazo-en-2023-caso-practico-en-excel/?referer=L-excel-formato&amp;utm_medium=act_formato_excel&amp;utm_source=act_formato_excel&amp;utm_campaign=act_formato_excel&amp;utm_content=act_formato_excel_link" xr:uid="{45A9CD23-3F59-4A91-9267-C69E25EE48B5}"/>
    <hyperlink ref="B1039" r:id="rId2067" display="https://actualicese.com/guia-en-excel-y-casos-practicos-de-tributacion-en-el-impuesto-de-renta-de-los-dividendos-y-participaciones-2022/?referer=L-excel-formato&amp;utm_medium=act_formato_excel&amp;utm_source=act_formato_excel&amp;utm_campaign=act_formato_excel&amp;utm_content=act_formato_excel_link" xr:uid="{8CBAEA59-C357-4F9D-9272-A2AFB821D62B}"/>
    <hyperlink ref="B1041" r:id="rId2068" display="https://actualicese.com/modelo-de-certificado-de-retencion-en-la-fuente-por-conceptos-diferentes-a-rentas-laborales/?referer=L-excel-formato&amp;utm_medium=act_formato_excel&amp;utm_source=act_formato_excel&amp;utm_campaign=act_formato_excel&amp;utm_content=act_formato_excel_link" xr:uid="{942A5EAB-4471-4E42-9C97-3E66158815D6}"/>
    <hyperlink ref="B1043" r:id="rId2069" display="https://actualicese.com/formato-de-control-de-clientes-de-declaracion-de-renta-de-persona-natural/?referer=L-excel-formato&amp;utm_medium=act_formato_excel&amp;utm_source=act_formato_excel&amp;utm_campaign=act_formato_excel&amp;utm_content=act_formato_excel_link" xr:uid="{8860DDD7-7C2E-4429-B0C1-EFB0A041E1FA}"/>
    <hyperlink ref="B1045" r:id="rId2070" display="https://actualicese.com/dividendos-y-sus-retenciones-comparativo-de-normas-del-dut-1625-de-2016-modificadas-con-el-decreto-1103-de-2023/?referer=L-excel-formato&amp;utm_medium=act_formato_excel&amp;utm_source=act_formato_excel&amp;utm_campaign=act_formato_excel&amp;utm_content=act_formato_excel_link" xr:uid="{E387FE63-10EE-4785-93FF-C8816F40F233}"/>
    <hyperlink ref="B1047" r:id="rId2071" display="https://actualicese.com/impuesto-diferido-por-gastos-de-establecimiento-en-2023-caso-practico-en-excel/?referer=L-excel-formato&amp;utm_medium=act_formato_excel&amp;utm_source=act_formato_excel&amp;utm_campaign=act_formato_excel&amp;utm_content=act_formato_excel_link" xr:uid="{7E86E5FB-B92B-4F64-92E1-9A327DB5CFDE}"/>
    <hyperlink ref="B1049" r:id="rId2072" display="https://actualicese.com/impuesto-diferido-ante-deterioro-de-cartera-en-2023-caso-practico-en-excel/?referer=L-excel-formato&amp;utm_medium=act_formato_excel&amp;utm_source=act_formato_excel&amp;utm_campaign=act_formato_excel&amp;utm_content=act_formato_excel_link" xr:uid="{DC9D4AE7-162F-474E-BB77-16F0ABF95233}"/>
    <hyperlink ref="B1051" r:id="rId2073" display="https://actualicese.com/ejercicio-practico-en-excel-impuesto-diferido-cuando-hay-compensacion-de-perdidas-fiscales/?referer=L-excel-formato&amp;utm_medium=act_formato_excel&amp;utm_source=act_formato_excel&amp;utm_campaign=act_formato_excel&amp;utm_content=act_formato_excel_link" xr:uid="{0F9FBCAB-05E4-4D91-9AD8-6FDB696313F8}"/>
    <hyperlink ref="B1053" r:id="rId2074" display="https://actualicese.com/simulador-del-impuesto-para-dividendos-y-participaciones-gravados-de-2017-y-siguientes/?referer=L-excel-formato&amp;utm_medium=act_formato_excel&amp;utm_source=act_formato_excel&amp;utm_campaign=act_formato_excel&amp;utm_content=act_formato_excel_link" xr:uid="{36215912-359A-4D48-AB07-53F7696722A9}"/>
    <hyperlink ref="B1055" r:id="rId2075" display="https://actualicese.com/simulador-del-impuesto-para-dividendos-y-participaciones-no-gravados-de-2017-y-siguientes/?referer=L-excel-formato&amp;utm_medium=act_formato_excel&amp;utm_source=act_formato_excel&amp;utm_campaign=act_formato_excel&amp;utm_content=act_formato_excel_link" xr:uid="{D85F12CC-2956-46AF-A9D2-5FC642867A15}"/>
    <hyperlink ref="B1057" r:id="rId2076" display="https://actualicese.com/contrato-modelo-contrato-de-mandato/?referer=L-excel-formato&amp;utm_medium=act_formato_excel&amp;utm_source=act_formato_excel&amp;utm_campaign=act_formato_excel&amp;utm_content=act_formato_excel_link" xr:uid="{038BCB49-BD10-40F0-A09C-CFD37B57FFC6}"/>
    <hyperlink ref="B1059" r:id="rId2077" display="https://actualicese.com/liquidador-de-sanciones-por-incumplir-con-la-obligacion-de-inscribirse-al-rut/?referer=L-excel-formato&amp;utm_medium=act_formato_excel&amp;utm_source=act_formato_excel&amp;utm_campaign=act_formato_excel&amp;utm_content=act_formato_excel_link" xr:uid="{0F749EA0-D81E-4524-88E1-09C0BA2E0A20}"/>
    <hyperlink ref="B1061" r:id="rId2078" display="https://actualicese.com/lista-de-chequeo-para-trasladarse-de-regimen-de-pensiones/?referer=L-excel-formato&amp;utm_medium=act_formato_excel&amp;utm_source=act_formato_excel&amp;utm_campaign=act_formato_excel&amp;utm_content=act_formato_excel_link" xr:uid="{AE7B4FF2-009C-448F-BCC3-23E6BC53E840}"/>
    <hyperlink ref="B1063" r:id="rId2079" display="https://actualicese.com/modelos-y-guias-sobre-aspectos-labores-y-comerciales-que-deben-atender-los-trabajadores-independientes/?referer=L-excel-formato&amp;utm_medium=act_formato_excel&amp;utm_source=act_formato_excel&amp;utm_campaign=act_formato_excel&amp;utm_content=act_formato_excel_link" xr:uid="{966F6216-3A75-4723-AF86-D9F76BAC0805}"/>
    <hyperlink ref="B1065" r:id="rId2080" display="https://actualicese.com/casos-practicos-de-liquidacion-y-contabilizacion-de-sanciones-por-no-inscribirse-o-actualizar-el-rut/?referer=L-excel-formato&amp;utm_medium=act_formato_excel&amp;utm_source=act_formato_excel&amp;utm_campaign=act_formato_excel&amp;utm_content=act_formato_excel_link" xr:uid="{69E2D415-B13D-4F41-8985-4AFAA3F9941A}"/>
    <hyperlink ref="B1067" r:id="rId2081" display="https://actualicese.com/utilidad-por-venta-de-activo-fijo-depreciable-que-sera-renta-por-recuperacion-de-deducciones/?referer=L-excel-formato&amp;utm_medium=act_formato_excel&amp;utm_source=act_formato_excel&amp;utm_campaign=act_formato_excel&amp;utm_content=act_formato_excel_link" xr:uid="{0E47AB40-7FD5-4804-9C52-88A21C322111}"/>
    <hyperlink ref="B1069" r:id="rId2082" display="https://actualicese.com/caso-practico-de-declaracion-de-renta-a-partir-de-informacion-reportada-por-terceros/?referer=L-excel-formato&amp;utm_medium=act_formato_excel&amp;utm_source=act_formato_excel&amp;utm_campaign=act_formato_excel&amp;utm_content=act_formato_excel_link" xr:uid="{C5DEEBE4-5EE1-4603-B4F7-0CB3098A6DC9}"/>
    <hyperlink ref="B1071" r:id="rId2083" display="https://actualicese.com/formulario-110-y-formato-2516-para-la-declaracion-de-renta-de-personas-naturales-no-residentes-que-llevan-contabilidad-ag-2022/?referer=L-excel-formato&amp;utm_medium=act_formato_excel&amp;utm_source=act_formato_excel&amp;utm_campaign=act_formato_excel&amp;utm_content=act_formato_excel_link" xr:uid="{70CC2D13-91A4-4FB3-B8BB-EDC015A7945F}"/>
    <hyperlink ref="B1073" r:id="rId2084" display="https://actualicese.com/modelo-para-definir-si-una-persona-natural-esta-obligada-a-declarar-renta/?referer=L-excel-formato&amp;utm_medium=act_formato_excel&amp;utm_source=act_formato_excel&amp;utm_campaign=act_formato_excel&amp;utm_content=act_formato_excel_link" xr:uid="{FBB9441A-A06B-47A2-BDDD-F50FDD6720EF}"/>
    <hyperlink ref="B1075" r:id="rId2085" display="https://actualicese.com/retencion-en-la-fuente-sobre-prima-de-servicios-caso-practico/?referer=L-excel-formato&amp;utm_medium=act_formato_excel&amp;utm_source=act_formato_excel&amp;utm_campaign=act_formato_excel&amp;utm_content=act_formato_excel_link" xr:uid="{108D6692-0ABC-43B7-AB32-4271036C51F1}"/>
    <hyperlink ref="B1077" r:id="rId2086" display="https://actualicese.com/simulador-del-beneficio-de-auditoria-para-2021-2022-y-2023-con-las-novedades-de-la-ley-de-inversion-social/?referer=L-excel-formato&amp;utm_medium=act_formato_excel&amp;utm_source=act_formato_excel&amp;utm_campaign=act_formato_excel&amp;utm_content=act_formato_excel_link" xr:uid="{EB21A5B6-B341-4CF6-9583-9C3A96A80FC4}"/>
    <hyperlink ref="B1079" r:id="rId2087" display="https://actualicese.com/modelo-de-carta-de-solicitud-de-correccion-de-informacion-exogena/?referer=L-excel-formato&amp;utm_medium=act_formato_excel&amp;utm_source=act_formato_excel&amp;utm_campaign=act_formato_excel&amp;utm_content=act_formato_excel_link" xr:uid="{FD71CD0D-F9EC-4D70-B367-5EA7531874A7}"/>
    <hyperlink ref="B1081" r:id="rId2088" display="https://actualicese.com/formulario-110-declaracion-de-renta-de-personas-naturales-no-residentes-que-no-llevan-contabilidad-ag-2022/?referer=L-excel-formato&amp;utm_medium=act_formato_excel&amp;utm_source=act_formato_excel&amp;utm_campaign=act_formato_excel&amp;utm_content=act_formato_excel_link" xr:uid="{9EA41865-0EA4-4AD0-BDB9-3322753EC3AB}"/>
    <hyperlink ref="B1083" r:id="rId2089" display="https://actualicese.com/pack-de-formatos-para-elaborar-la-declaracion-de-renta-de-personas-naturales-ag-2022/?referer=L-excel-formato&amp;utm_medium=act_formato_excel&amp;utm_source=act_formato_excel&amp;utm_campaign=act_formato_excel&amp;utm_content=act_formato_excel_link" xr:uid="{1DA1F45B-AE6D-4ACF-BDE6-78CB3A764F5E}"/>
    <hyperlink ref="B1085" r:id="rId2090" display="https://actualicese.com/beneficio-de-auditoria-para-personas-naturales-ag-2022-casos-practicos-en-excel/?referer=L-excel-formato&amp;utm_medium=act_formato_excel&amp;utm_source=act_formato_excel&amp;utm_campaign=act_formato_excel&amp;utm_content=act_formato_excel_link" xr:uid="{9856E936-A7A9-4D2E-B331-7CDB55BFC551}"/>
    <hyperlink ref="B1087" r:id="rId2091" display="https://actualicese.com/listado-de-actividades-economicas-codigos-ciiu/?referer=L-excel-formato&amp;utm_medium=act_formato_excel&amp;utm_source=act_formato_excel&amp;utm_campaign=act_formato_excel&amp;utm_content=act_formato_excel_link" xr:uid="{415CFB58-3C3F-44FB-92B1-D78562977C02}"/>
    <hyperlink ref="B1089" r:id="rId2092" display="https://actualicese.com/valor-patrimonial-de-acciones-y-aportes-en-la-declaracion-de-renta-de-personas-naturales-ag-2022/?referer=L-excel-formato&amp;utm_medium=act_formato_excel&amp;utm_source=act_formato_excel&amp;utm_campaign=act_formato_excel&amp;utm_content=act_formato_excel_link" xr:uid="{4B5D1A46-0441-4593-B6D8-416B1F372B2C}"/>
    <hyperlink ref="B1091" r:id="rId2093" display="https://actualicese.com/ejercicios-sobre-la-determinacion-de-la-renta-liquida-de-trabajo-cuando-hay-rentas-laborales-y-honorarios/?referer=L-excel-formato&amp;utm_medium=act_formato_excel&amp;utm_source=act_formato_excel&amp;utm_campaign=act_formato_excel&amp;utm_content=act_formato_excel_link" xr:uid="{51BC6227-39D8-4E43-BA65-33875FF8B530}"/>
    <hyperlink ref="B1093" r:id="rId2094" display="https://actualicese.com/calculo-del-limite-de-subcapitalizacion-casos-practicos-en-excel/?referer=L-excel-formato&amp;utm_medium=act_formato_excel&amp;utm_source=act_formato_excel&amp;utm_campaign=act_formato_excel&amp;utm_content=act_formato_excel_link" xr:uid="{5967203E-DDCA-4F18-ACDC-BE8D59ABB1A3}"/>
    <hyperlink ref="B1095" r:id="rId2095" display="https://actualicese.com/caso-practico-sobre-liquidacion-de-sucesion-iliquida-e-impuesto-de-ganancia-ocasional/?referer=L-excel-formato&amp;utm_medium=act_formato_excel&amp;utm_source=act_formato_excel&amp;utm_campaign=act_formato_excel&amp;utm_content=act_formato_excel_link" xr:uid="{1B3C1DA2-F50D-44AC-A125-86A1D2CFF00F}"/>
    <hyperlink ref="B1097" r:id="rId2096" display="https://actualicese.com/declaracion-de-renta-de-personas-naturales-documentos-necesarios-para-su-elaboracion/?referer=L-excel-formato&amp;utm_medium=act_formato_excel&amp;utm_source=act_formato_excel&amp;utm_campaign=act_formato_excel&amp;utm_content=act_formato_excel_link" xr:uid="{CEC9911B-EFA6-4003-910B-47D814562F1A}"/>
    <hyperlink ref="B1099" r:id="rId2097" display="https://actualicese.com/notificacion-de-embargo-de-la-prima-de-servicios/?referer=L-excel-formato&amp;utm_medium=act_formato_excel&amp;utm_source=act_formato_excel&amp;utm_campaign=act_formato_excel&amp;utm_content=act_formato_excel_link" xr:uid="{877BFCFF-1745-4B18-8B71-041F20545416}"/>
    <hyperlink ref="B1101" r:id="rId2098" display="https://actualicese.com/12-liquidadores-para-calcular-la-prima-de-servicios-semestral/?referer=L-excel-formato&amp;utm_medium=act_formato_excel&amp;utm_source=act_formato_excel&amp;utm_campaign=act_formato_excel&amp;utm_content=act_formato_excel_link" xr:uid="{9365C990-AD71-4E8E-85B0-7EE52E890B39}"/>
    <hyperlink ref="B1103" r:id="rId2099" display="https://actualicese.com/formulario-210-y-formato-2517-para-la-declaracion-de-renta-de-personas-naturales-residentes-que-llevan-contabilidad-ag-2022/?referer=L-excel-formato&amp;utm_medium=act_formato_excel&amp;utm_source=act_formato_excel&amp;utm_campaign=act_formato_excel&amp;utm_content=act_formato_excel_link" xr:uid="{0331AA07-A7B1-4C59-B659-BCF7BA732ADC}"/>
    <hyperlink ref="B1105" r:id="rId2100" display="https://actualicese.com/notificacion-a-trabajadores-que-no-tienen-derecho-a-la-prima-de-servicios/?referer=L-excel-formato&amp;utm_medium=act_formato_excel&amp;utm_source=act_formato_excel&amp;utm_campaign=act_formato_excel&amp;utm_content=act_formato_excel_link" xr:uid="{E7AEB26B-8F85-485B-B82A-DEE082EDF267}"/>
    <hyperlink ref="B1107" r:id="rId2101" display="https://actualicese.com/calendario-tributario-2023-version-automatizada-en-excel/?referer=L-excel-formato&amp;utm_medium=act_formato_excel&amp;utm_source=act_formato_excel&amp;utm_campaign=act_formato_excel&amp;utm_content=act_formato_excel_link" xr:uid="{EA5E989C-02DF-4F42-B24D-664EE460260B}"/>
    <hyperlink ref="B1109" r:id="rId2102" display="https://actualicese.com/excel-del-formulario-2593-ag-2023-declaracion-de-anticipos-bimestrales-regimen-simple/?referer=L-excel-formato&amp;utm_medium=act_formato_excel&amp;utm_source=act_formato_excel&amp;utm_campaign=act_formato_excel&amp;utm_content=act_formato_excel_link" xr:uid="{45BA9E0C-C926-44B2-82CD-8979470A331F}"/>
    <hyperlink ref="B1111" r:id="rId2103" display="https://actualicese.com/liquidador-modelo-en-excel-para-calcular-la-nueva-tasa-minima-de-tributacion-de-las-personas-juridicas-segun-reforma-tributaria-2022/?referer=L-excel-formato&amp;utm_medium=act_formato_excel&amp;utm_source=act_formato_excel&amp;utm_campaign=act_formato_excel&amp;utm_content=act_formato_excel_link" xr:uid="{EC0B4323-85F4-40E5-B516-5B760619BB7E}"/>
    <hyperlink ref="B1113" r:id="rId2104" display="https://actualicese.com/calendario-tributario-2023-version-para-imprimir/?referer=L-excel-formato&amp;utm_medium=act_formato_excel&amp;utm_source=act_formato_excel&amp;utm_campaign=act_formato_excel&amp;utm_content=act_formato_excel_link" xr:uid="{DDD99F73-C6E8-46B4-93E3-A3A2385AB851}"/>
    <hyperlink ref="B1115" r:id="rId2105" display="https://actualicese.com/liquidador-en-excel-del-porcentaje-fijo-de-retencion-en-la-fuente-sobre-salarios-en-junio-de-2023-procedimiento-2/?referer=L-excel-formato&amp;utm_medium=act_formato_excel&amp;utm_source=act_formato_excel&amp;utm_campaign=act_formato_excel&amp;utm_content=act_formato_excel_link" xr:uid="{8EA2A72A-2D79-4EF0-8200-C8CF69831F32}"/>
    <hyperlink ref="B1117" r:id="rId2106" display="https://actualicese.com/formulario-160-ag-2023-para-la-declaracion-de-activos-en-el-exterior/?referer=L-excel-formato&amp;utm_medium=act_formato_excel&amp;utm_source=act_formato_excel&amp;utm_campaign=act_formato_excel&amp;utm_content=act_formato_excel_link" xr:uid="{C22C1D54-FC54-4DE9-B2E6-E7B3C1DF2907}"/>
    <hyperlink ref="B1119" r:id="rId2107" display="https://actualicese.com/formulario-420-ag-2023-para-la-declaracion-del-impuesto-al-patrimonio/?referer=L-excel-formato&amp;utm_medium=act_formato_excel&amp;utm_source=act_formato_excel&amp;utm_campaign=act_formato_excel&amp;utm_content=act_formato_excel_link" xr:uid="{9F5E77C0-6E94-4FE0-BC7A-77724E1CA612}"/>
    <hyperlink ref="B1121" r:id="rId2108" display="https://actualicese.com/certificado-de-dependientes-para-efectos-de-deduccion-en-la-declaracion-de-renta/?referer=L-excel-formato&amp;utm_medium=act_formato_excel&amp;utm_source=act_formato_excel&amp;utm_campaign=act_formato_excel&amp;utm_content=act_formato_excel_link" xr:uid="{EC37BC62-CFBF-4BC7-B599-86CA0D667517}"/>
    <hyperlink ref="B1123" r:id="rId2109" display="https://actualicese.com/liquidador-del-componente-inflacionario-de-los-rendimientos-o-costos-financieros/?referer=L-excel-formato&amp;utm_medium=act_formato_excel&amp;utm_source=act_formato_excel&amp;utm_campaign=act_formato_excel&amp;utm_content=act_formato_excel_link" xr:uid="{E04F70D6-F0DB-423D-8358-E6DA1AFEB825}"/>
    <hyperlink ref="B1125" r:id="rId2110" display="https://actualicese.com/liquidadores-de-sancion-por-no-declarar/?referer=L-excel-formato&amp;utm_medium=act_formato_excel&amp;utm_source=act_formato_excel&amp;utm_campaign=act_formato_excel&amp;utm_content=act_formato_excel_link" xr:uid="{AE6B01C7-26D9-4306-B851-3FED83CADA3C}"/>
    <hyperlink ref="B1127" r:id="rId2111" display="https://actualicese.com/formulario-210-declaracion-de-renta-de-personas-naturales-residentes-que-no-llevan-contabilidad-ag-2022/?referer=L-excel-formato&amp;utm_medium=act_formato_excel&amp;utm_source=act_formato_excel&amp;utm_campaign=act_formato_excel&amp;utm_content=act_formato_excel_link" xr:uid="{29BCD259-78CC-41ED-9540-9CEF864D643D}"/>
    <hyperlink ref="B1129" r:id="rId2112" display="https://actualicese.com/liquidador-de-sancion-por-correccion-presentada-por-el-contribuyente/?referer=L-excel-formato&amp;utm_medium=act_formato_excel&amp;utm_source=act_formato_excel&amp;utm_campaign=act_formato_excel&amp;utm_content=act_formato_excel_link" xr:uid="{3D747B0A-95AB-4D3D-A852-EAEFB6CCC367}"/>
    <hyperlink ref="B1131" r:id="rId2113" display="https://actualicese.com/liquidador-de-sancion-por-inexactitud/?referer=L-excel-formato&amp;utm_medium=act_formato_excel&amp;utm_source=act_formato_excel&amp;utm_campaign=act_formato_excel&amp;utm_content=act_formato_excel_link" xr:uid="{9692D7D6-D694-4C3F-846A-6CA6E6537E0E}"/>
    <hyperlink ref="B683" r:id="rId2114" display="https://actualicese.com/listado-de-convenios-internacionales-para-evitar-la-doble-tributacion-ano-gravable-2022-y-2023/?referer=L-excel-formato&amp;utm_medium=act_formato_excel&amp;utm_source=act_formato_excel&amp;utm_campaign=act_formato_excel&amp;utm_content=act_formato_excel_link" xr:uid="{D1EE3FD7-1313-4F76-B2D3-2D4D7C9ADCEF}"/>
    <hyperlink ref="B685" r:id="rId2115" display="https://actualicese.com/convertidor-de-uvt/?referer=L-excel-formato&amp;utm_medium=act_formato_excel&amp;utm_source=act_formato_excel&amp;utm_campaign=act_formato_excel&amp;utm_content=act_formato_excel_link" xr:uid="{D29742C7-743D-421E-8EFC-89DB0E38AEA9}"/>
    <hyperlink ref="B687" r:id="rId2116" display="https://actualicese.com/formulas-para-liquidacion-de-prestaciones-vacaciones-y-horas-extras/?referer=L-excel-formato&amp;utm_medium=act_formato_excel&amp;utm_source=act_formato_excel&amp;utm_campaign=act_formato_excel&amp;utm_content=act_formato_excel_link" xr:uid="{F3B62B51-0A65-4213-88C1-05A62FE85C6E}"/>
    <hyperlink ref="B689" r:id="rId2117" display="https://actualicese.com/responsabilidad-en-seguridad-social-de-trabajadores-independientes/?referer=L-excel-formato&amp;utm_medium=act_formato_excel&amp;utm_source=act_formato_excel&amp;utm_campaign=act_formato_excel&amp;utm_content=act_formato_excel_link" xr:uid="{4983D907-34AD-4547-A09A-972546F03257}"/>
    <hyperlink ref="B691" r:id="rId2118" display="https://actualicese.com/estados-financieros-consolidados-opinion-con-salvedades-cuando-no-se-obtiene-evidencia/?referer=L-excel-formato&amp;utm_medium=act_formato_excel&amp;utm_source=act_formato_excel&amp;utm_campaign=act_formato_excel&amp;utm_content=act_formato_excel_link" xr:uid="{3DE60AC3-1A46-4EEA-94C3-66ECCCD2E72D}"/>
    <hyperlink ref="B693" r:id="rId2119" display="https://actualicese.com/informe-sobre-los-hallazgos-obtenidos-en-los-inventarios/?referer=L-excel-formato&amp;utm_medium=act_formato_excel&amp;utm_source=act_formato_excel&amp;utm_campaign=act_formato_excel&amp;utm_content=act_formato_excel_link" xr:uid="{A75739AB-AF36-4D98-AF6D-D406D2FDE9FB}"/>
    <hyperlink ref="B695" r:id="rId2120" display="https://actualicese.com/informe-de-compilacion-de-estados-financieros-con-fines-especificos/?referer=L-excel-formato&amp;utm_medium=act_formato_excel&amp;utm_source=act_formato_excel&amp;utm_campaign=act_formato_excel&amp;utm_content=act_formato_excel_link" xr:uid="{33962E41-BF29-4BA0-B18B-D6F2E43E4D2D}"/>
    <hyperlink ref="B697" r:id="rId2121" display="https://actualicese.com/informe-del-revisor-fiscal-sobre-irregularidades-y-deficiencias-en-el-control-interno/?referer=L-excel-formato&amp;utm_medium=act_formato_excel&amp;utm_source=act_formato_excel&amp;utm_campaign=act_formato_excel&amp;utm_content=act_formato_excel_link" xr:uid="{6917256B-EE5A-4BD5-A241-034FAEDD31DF}"/>
    <hyperlink ref="B655" r:id="rId2122" display="https://actualicese.com/historico-del-salario-minimo-y-el-auxilio-de-transporte-1990-2024/?referer=L-excel-formato&amp;utm_medium=act_formato_excel&amp;utm_source=act_formato_excel&amp;utm_campaign=act_formato_excel&amp;utm_content=act_formato_excel_link" xr:uid="{6DFD36A5-D2C4-4E70-BC43-B6DAF32D2282}"/>
    <hyperlink ref="B657" r:id="rId2123" display="https://actualicese.com/guia-de-informacion-laboral-2024/?referer=L-excel-formato&amp;utm_medium=act_formato_excel&amp;utm_source=act_formato_excel&amp;utm_campaign=act_formato_excel&amp;utm_content=act_formato_excel_link" xr:uid="{D6A49BF8-A3C7-4D85-8AAA-8238BDCFA47C}"/>
    <hyperlink ref="B659" r:id="rId2124" display="https://actualicese.com/modelo-calculo-de-intereses-sobre-las-cesantias/?referer=L-excel-formato&amp;utm_medium=act_formato_excel&amp;utm_source=act_formato_excel&amp;utm_campaign=act_formato_excel&amp;utm_content=act_formato_excel_link" xr:uid="{04545B85-90D0-475C-AAC8-A03E76E72E12}"/>
    <hyperlink ref="B661" r:id="rId2125" display="https://actualicese.com/comprobante-de-pago-intereses-a-las-cesantias/?referer=L-excel-formato&amp;utm_medium=act_formato_excel&amp;utm_source=act_formato_excel&amp;utm_campaign=act_formato_excel&amp;utm_content=act_formato_excel_link" xr:uid="{CDA12602-A4AB-4427-A7D7-5C8E54C0EB00}"/>
    <hyperlink ref="B663" r:id="rId2126" display="https://actualicese.com/cuadro-comparativo-de-regimenes-pensionales-en-colombia/?referer=L-excel-formato&amp;utm_medium=act_formato_excel&amp;utm_source=act_formato_excel&amp;utm_campaign=act_formato_excel&amp;utm_content=act_formato_excel_link" xr:uid="{107266F9-6956-44E9-8767-7E12C2672116}"/>
    <hyperlink ref="B665" r:id="rId2127" display="https://actualicese.com/caso-practico-de-liquidacion-de-un-trabajador-domestico-que-devenga-el-salario-minimo/?referer=L-excel-formato&amp;utm_medium=act_formato_excel&amp;utm_source=act_formato_excel&amp;utm_campaign=act_formato_excel&amp;utm_content=act_formato_excel_link" xr:uid="{BD649FE9-BB08-4ADE-8AE8-A3648EFC762C}"/>
    <hyperlink ref="B667" r:id="rId2128" display="https://actualicese.com/intereses-moratorios-sobre-deudas-tributarias/?referer=L-excel-formato&amp;utm_medium=act_formato_excel&amp;utm_source=act_formato_excel&amp;utm_campaign=act_formato_excel&amp;utm_content=act_formato_excel_link" xr:uid="{533F27B7-4713-4D0E-88AE-72374F73E9C5}"/>
    <hyperlink ref="B669" r:id="rId2129" display="https://actualicese.com/costo-de-la-contratacion-de-un-trabajador-que-devenga-un-salario-minimo-caso-practico/?referer=L-excel-formato&amp;utm_medium=act_formato_excel&amp;utm_source=act_formato_excel&amp;utm_campaign=act_formato_excel&amp;utm_content=act_formato_excel_link" xr:uid="{6A5097F6-5EC8-4FF5-8A58-A20955A25284}"/>
    <hyperlink ref="B671" r:id="rId2130" display="https://actualicese.com/calendario-tributario-2024-version-descargable/?referer=L-excel-formato&amp;utm_medium=act_formato_excel&amp;utm_source=act_formato_excel&amp;utm_campaign=act_formato_excel&amp;utm_content=act_formato_excel_link" xr:uid="{68FD8447-7A9D-4EC2-B50D-E8534497006E}"/>
    <hyperlink ref="B673" r:id="rId2131" display="https://actualicese.com/liquidador-de-sanciones-por-incumplir-con-la-obligacion-de-inscribirse-al-rut/?referer=L-excel-formato&amp;utm_medium=act_formato_excel&amp;utm_source=act_formato_excel&amp;utm_campaign=act_formato_excel&amp;utm_content=act_formato_excel_link" xr:uid="{ADDB73D7-20E0-4318-941C-9255C87E15E1}"/>
    <hyperlink ref="B675" r:id="rId2132" display="https://actualicese.com/liquidadores-de-sanciones-relacionadas-con-la-informacion-exogena/?referer=L-excel-formato&amp;utm_medium=act_formato_excel&amp;utm_source=act_formato_excel&amp;utm_campaign=act_formato_excel&amp;utm_content=act_formato_excel_link" xr:uid="{DA502576-290A-4FC1-8419-D7A5F9842903}"/>
    <hyperlink ref="B677" r:id="rId2133" display="https://actualicese.com/liquidadores-de-sancion-por-no-declarar/?referer=L-excel-formato&amp;utm_medium=act_formato_excel&amp;utm_source=act_formato_excel&amp;utm_campaign=act_formato_excel&amp;utm_content=act_formato_excel_link" xr:uid="{CE713914-3FAE-4949-BC4C-4B1E3FB998AD}"/>
    <hyperlink ref="B679" r:id="rId2134" display="https://actualicese.com/pack-de-formatos-para-la-revisoria-fiscal-dictamenes-informes-certificaciones-y-mas/?referer=L-excel-formato&amp;utm_medium=act_formato_excel&amp;utm_source=act_formato_excel&amp;utm_campaign=act_formato_excel&amp;utm_content=act_formato_excel_link" xr:uid="{24E75125-F01F-4841-915C-4963E39A4C32}"/>
    <hyperlink ref="B681" r:id="rId2135" display="https://actualicese.com/modelo-para-el-incremento-anual-del-arrendamiento-comercial/?referer=L-excel-formato&amp;utm_medium=act_formato_excel&amp;utm_source=act_formato_excel&amp;utm_campaign=act_formato_excel&amp;utm_content=act_formato_excel_link" xr:uid="{8B0EF1C2-837F-4896-A1FF-9453ADA48A4F}"/>
    <hyperlink ref="B653" r:id="rId2136" display="https://actualicese.com/comparativo-de-normas-del-dut-1625-de-2016-afectadas-con-el-decreto-2231-de-2023/?referer=L-excel-formato&amp;utm_medium=act_formato_excel&amp;utm_source=act_formato_excel&amp;utm_campaign=act_formato_excel&amp;utm_content=act_formato_excel_link" xr:uid="{C29D442B-8EB1-461D-83AE-10ADAF38B9E3}"/>
    <hyperlink ref="B639" r:id="rId2137" display="https://actualicese.com/liquidador-en-excel-de-retencion-en-la-fuente-con-procedimiento-1-durante-2024-sobre-rentas-de-trabajo-laborales-y-no-laborales/?referer=L-excel-formato&amp;utm_medium=act_formato_excel&amp;utm_source=act_formato_excel&amp;utm_campaign=act_formato_excel&amp;utm_content=act_formato_excel_link" xr:uid="{16B88E2E-3D36-430A-B3B1-B9142B7FDB57}"/>
    <hyperlink ref="B641" r:id="rId2138" display="https://actualicese.com/historico-de-la-variacion-nominal-del-salario-minimo-e-inflacion-1993-2024/?referer=L-excel-formato&amp;utm_medium=act_formato_excel&amp;utm_source=act_formato_excel&amp;utm_campaign=act_formato_excel&amp;utm_content=act_formato_excel_link" xr:uid="{4257EF96-2180-46C8-870E-228183A6FD98}"/>
    <hyperlink ref="B643" r:id="rId2139" display="https://actualicese.com/historico-de-indice-de-precios-al-consumidor-ipc/?referer=L-excel-formato&amp;utm_medium=act_formato_excel&amp;utm_source=act_formato_excel&amp;utm_campaign=act_formato_excel&amp;utm_content=act_formato_excel_link" xr:uid="{C3C7B91C-8ACC-47D2-9C31-00BE39AF47AD}"/>
    <hyperlink ref="B645" r:id="rId2140" display="https://actualicese.com/horas-diurnas-nocturnas-extras-dominicales-y-festivas/?referer=L-excel-formato&amp;utm_medium=act_formato_excel&amp;utm_source=act_formato_excel&amp;utm_campaign=act_formato_excel&amp;utm_content=act_formato_excel_link" xr:uid="{70D3D969-C0A6-45CC-8B29-A839230AAB62}"/>
    <hyperlink ref="B647" r:id="rId2141" display="https://actualicese.com/tabla-de-tarifas-de-honorarios-profesionales-para-contadores-publicos/?referer=L-excel-formato&amp;utm_medium=act_formato_excel&amp;utm_source=act_formato_excel&amp;utm_campaign=act_formato_excel&amp;utm_content=act_formato_excel_link" xr:uid="{B4F218F7-4029-4179-BD88-EE1E409BDDD0}"/>
    <hyperlink ref="B649" r:id="rId2142" display="https://actualicese.com/aportes-a-seguridad-social-para-trabajadores-independientes/?referer=L-excel-formato&amp;utm_medium=act_formato_excel&amp;utm_source=act_formato_excel&amp;utm_campaign=act_formato_excel&amp;utm_content=act_formato_excel_link" xr:uid="{8CA8B178-42A1-4ED0-A8F5-FF7D2272071B}"/>
    <hyperlink ref="B651" r:id="rId2143" display="https://actualicese.com/liquidador-de-aportes-a-seguridad-social-de-independientes-por-cuenta-propia-y-rentistas-de-capital/?referer=L-excel-formato&amp;utm_medium=act_formato_excel&amp;utm_source=act_formato_excel&amp;utm_campaign=act_formato_excel&amp;utm_content=act_formato_excel_link" xr:uid="{B26DE9E3-7C77-4A75-8409-7917B6D6C8DB}"/>
    <hyperlink ref="B633" r:id="rId2144" display="https://actualicese.com/tabla-en-excel-de-retencion-en-la-fuente-2024/?referer=L-excel-formato&amp;utm_medium=act_formato_excel&amp;utm_source=act_formato_excel&amp;utm_campaign=act_formato_excel&amp;utm_content=act_formato_excel_link" xr:uid="{17369523-42C3-498B-B6C7-C78B35974941}"/>
    <hyperlink ref="B635" r:id="rId2145" display="https://actualicese.com/tablas-de-retencion-en-la-fuente-a-titulo-de-impuestos-nacionales-durante-el-ano-fiscal-2024/?referer=L-excel-formato&amp;utm_medium=act_formato_excel&amp;utm_source=act_formato_excel&amp;utm_campaign=act_formato_excel&amp;utm_content=act_formato_excel_link" xr:uid="{E08ACBD5-9E71-4C9F-9E88-D3A1771FE6A0}"/>
    <hyperlink ref="B637" r:id="rId2146" display="https://actualicese.com/liquidador-historico-de-porcentajes-de-reajuste-fiscal/?referer=L-excel-formato&amp;utm_medium=act_formato_excel&amp;utm_source=act_formato_excel&amp;utm_campaign=act_formato_excel&amp;utm_content=act_formato_excel_link" xr:uid="{8D30182A-6478-47DD-8055-F1104CD86E01}"/>
    <hyperlink ref="B629" r:id="rId2147" display="https://actualicese.com/guia-requisitos-para-operar-como-no-responsables-de-iva-durante-el-2024/?referer=L-excel-formato&amp;utm_medium=act_formato_excel&amp;utm_source=act_formato_excel&amp;utm_campaign=act_formato_excel&amp;utm_content=act_formato_excel_link" xr:uid="{7C81D989-1F9A-4EA0-B8F1-91C09D543F17}"/>
    <hyperlink ref="B631" r:id="rId2148" display="https://actualicese.com/calendario-para-pago-de-aportes-a-seguridad-social-para-empleadores-e-independientes-2023-2024/?referer=L-excel-formato&amp;utm_medium=act_formato_excel&amp;utm_source=act_formato_excel&amp;utm_campaign=act_formato_excel&amp;utm_content=act_formato_excel_link" xr:uid="{DFB9F70A-B6C0-4E06-9C42-D8D9A98DFA54}"/>
    <hyperlink ref="B623" r:id="rId2149" display="https://actualicese.com/sancion-por-no-consignar-las-cesantias-y-no-pagar-los-intereses/?referer=L-excel-formato&amp;utm_medium=act_formato_excel&amp;utm_source=act_formato_excel&amp;utm_campaign=act_formato_excel&amp;utm_content=act_formato_excel_link" xr:uid="{86A487CC-0468-4FED-85C4-B3906A464B45}"/>
    <hyperlink ref="B625" r:id="rId2150" display="https://actualicese.com/liquidador-de-cesantias-en-excel-aplicado-a-11-casos-practicos/?referer=L-excel-formato&amp;utm_medium=act_formato_excel&amp;utm_source=act_formato_excel&amp;utm_campaign=act_formato_excel&amp;utm_content=act_formato_excel_link" xr:uid="{42E3A310-7C67-425A-96F2-6C7D68892D32}"/>
    <hyperlink ref="B627" r:id="rId2151" display="https://actualicese.com/liquidador-de-vacaciones-en-excel-aplicado-a-10-casos-practicos/?referer=L-excel-formato&amp;utm_medium=act_formato_excel&amp;utm_source=act_formato_excel&amp;utm_campaign=act_formato_excel&amp;utm_content=act_formato_excel_link" xr:uid="{B39A0212-094E-4C92-88D5-55353EC0F275}"/>
    <hyperlink ref="B621" r:id="rId2152" display="https://actualicese.com/liquidador-tributacion-sobre-dividendos-y-calculo-de-su-retencion-luego-de-la-ley-2277-de-2022/?referer=L-excel-formato&amp;utm_medium=act_formato_excel&amp;utm_source=act_formato_excel&amp;utm_campaign=act_formato_excel&amp;utm_content=act_formato_excel_link" xr:uid="{138B1C05-9301-406C-B932-D623CF45CCC1}"/>
    <hyperlink ref="A8" r:id="rId2153" xr:uid="{9BB599CA-39D1-4C4C-B4E1-15A2DC772946}"/>
    <hyperlink ref="B609" r:id="rId2154" display="https://actualicese.com/simulador-para-contrastar-los-efectos-de-pertenecer-al-regimen-ordinario-del-impuesto-a-la-renta-o-al-regimen-simple-de-tributacion-ag-2024/?referer=L-excel-formato&amp;utm_medium=act_formato_excel&amp;utm_source=act_formato_excel&amp;utm_campaign=act_formato_excel&amp;utm_content=act_formato_excel_link" xr:uid="{E07BE3BD-0AB5-4497-AFCC-8D6A57E75FF2}"/>
    <hyperlink ref="B611" r:id="rId2155" display="https://actualicese.com/intereses-moratorios-sobre-deudas-tributarias/?referer=L-excel-formato&amp;utm_medium=act_formato_excel&amp;utm_source=act_formato_excel&amp;utm_campaign=act_formato_excel&amp;utm_content=act_formato_excel_link" xr:uid="{0385E07E-2B48-4A68-BB43-0FC053DC87D2}"/>
    <hyperlink ref="B613" r:id="rId2156" display="https://actualicese.com/comparativo-de-pagos-a-trabajador-contrato-de-trabajo-vs-contrato-de-prestacion-de-servicios/?referer=L-excel-formato&amp;utm_medium=act_formato_excel&amp;utm_source=act_formato_excel&amp;utm_campaign=act_formato_excel&amp;utm_content=act_formato_excel_link" xr:uid="{540F4050-5693-4F10-9FA3-2C37CD3413A9}"/>
    <hyperlink ref="B615" r:id="rId2157" display="https://actualicese.com/contabilizacion-de-la-nomina-ejemplo-practico/?referer=L-excel-formato&amp;utm_medium=act_formato_excel&amp;utm_source=act_formato_excel&amp;utm_campaign=act_formato_excel&amp;utm_content=act_formato_excel_link" xr:uid="{86EECFC4-0A30-4F91-9BF6-829B68012199}"/>
    <hyperlink ref="B617" r:id="rId2158" display="https://actualicese.com/sancion-por-extemporaneidad-antes-del-emplazamiento/?referer=L-excel-formato&amp;utm_medium=act_formato_excel&amp;utm_source=act_formato_excel&amp;utm_campaign=act_formato_excel&amp;utm_content=act_formato_excel_link" xr:uid="{4A618F64-AE8E-422B-BE7F-31DEC2B00483}"/>
    <hyperlink ref="B619" r:id="rId2159" display="https://actualicese.com/sancion-por-extemporaneidad-despues-del-emplazamiento/?referer=L-excel-formato&amp;utm_medium=act_formato_excel&amp;utm_source=act_formato_excel&amp;utm_campaign=act_formato_excel&amp;utm_content=act_formato_excel_link" xr:uid="{2CB487A2-F590-465E-BE1B-244EB9C4C317}"/>
    <hyperlink ref="B601" r:id="rId2160" display="https://actualicese.com/calendario-tributario-2024-version-descargable/?referer=L-excel-formato&amp;utm_medium=act_formato_excel&amp;utm_source=act_formato_excel&amp;utm_campaign=act_formato_excel&amp;utm_content=act_formato_excel_link" xr:uid="{43A8CFF2-5321-44F5-9FD0-1776BA1A5913}"/>
    <hyperlink ref="B603" r:id="rId2161" display="https://actualicese.com/simulador-del-impuesto-para-dividendos-y-participaciones-no-gravados-de-2017-y-siguientes-luego-de-la-ley-2277-de-2022/?referer=L-excel-formato&amp;utm_medium=act_formato_excel&amp;utm_source=act_formato_excel&amp;utm_campaign=act_formato_excel&amp;utm_content=act_formato_excel_link" xr:uid="{8A5944D5-62BC-4B0A-A65A-AEFF95202CEA}"/>
    <hyperlink ref="B605" r:id="rId2162" display="https://actualicese.com/simulador-del-impuesto-para-dividendos-y-participaciones-gravados-de-2017-y-siguientes-luego-de-la-ley-2277-de-2022/?referer=L-excel-formato&amp;utm_medium=act_formato_excel&amp;utm_source=act_formato_excel&amp;utm_campaign=act_formato_excel&amp;utm_content=act_formato_excel_link" xr:uid="{071467C3-18F8-41C0-8837-059CCF874A3D}"/>
    <hyperlink ref="B607" r:id="rId2163" display="https://actualicese.com/simulador-del-impuesto-para-dividendos-y-participaciones-gravados-de-2016-y-anteriores/?referer=L-excel-formato&amp;utm_medium=act_formato_excel&amp;utm_source=act_formato_excel&amp;utm_campaign=act_formato_excel&amp;utm_content=act_formato_excel_link" xr:uid="{B5C5D6CA-439C-4058-B048-53F909B938DD}"/>
    <hyperlink ref="B593" r:id="rId2164" display="https://actualicese.com/modelo-en-word-de-documento-de-otorgamiento-de-viaticos-permanentes/?referer=L-excel-formato&amp;utm_medium=act_formato_excel&amp;utm_source=act_formato_excel&amp;utm_campaign=act_formato_excel&amp;utm_content=act_formato_excel_link" xr:uid="{D56B3012-AD35-46BF-A6E2-75B41A9C0478}"/>
    <hyperlink ref="B595" r:id="rId2165" display="https://actualicese.com/liquidador-de-sancion-por-correccion-presentada-por-el-contribuyente/?referer=L-excel-formato&amp;utm_medium=act_formato_excel&amp;utm_source=act_formato_excel&amp;utm_campaign=act_formato_excel&amp;utm_content=act_formato_excel_link" xr:uid="{192853DD-6A23-43C0-B7D7-1ABEC0252636}"/>
    <hyperlink ref="B597" r:id="rId2166" display="https://actualicese.com/liquidador-de-sancion-por-inexactitud/?referer=L-excel-formato&amp;utm_medium=act_formato_excel&amp;utm_source=act_formato_excel&amp;utm_campaign=act_formato_excel&amp;utm_content=act_formato_excel_link" xr:uid="{F3D6B71C-4541-46E8-89F6-0265CE424475}"/>
    <hyperlink ref="B599" r:id="rId2167" display="https://actualicese.com/modelo-en-word-de-carta-de-terminacion-del-contrato-de-trabajo-sin-justa-causa-por-parte-del-empleador/?referer=L-excel-formato&amp;utm_medium=act_formato_excel&amp;utm_source=act_formato_excel&amp;utm_campaign=act_formato_excel&amp;utm_content=act_formato_excel_link" xr:uid="{061F9D7B-82AD-4BD0-9EC6-24F64AE452ED}"/>
    <hyperlink ref="B523" r:id="rId2168" display="https://actualicese.com/guia-en-excel-para-evitar-errores-en-la-presentacion-de-informacion-exogena/?referer=L-excel-formato&amp;utm_medium=act_formato_excel&amp;utm_source=act_formato_excel&amp;utm_campaign=act_formato_excel&amp;utm_content=act_formato_excel_link" xr:uid="{2B04372E-B2AA-4FA9-84A2-7C656D9E26FE}"/>
    <hyperlink ref="B525" r:id="rId2169" display="https://actualicese.com/formato-de-calculo-de-horas-extra-y-recargos-mensuales-o-quincenales/?referer=L-excel-formato&amp;utm_medium=act_formato_excel&amp;utm_source=act_formato_excel&amp;utm_campaign=act_formato_excel&amp;utm_content=act_formato_excel_link" xr:uid="{412C139F-5879-49EE-91EF-38B2FD00BD5B}"/>
    <hyperlink ref="B527" r:id="rId2170" display="https://actualicese.com/modelo-de-certificado-laboral/?referer=L-excel-formato&amp;utm_medium=act_formato_excel&amp;utm_source=act_formato_excel&amp;utm_campaign=act_formato_excel&amp;utm_content=act_formato_excel_link" xr:uid="{D4C1607D-E477-4B3A-8897-0EDE0D2EA967}"/>
    <hyperlink ref="B529" r:id="rId2171" display="https://actualicese.com/carta-de-recomendacion/?referer=L-excel-formato&amp;utm_medium=act_formato_excel&amp;utm_source=act_formato_excel&amp;utm_campaign=act_formato_excel&amp;utm_content=act_formato_excel_link" xr:uid="{302DAF14-4BBF-47FA-AA75-185256E0F6AA}"/>
    <hyperlink ref="B531" r:id="rId2172" display="https://actualicese.com/liquidador-de-prestaciones-sociales-en-periodo-de-incapacidad/?referer=L-excel-formato&amp;utm_medium=act_formato_excel&amp;utm_source=act_formato_excel&amp;utm_campaign=act_formato_excel&amp;utm_content=act_formato_excel_link" xr:uid="{572AD5B5-85D7-44A1-B369-1D72EDF710B3}"/>
    <hyperlink ref="B533" r:id="rId2173" display="https://actualicese.com/tabla-en-excel-de-retencion-en-la-fuente-2024/?referer=L-excel-formato&amp;utm_medium=act_formato_excel&amp;utm_source=act_formato_excel&amp;utm_campaign=act_formato_excel&amp;utm_content=act_formato_excel_link" xr:uid="{CCDE92C5-E5C5-4F95-B6C8-5D7DBB885886}"/>
    <hyperlink ref="B535" r:id="rId2174" display="https://actualicese.com/tarifas-de-autorretencion-especial-en-renta-automatizado/?referer=L-excel-formato&amp;utm_medium=act_formato_excel&amp;utm_source=act_formato_excel&amp;utm_campaign=act_formato_excel&amp;utm_content=act_formato_excel_link" xr:uid="{19824320-98E4-4091-9FC7-D34B1E1FFF60}"/>
    <hyperlink ref="B537" r:id="rId2175" display="https://actualicese.com/liquidador-formulario-160-ag-2024-para-la-declaracion-de-activos-en-el-exterior/?referer=L-excel-formato&amp;utm_medium=act_formato_excel&amp;utm_source=act_formato_excel&amp;utm_campaign=act_formato_excel&amp;utm_content=act_formato_excel_link" xr:uid="{6CEE67D6-0CE0-4D89-A268-F1E52B813531}"/>
    <hyperlink ref="B539" r:id="rId2176" display="https://actualicese.com/liquidador-certificado-de-ingresos-y-retenciones-plantilla-del-formulario-220-y-del-formato-2276-ag-2023/?referer=L-excel-formato&amp;utm_medium=act_formato_excel&amp;utm_source=act_formato_excel&amp;utm_campaign=act_formato_excel&amp;utm_content=act_formato_excel_link" xr:uid="{47CA8F8C-E8EC-4D6E-8743-ACAFF03BB705}"/>
    <hyperlink ref="B541" r:id="rId2177" display="https://actualicese.com/simulador-para-contrastar-los-efectos-de-pertenecer-al-regimen-ordinario-del-impuesto-a-la-renta-o-al-regimen-simple-de-tributacion-ag-2024/?referer=L-excel-formato&amp;utm_medium=act_formato_excel&amp;utm_source=act_formato_excel&amp;utm_campaign=act_formato_excel&amp;utm_content=act_formato_excel_link" xr:uid="{2EDE3898-4B9A-4CE3-93B2-9E2AD78D41C6}"/>
    <hyperlink ref="B543" r:id="rId2178" display="https://actualicese.com/lista-de-chequeo-estandares-minimos-de-seguridad-para-empresas-medianas/?referer=L-excel-formato&amp;utm_medium=act_formato_excel&amp;utm_source=act_formato_excel&amp;utm_campaign=act_formato_excel&amp;utm_content=act_formato_excel_link" xr:uid="{80155DE2-AFE4-40FD-8EAD-931636901DAA}"/>
    <hyperlink ref="B545" r:id="rId2179" display="https://actualicese.com/lista-de-chequeo-de-documentos-presentados-en-asamblea-de-accionistas-o-junta-de-socios/?referer=L-excel-formato&amp;utm_medium=act_formato_excel&amp;utm_source=act_formato_excel&amp;utm_campaign=act_formato_excel&amp;utm_content=act_formato_excel_link" xr:uid="{C14FD5BF-C125-4395-B658-32F34C2C47FD}"/>
    <hyperlink ref="B547" r:id="rId2180" display="https://actualicese.com/modelo-del-certificado-anual-a-socios-o-accionistas/?referer=L-excel-formato&amp;utm_medium=act_formato_excel&amp;utm_source=act_formato_excel&amp;utm_campaign=act_formato_excel&amp;utm_content=act_formato_excel_link" xr:uid="{196324A3-104B-4BE3-BC13-047354F92428}"/>
    <hyperlink ref="B549" r:id="rId2181" display="https://actualicese.com/liquidador-tributacion-sobre-dividendos-y-calculo-de-su-retencion-luego-de-la-ley-2277-de-2022/?referer=L-excel-formato&amp;utm_medium=act_formato_excel&amp;utm_source=act_formato_excel&amp;utm_campaign=act_formato_excel&amp;utm_content=act_formato_excel_link" xr:uid="{191E83F7-5DE3-43B2-A601-790AC22C3DF9}"/>
    <hyperlink ref="B551" r:id="rId2182" display="https://actualicese.com/intereses-moratorios-sobre-deudas-tributarias/?referer=L-excel-formato&amp;utm_medium=act_formato_excel&amp;utm_source=act_formato_excel&amp;utm_campaign=act_formato_excel&amp;utm_content=act_formato_excel_link" xr:uid="{BBBE24F9-F0F0-4ADE-9FB4-0B1AC06C40E8}"/>
    <hyperlink ref="B553" r:id="rId2183" display="https://actualicese.com/guia-clasificacion-de-las-personas-juridicas-frente-al-impuesto-de-renta-y-el-simple-ag-2023/?referer=L-excel-formato&amp;utm_medium=act_formato_excel&amp;utm_source=act_formato_excel&amp;utm_campaign=act_formato_excel&amp;utm_content=act_formato_excel_link" xr:uid="{533965C6-1253-4618-B01A-2920FC7F5328}"/>
    <hyperlink ref="B555" r:id="rId2184" display="https://actualicese.com/retenciones-a-practicar-entre-regimenes/?referer=L-excel-formato&amp;utm_medium=act_formato_excel&amp;utm_source=act_formato_excel&amp;utm_campaign=act_formato_excel&amp;utm_content=act_formato_excel_link" xr:uid="{5EB161C1-0373-4FF3-9E56-4357A7E03938}"/>
    <hyperlink ref="B557" r:id="rId2185" display="https://actualicese.com/liquidador-de-aportes-a-arl-para-trabajadores-independientes/?referer=L-excel-formato&amp;utm_medium=act_formato_excel&amp;utm_source=act_formato_excel&amp;utm_campaign=act_formato_excel&amp;utm_content=act_formato_excel_link" xr:uid="{B0229125-FF3F-4EEC-AAA3-822841EB520A}"/>
    <hyperlink ref="B559" r:id="rId2186" display="https://actualicese.com/lista-de-chequeo-para-efectuar-el-cierre-contable-y-fiscal-de-una-entidad/?referer=L-excel-formato&amp;utm_medium=act_formato_excel&amp;utm_source=act_formato_excel&amp;utm_campaign=act_formato_excel&amp;utm_content=act_formato_excel_link" xr:uid="{A662C476-07E8-4B9F-B27F-A7FBAA3FADE4}"/>
    <hyperlink ref="B561" r:id="rId2187" display="https://actualicese.com/modelo-en-word-de-un-acuerdo-de-exclusividad-laboral/?referer=L-excel-formato&amp;utm_medium=act_formato_excel&amp;utm_source=act_formato_excel&amp;utm_campaign=act_formato_excel&amp;utm_content=act_formato_excel_link" xr:uid="{7027AF08-7188-4F31-BFEA-619222683BA3}"/>
    <hyperlink ref="B563" r:id="rId2188" display="https://actualicese.com/listado-de-actividades-economicas-codigos-ciiu/?referer=L-excel-formato&amp;utm_medium=act_formato_excel&amp;utm_source=act_formato_excel&amp;utm_campaign=act_formato_excel&amp;utm_content=act_formato_excel_link" xr:uid="{6674C907-82B8-4ED8-AF8A-9E2AFA307BD2}"/>
    <hyperlink ref="B565" r:id="rId2189" display="https://actualicese.com/modelo-de-contrato-de-prestacion-de-servicios/?referer=L-excel-formato&amp;utm_medium=act_formato_excel&amp;utm_source=act_formato_excel&amp;utm_campaign=act_formato_excel&amp;utm_content=act_formato_excel_link" xr:uid="{5B543B2D-7838-4013-9AD0-A9B27007FB23}"/>
    <hyperlink ref="B567" r:id="rId2190" display="https://actualicese.com/carta-entrega-de-dotacion/?referer=L-excel-formato&amp;utm_medium=act_formato_excel&amp;utm_source=act_formato_excel&amp;utm_campaign=act_formato_excel&amp;utm_content=act_formato_excel_link" xr:uid="{C782AE8E-1576-4752-B7E6-0E684BAF7189}"/>
    <hyperlink ref="B569" r:id="rId2191" display="https://actualicese.com/solicitud-compensacion-en-dinero-de-las-vacaciones/?referer=L-excel-formato&amp;utm_medium=act_formato_excel&amp;utm_source=act_formato_excel&amp;utm_campaign=act_formato_excel&amp;utm_content=act_formato_excel_link" xr:uid="{E397F926-1B16-4018-802B-1760C8DAB433}"/>
    <hyperlink ref="B571" r:id="rId2192" display="https://actualicese.com/acta-cambio-de-representante-legal/?referer=L-excel-formato&amp;utm_medium=act_formato_excel&amp;utm_source=act_formato_excel&amp;utm_campaign=act_formato_excel&amp;utm_content=act_formato_excel_link" xr:uid="{2E8F00C7-BF3E-4420-84B8-9BCB2048ABC8}"/>
    <hyperlink ref="B573" r:id="rId2193" display="https://actualicese.com/lista-de-chequeo-estandares-minimos-de-seguridad-para-pequenas-empresas/?referer=L-excel-formato&amp;utm_medium=act_formato_excel&amp;utm_source=act_formato_excel&amp;utm_campaign=act_formato_excel&amp;utm_content=act_formato_excel_link" xr:uid="{0973B112-0162-41E7-8152-5206E44B3681}"/>
    <hyperlink ref="B575" r:id="rId2194" display="https://actualicese.com/lista-de-chequeo-de-documentos-para-contratacion-laboral-a-solicitar-al-trabajador/?referer=L-excel-formato&amp;utm_medium=act_formato_excel&amp;utm_source=act_formato_excel&amp;utm_campaign=act_formato_excel&amp;utm_content=act_formato_excel_link" xr:uid="{40C5920A-8ABE-4597-8C0B-6E48EAB0B134}"/>
    <hyperlink ref="B577" r:id="rId2195" display="https://actualicese.com/liquidador-plantilla-para-elaborar-el-formulario-300-para-las-declaraciones-del-iva-en-2024/?referer=L-excel-formato&amp;utm_medium=act_formato_excel&amp;utm_source=act_formato_excel&amp;utm_campaign=act_formato_excel&amp;utm_content=act_formato_excel_link" xr:uid="{C4C7CE97-FC48-4C5B-855B-7FE13E8C51FC}"/>
    <hyperlink ref="B579" r:id="rId2196" display="https://actualicese.com/tabla-para-liquidar-indemnizaciones-por-perdida-de-capacidad-laboral/?referer=L-excel-formato&amp;utm_medium=act_formato_excel&amp;utm_source=act_formato_excel&amp;utm_campaign=act_formato_excel&amp;utm_content=act_formato_excel_link" xr:uid="{41A3327F-B4B9-4185-9931-2E1AAFADE64E}"/>
    <hyperlink ref="B581" r:id="rId2197" display="https://actualicese.com/liquidador-y-desprendible-de-nomina-basico-en-excel/?referer=L-excel-formato&amp;utm_medium=act_formato_excel&amp;utm_source=act_formato_excel&amp;utm_campaign=act_formato_excel&amp;utm_content=act_formato_excel_link" xr:uid="{7D177EAE-F993-478C-917E-B0EAB89F3045}"/>
    <hyperlink ref="B583" r:id="rId2198" display="https://actualicese.com/renta-liquida-gravable-por-comparacion-patrimonial-calculos-para-su-determinacion/?referer=L-excel-formato&amp;utm_medium=act_formato_excel&amp;utm_source=act_formato_excel&amp;utm_campaign=act_formato_excel&amp;utm_content=act_formato_excel_link" xr:uid="{FABF0527-CAF0-45FB-985C-401DDCE91837}"/>
    <hyperlink ref="B585" r:id="rId2199" display="https://actualicese.com/certificado-de-dependientes-para-efectos-de-deduccion-en-la-declaracion-de-renta/?referer=L-excel-formato&amp;utm_medium=act_formato_excel&amp;utm_source=act_formato_excel&amp;utm_campaign=act_formato_excel&amp;utm_content=act_formato_excel_link" xr:uid="{E27962EB-46CF-4633-B744-377D31FDDD52}"/>
    <hyperlink ref="B587" r:id="rId2200" display="https://actualicese.com/12-liquidadores-para-calcular-la-prima-de-servicios-semestral/?referer=L-excel-formato&amp;utm_medium=act_formato_excel&amp;utm_source=act_formato_excel&amp;utm_campaign=act_formato_excel&amp;utm_content=act_formato_excel_link" xr:uid="{653142F2-48E7-4321-BA6F-521308AF5445}"/>
    <hyperlink ref="B589" r:id="rId2201" display="https://actualicese.com/modelo-de-certificado-de-retencion-en-la-fuente-por-conceptos-diferentes-a-rentas-laborales/?referer=L-excel-formato&amp;utm_medium=act_formato_excel&amp;utm_source=act_formato_excel&amp;utm_campaign=act_formato_excel&amp;utm_content=act_formato_excel_link" xr:uid="{4B5ED2C5-7E33-417F-9825-F6F42E973968}"/>
    <hyperlink ref="B591" r:id="rId2202" display="https://actualicese.com/liquidador-calculo-del-costo-de-renovacion-de-matricula-mercantil-y-de-establecimientos-de-comercio-2024/?referer=L-excel-formato&amp;utm_medium=act_formato_excel&amp;utm_source=act_formato_excel&amp;utm_campaign=act_formato_excel&amp;utm_content=act_formato_excel_link" xr:uid="{57479A28-6488-467F-A9B2-DAED99F9FBA0}"/>
    <hyperlink ref="B497" r:id="rId2203" display="https://actualicese.com/solicitud-de-licencia-por-luto/?referer=L-excel-formato&amp;utm_medium=act_formato_excel&amp;utm_source=act_formato_excel&amp;utm_campaign=act_formato_excel&amp;utm_content=act_formato_excel_link" xr:uid="{97CF5F18-9A7D-41EC-9088-1A929A357FB9}"/>
    <hyperlink ref="B499" r:id="rId2204" display="https://actualicese.com/poder-para-adelantar-sucesion-ante-notaria/?referer=L-excel-formato&amp;utm_medium=act_formato_excel&amp;utm_source=act_formato_excel&amp;utm_campaign=act_formato_excel&amp;utm_content=act_formato_excel_link" xr:uid="{E260853D-C78B-4251-8EE5-B524CC5F2F26}"/>
    <hyperlink ref="B501" r:id="rId2205" display="https://actualicese.com/herramienta-en-excel-para-la-consulta-automatica-de-terceros-en-la-dian/?referer=L-excel-formato&amp;utm_medium=act_formato_excel&amp;utm_source=act_formato_excel&amp;utm_campaign=act_formato_excel&amp;utm_content=act_formato_excel_link" xr:uid="{9F427C47-CAAA-4897-80FE-EF07712BB44A}"/>
    <hyperlink ref="B503" r:id="rId2206" display="https://actualicese.com/liquidador-del-auxilio-de-incapacidad-de-origen-comun-para-trabajador-independiente/?referer=L-excel-formato&amp;utm_medium=act_formato_excel&amp;utm_source=act_formato_excel&amp;utm_campaign=act_formato_excel&amp;utm_content=act_formato_excel_link" xr:uid="{538B079A-36B3-4EFA-8F41-FB4085348E99}"/>
    <hyperlink ref="B505" r:id="rId2207" display="https://actualicese.com/modelo-de-autorizacion-para-el-tratamiento-y-la-proteccion-de-datos-personales/?referer=L-excel-formato&amp;utm_medium=act_formato_excel&amp;utm_source=act_formato_excel&amp;utm_campaign=act_formato_excel&amp;utm_content=act_formato_excel_link" xr:uid="{6489C6A0-7E47-4A67-901A-33DA789B8273}"/>
    <hyperlink ref="B507" r:id="rId2208" display="https://actualicese.com/intereses-moratorios-sobre-deudas-tributarias/?referer=L-excel-formato&amp;utm_medium=act_formato_excel&amp;utm_source=act_formato_excel&amp;utm_campaign=act_formato_excel&amp;utm_content=act_formato_excel_link" xr:uid="{7A851679-CED1-4E0A-93F8-7CB4296A1177}"/>
    <hyperlink ref="B509" r:id="rId2209" display="https://actualicese.com/matriz-resumen-con-las-categorias-de-los-informantes-de-exogena-ag-2023-y-los-formatos-que-deben-usar/?referer=L-excel-formato&amp;utm_medium=act_formato_excel&amp;utm_source=act_formato_excel&amp;utm_campaign=act_formato_excel&amp;utm_content=act_formato_excel_link" xr:uid="{1CBF7465-ABA7-4B07-BFA9-0EA7962E98CC}"/>
    <hyperlink ref="B511" r:id="rId2210" display="https://actualicese.com/liquidador-en-excel-del-formulario-110-y-el-formato-2516-declaracion-de-renta-de-personas-juridicas-ag-2023/?referer=L-excel-formato&amp;utm_medium=act_formato_excel&amp;utm_source=act_formato_excel&amp;utm_campaign=act_formato_excel&amp;utm_content=act_formato_excel_link" xr:uid="{3484E2E8-DA09-4B11-B86F-2D0136CB8FB9}"/>
    <hyperlink ref="B513" r:id="rId2211" display="https://actualicese.com/liquidador-excel-del-formulario-350-de-retencion-en-la-fuente-vigente-a-partir-de-agosto-1-de-2024/?referer=L-excel-formato&amp;utm_medium=act_formato_excel&amp;utm_source=act_formato_excel&amp;utm_campaign=act_formato_excel&amp;utm_content=act_formato_excel_link" xr:uid="{B9A5DC7B-20D1-4B9D-9A96-164A09BF4E89}"/>
    <hyperlink ref="B515" r:id="rId2212" display="https://actualicese.com/contrato-modelo-contrato-a-termino-indefinido-de-trabajo/?referer=L-excel-formato&amp;utm_medium=act_formato_excel&amp;utm_source=act_formato_excel&amp;utm_campaign=act_formato_excel&amp;utm_content=act_formato_excel_link" xr:uid="{8E63EC8A-056C-4F9C-9F01-AFD1075BF444}"/>
    <hyperlink ref="B517" r:id="rId2213" display="https://actualicese.com/liquidador-de-prestaciones-sociales/?referer=L-excel-formato&amp;utm_medium=act_formato_excel&amp;utm_source=act_formato_excel&amp;utm_campaign=act_formato_excel&amp;utm_content=act_formato_excel_link" xr:uid="{B645B42B-C451-4DB5-AD0E-7019067A7DF6}"/>
    <hyperlink ref="B519" r:id="rId2214" display="https://actualicese.com/liquidador-de-topes-de-ingresos-para-presentar-formatos-de-conciliacion-fiscal-2516-y-2517/?referer=L-excel-formato&amp;utm_medium=act_formato_excel&amp;utm_source=act_formato_excel&amp;utm_campaign=act_formato_excel&amp;utm_content=act_formato_excel_link" xr:uid="{DE9AFB23-92A9-47BD-AAB0-B8A8F592EA0C}"/>
    <hyperlink ref="B521" r:id="rId2215" display="https://actualicese.com/guia-clasificacion-de-las-personas-juridicas-frente-al-impuesto-de-renta-y-el-simple-ag-2023/?referer=L-excel-formato&amp;utm_medium=act_formato_excel&amp;utm_source=act_formato_excel&amp;utm_campaign=act_formato_excel&amp;utm_content=act_formato_excel_link" xr:uid="{1E48EB36-7718-40EC-97D1-6E66934D75C4}"/>
    <hyperlink ref="B493" r:id="rId2216" display="https://actualicese.com/modelo-en-word-de-un-contrato-de-transaccion-laboral-para-la-terminacion-del-contrato-de-trabajo/?referer=L-excel-formato&amp;utm_medium=act_formato_excel&amp;utm_source=act_formato_excel&amp;utm_campaign=act_formato_excel&amp;utm_content=act_formato_excel_link" xr:uid="{54E351F2-0DF9-469E-A9A0-A24BC04DFF77}"/>
    <hyperlink ref="B495" r:id="rId2217" display="https://actualicese.com/liquidador-plantilla-del-formato-1001-del-ano-gravable-2023-reporte-de-exogena-de-pagos-o-abonos-en-cuenta/?referer=L-excel-formato&amp;utm_medium=act_formato_excel&amp;utm_source=act_formato_excel&amp;utm_campaign=act_formato_excel&amp;utm_content=act_formato_excel_link" xr:uid="{B2CFDF34-6A87-4018-BAD3-17B6DF412F0F}"/>
    <hyperlink ref="B485" r:id="rId2218" display="https://actualicese.com/liquidador-plantilla-de-los-formatos-2276-2280-y-2743-para-el-reporte-de-informacion-exogena-de-2023/?referer=L-excel-formato&amp;utm_medium=act_formato_excel&amp;utm_source=act_formato_excel&amp;utm_campaign=act_formato_excel&amp;utm_content=act_formato_excel_link" xr:uid="{0238F658-7B0C-4B91-AD6D-A663E3EE4529}"/>
    <hyperlink ref="B487" r:id="rId2219" display="https://actualicese.com/liquidador-plantilla-del-formato-1003-de-exogena-2023-retenciones-que-le-practicaron-al-informante/?referer=L-excel-formato&amp;utm_medium=act_formato_excel&amp;utm_source=act_formato_excel&amp;utm_campaign=act_formato_excel&amp;utm_content=act_formato_excel_link" xr:uid="{AA8B464D-7217-4A8D-9822-F26474A732E3}"/>
    <hyperlink ref="B489" r:id="rId2220" display="https://actualicese.com/liquidador-plantilla-de-los-formatos-1005-y-1006-de-exogena-2023-reporte-del-inc-e-iva-descontable-y-generados/?referer=L-excel-formato&amp;utm_medium=act_formato_excel&amp;utm_source=act_formato_excel&amp;utm_campaign=act_formato_excel&amp;utm_content=act_formato_excel_link" xr:uid="{8C92DAF2-C2BA-4A13-9859-DFC298D9D8CA}"/>
    <hyperlink ref="B491" r:id="rId2221" display="https://actualicese.com/liquidador-plantilla-de-los-formatos-1011-1012-y-2275-de-exogena-2023-para-el-reporte-de-otros-datos-en-renta-e-iva/?referer=L-excel-formato&amp;utm_medium=act_formato_excel&amp;utm_source=act_formato_excel&amp;utm_campaign=act_formato_excel&amp;utm_content=act_formato_excel_link" xr:uid="{6E25758C-2A74-4C04-9EB5-6D03A93EAB3B}"/>
    <hyperlink ref="B475" r:id="rId2222" display="https://actualicese.com/guia-en-excel-para-auditar-el-formato-2516-conciliacion-fiscal-de-las-personas-juridicas/?referer=L-excel-formato&amp;utm_medium=act_formato_excel&amp;utm_source=act_formato_excel&amp;utm_campaign=act_formato_excel&amp;utm_content=act_formato_excel_link" xr:uid="{7B6073B0-DE41-4D42-BE89-0811BB9CC136}"/>
    <hyperlink ref="B477" r:id="rId2223" display="https://actualicese.com/liquidador-de-indemnizacion-por-despido-sin-justa-causa-para-contrato-fijo-u-obra-labor/?referer=L-excel-formato&amp;utm_medium=act_formato_excel&amp;utm_source=act_formato_excel&amp;utm_campaign=act_formato_excel&amp;utm_content=act_formato_excel_link" xr:uid="{521C2669-3DE2-44AF-8E95-4A9FEC3E86F7}"/>
    <hyperlink ref="B479" r:id="rId2224" display="https://actualicese.com/casos-practicos-de-retencion-en-la-fuente-por-compras-servicios-y-honorarios/?referer=L-excel-formato&amp;utm_medium=act_formato_excel&amp;utm_source=act_formato_excel&amp;utm_campaign=act_formato_excel&amp;utm_content=act_formato_excel_link" xr:uid="{D445E7EC-0B7B-453B-B72E-294428B969B2}"/>
    <hyperlink ref="B481" r:id="rId2225" display="https://actualicese.com/liquidador-formulario-260-ag-2023-declaracion-anual-del-regimen-simple-personas-naturales-que-no-llevan-contabilidad/?referer=L-excel-formato&amp;utm_medium=act_formato_excel&amp;utm_source=act_formato_excel&amp;utm_campaign=act_formato_excel&amp;utm_content=act_formato_excel_link" xr:uid="{05103BC4-8F0E-4F44-93D1-58697342A56C}"/>
    <hyperlink ref="B483" r:id="rId2226" display="https://actualicese.com/liquidador-formulario-260-ag-2023-declaracion-anual-del-regimen-simple-personas-naturales-y-juridicas-que-llevan-contabilidad/?referer=L-excel-formato&amp;utm_medium=act_formato_excel&amp;utm_source=act_formato_excel&amp;utm_campaign=act_formato_excel&amp;utm_content=act_formato_excel_link" xr:uid="{170D551E-9125-4E4A-AD13-BF0E1639001E}"/>
    <hyperlink ref="B467" r:id="rId2227" display="https://actualicese.com/liquidador-plantilla-de-los-formatos-de-exogena-del-5247-al-5252-por-el-ag-2023-reportes-de-los-mandatarios/?referer=L-excel-formato&amp;utm_medium=act_formato_excel&amp;utm_source=act_formato_excel&amp;utm_campaign=act_formato_excel&amp;utm_content=act_formato_excel_link" xr:uid="{2FBF76D5-CFFC-41A1-9BA4-1906D2C91A71}"/>
    <hyperlink ref="B469" r:id="rId2228" display="https://actualicese.com/liquidador-plantilla-del-formato-1009-de-exogena-2023-informacion-de-cuentas-por-pagar/?referer=L-excel-formato&amp;utm_medium=act_formato_excel&amp;utm_source=act_formato_excel&amp;utm_campaign=act_formato_excel&amp;utm_content=act_formato_excel_link" xr:uid="{98BE5FB7-45F9-4F0C-815A-3D6CA4374B11}"/>
    <hyperlink ref="B471" r:id="rId2229" display="https://actualicese.com/liquidador-plantilla-del-formato-1008-de-exogena-2023-informacion-de-cuentas-por-cobrar/?referer=L-excel-formato&amp;utm_medium=act_formato_excel&amp;utm_source=act_formato_excel&amp;utm_campaign=act_formato_excel&amp;utm_content=act_formato_excel_link" xr:uid="{5A4460D6-E62C-4CDF-8154-6707891B8F74}"/>
    <hyperlink ref="B473" r:id="rId2230" display="https://actualicese.com/liquidador-plantilla-del-formato-1007-de-exogena-2023-informacion-de-ingresos-propios/?referer=L-excel-formato&amp;utm_medium=act_formato_excel&amp;utm_source=act_formato_excel&amp;utm_campaign=act_formato_excel&amp;utm_content=act_formato_excel_link" xr:uid="{957EA201-CDF4-4755-BB14-A56859AF6849}"/>
    <hyperlink ref="B459" r:id="rId2231" display="https://actualicese.com/calculo-retencion-en-la-fuente-a-titulo-de-renta-por-concepto-de-pensiones/?referer=L-excel-formato&amp;utm_medium=act_formato_excel&amp;utm_source=act_formato_excel&amp;utm_campaign=act_formato_excel&amp;utm_content=act_formato_excel_link" xr:uid="{63392B3F-94C1-4DAA-88C6-0CB294111491}"/>
    <hyperlink ref="B461" r:id="rId2232" display="https://actualicese.com/aportes-al-fondo-de-solidaridad-pensional-por-parte-de-un-empleado/?referer=L-excel-formato&amp;utm_medium=act_formato_excel&amp;utm_source=act_formato_excel&amp;utm_campaign=act_formato_excel&amp;utm_content=act_formato_excel_link" xr:uid="{7C299E78-7F87-443E-9BA9-55E6DE1ED0EA}"/>
    <hyperlink ref="B463" r:id="rId2233" display="https://actualicese.com/liquidador-de-nomina-de-empleados-de-servicio-domestico-que-laboran-por-dias/?referer=L-excel-formato&amp;utm_medium=act_formato_excel&amp;utm_source=act_formato_excel&amp;utm_campaign=act_formato_excel&amp;utm_content=act_formato_excel_link" xr:uid="{40D713DB-D40F-48AE-9BCC-5C6EB26D4568}"/>
    <hyperlink ref="B465" r:id="rId2234" display="https://actualicese.com/plantilla-para-el-control-de-entrega-de-dotacion-a-empleados/?referer=L-excel-formato&amp;utm_medium=act_formato_excel&amp;utm_source=act_formato_excel&amp;utm_campaign=act_formato_excel&amp;utm_content=act_formato_excel_link" xr:uid="{8FEA579E-0001-4D73-8545-50833BCF3529}"/>
    <hyperlink ref="B453" r:id="rId2235" display="https://actualicese.com/liquidador-plantilla-del-formato-1004-de-exogena-de-2023-reporte-de-descuentos-al-impuesto-de-renta-y-el-simple/" xr:uid="{07CDF425-431F-452F-A450-459EF6459B37}"/>
    <hyperlink ref="B455" r:id="rId2236" display="https://actualicese.com/liquidador-plantilla-del-formato-1010-de-exogena-2023-informacion-de-socios-cooperados-o-comuneros/" xr:uid="{006D3341-F3A9-48E2-A228-E38EE0A3C6E2}"/>
    <hyperlink ref="B457" r:id="rId2237" display="https://actualicese.com/liquidador-plantilla-del-formato-1647-de-exogena-2023-reporte-de-ingresos-recibidos-para-terceros/" xr:uid="{289C07A5-C644-44F7-B8E1-9671DAA90B07}"/>
    <hyperlink ref="B451" r:id="rId2238" display="https://actualicese.com/pack-de-formatos-15-plantillas-y-guias-para-el-reporte-de-informacion-exogena-2023/?referer=L-excel-formato&amp;utm_medium=act_formato_excel&amp;utm_source=act_formato_excel&amp;utm_campaign=act_formato_excel&amp;utm_content=act_formato_excel_link" xr:uid="{9198BA87-4777-4E89-B0AB-4E494972BAAC}"/>
    <hyperlink ref="B445" r:id="rId2239" display="https://actualicese.com/plantilla-en-excel-del-formulario-310-ag-2024-declaracion-del-impuesto-nacional-al-consumo-inc/?referer=L-excel-formato&amp;utm_medium=act_formato_excel&amp;utm_source=act_formato_excel&amp;utm_campaign=act_formato_excel&amp;utm_content=act_formato_excel_link" xr:uid="{E1319BD8-1E41-44CF-9FF6-8EEEB762DB07}"/>
    <hyperlink ref="B447" r:id="rId2240" display="https://actualicese.com/plantilla-en-excel-del-formulario-420-ag-2024-declaracion-anual-del-impuesto-al-patrimonio/?referer=L-excel-formato&amp;utm_medium=act_formato_excel&amp;utm_source=act_formato_excel&amp;utm_campaign=act_formato_excel&amp;utm_content=act_formato_excel_link" xr:uid="{46A357D5-28FC-4B80-BBF5-BF6C9E2EB122}"/>
    <hyperlink ref="B449" r:id="rId2241" display="https://actualicese.com/modelo-de-carta-de-solicitud-de-correccion-de-informacion-exogena/?referer=L-excel-formato&amp;utm_medium=act_formato_excel&amp;utm_source=act_formato_excel&amp;utm_campaign=act_formato_excel&amp;utm_content=act_formato_excel_link" xr:uid="{02718DBF-2D65-48E4-B244-7AD298F65154}"/>
    <hyperlink ref="B427" r:id="rId2242" display="https://actualicese.com/intereses-moratorios-sobre-deudas-tributarias/?referer=L-excel-formato&amp;utm_medium=act_formato_excel&amp;utm_source=act_formato_excel&amp;utm_campaign=act_formato_excel&amp;utm_content=act_formato_excel_link" xr:uid="{DCF63302-0EB0-46C6-BC31-739D29260527}"/>
    <hyperlink ref="B429" r:id="rId2243" display="https://actualicese.com/utilidad-por-venta-de-activo-fijo-depreciable-que-sera-renta-por-recuperacion-de-deducciones/?referer=L-excel-formato&amp;utm_medium=act_formato_excel&amp;utm_source=act_formato_excel&amp;utm_campaign=act_formato_excel&amp;utm_content=act_formato_excel_link" xr:uid="{35C2C78F-6ADC-47CA-8216-10A38AA90EC1}"/>
    <hyperlink ref="B431" r:id="rId2244" display="https://actualicese.com/caso-practico-de-liquidacion-de-nomina-cuando-hay-salario-integral/?referer=L-excel-formato&amp;utm_medium=act_formato_excel&amp;utm_source=act_formato_excel&amp;utm_campaign=act_formato_excel&amp;utm_content=act_formato_excel_link" xr:uid="{9E5C2884-E629-44A9-B109-4722E6ED9BA4}"/>
    <hyperlink ref="B433" r:id="rId2245" display="https://actualicese.com/notificacion-a-empleado-de-la-reduccion-de-la-jornada-laboral/?referer=L-excel-formato&amp;utm_medium=act_formato_excel&amp;utm_source=act_formato_excel&amp;utm_campaign=act_formato_excel&amp;utm_content=act_formato_excel_link" xr:uid="{21B320F8-9852-41F8-8B2B-42868ADC62AE}"/>
    <hyperlink ref="B435" r:id="rId2246" display="https://actualicese.com/pack-de-formatos-15-herramientas-que-te-facilitaran-la-declaracion-de-renta-de-personas-juridicas-ag-2023/?referer=L-excel-formato&amp;utm_medium=act_formato_excel&amp;utm_source=act_formato_excel&amp;utm_campaign=act_formato_excel&amp;utm_content=act_formato_excel_link" xr:uid="{BE0DA9E8-8B4F-4F59-B93A-772C84269EC8}"/>
    <hyperlink ref="B437" r:id="rId2247" display="https://actualicese.com/modelo-certificacion-para-que-proceda-descuento-tributario-por-donacion-realizada/?referer=L-excel-formato&amp;utm_medium=act_formato_excel&amp;utm_source=act_formato_excel&amp;utm_campaign=act_formato_excel&amp;utm_content=act_formato_excel_link" xr:uid="{A51CF825-F767-4E6F-BD0F-46E7CD01420F}"/>
    <hyperlink ref="B439" r:id="rId2248" display="https://actualicese.com/liquidador-de-indemnizacion-por-despido-sin-justa-causa-contrato-indefinido/?referer=L-excel-formato&amp;utm_medium=act_formato_excel&amp;utm_source=act_formato_excel&amp;utm_campaign=act_formato_excel&amp;utm_content=act_formato_excel_link" xr:uid="{FE53A463-C8C0-4151-B779-3BD97662F434}"/>
    <hyperlink ref="B441" r:id="rId2249" display="https://actualicese.com/liquidador-automatizado-de-intereses-a-las-cesantias-y-su-comprobante-de-pago/?referer=L-excel-formato&amp;utm_medium=act_formato_excel&amp;utm_source=act_formato_excel&amp;utm_campaign=act_formato_excel&amp;utm_content=act_formato_excel_link" xr:uid="{CA87EDC8-F81D-4BE9-9D03-17E4D44D7A22}"/>
    <hyperlink ref="B443" r:id="rId2250" display="https://actualicese.com/modelo-de-certificado-de-no-declarante-del-impuesto-de-renta-y-complementario/?referer=L-excel-formato&amp;utm_medium=act_formato_excel&amp;utm_source=act_formato_excel&amp;utm_campaign=act_formato_excel&amp;utm_content=act_formato_excel_link" xr:uid="{90860386-16ED-41C5-8977-F9EEC64867DB}"/>
    <hyperlink ref="B403" r:id="rId2251" display="https://actualicese.com/liquidador-de-prestaciones-sociales-para-trabajadores-domesticos-por-dias/?referer=L-excel-formato&amp;utm_medium=act_formato_excel&amp;utm_source=act_formato_excel&amp;utm_campaign=act_formato_excel&amp;utm_content=act_formato_excel_link" xr:uid="{E9F3A2B8-F75E-43D9-A267-8054854598A3}"/>
    <hyperlink ref="B405" r:id="rId2252" display="https://actualicese.com/liquidador-de-seguridad-social-para-trabajadores-domesticos-por-dias-con-multiples-empleadores/?referer=L-excel-formato&amp;utm_medium=act_formato_excel&amp;utm_source=act_formato_excel&amp;utm_campaign=act_formato_excel&amp;utm_content=act_formato_excel_link" xr:uid="{E0156EB9-7DF9-4DE1-A2B6-06DAB69BA9AA}"/>
    <hyperlink ref="B407" r:id="rId2253" display="https://actualicese.com/caso-practico-de-liquidacion-de-nomina-cuando-hay-salario-integral/?referer=L-excel-formato&amp;utm_medium=act_formato_excel&amp;utm_source=act_formato_excel&amp;utm_campaign=act_formato_excel&amp;utm_content=act_formato_excel_link" xr:uid="{FE8A23A9-1C21-4A75-AC1E-CAB8ADBCCCA4}"/>
    <hyperlink ref="B409" r:id="rId2254" display="https://actualicese.com/contrato-individual-de-trabajo-a-termino-fijo/?referer=L-excel-formato&amp;utm_medium=act_formato_excel&amp;utm_source=act_formato_excel&amp;utm_campaign=act_formato_excel&amp;utm_content=act_formato_excel_link" xr:uid="{9AD60C61-F519-4678-8200-3C8E367587F5}"/>
    <hyperlink ref="B411" r:id="rId2255" display="https://actualicese.com/utilidad-por-venta-de-activo-fijo-depreciable-que-sera-renta-por-recuperacion-de-deducciones/?referer=L-excel-formato&amp;utm_medium=act_formato_excel&amp;utm_source=act_formato_excel&amp;utm_campaign=act_formato_excel&amp;utm_content=act_formato_excel_link" xr:uid="{C98E5179-7E90-41A0-A46C-E198A0A28200}"/>
    <hyperlink ref="B413" r:id="rId2256" display="https://actualicese.com/notificacion-a-empleado-de-la-reduccion-de-la-jornada-laboral/?referer=L-excel-formato&amp;utm_medium=act_formato_excel&amp;utm_source=act_formato_excel&amp;utm_campaign=act_formato_excel&amp;utm_content=act_formato_excel_link" xr:uid="{633F1AD9-0F30-43B4-A5CA-9BCB101F2454}"/>
    <hyperlink ref="B415" r:id="rId2257" display="https://actualicese.com/liquidador-excel-del-formulario-2593-ag-2024-declaracion-de-anticipos-bimestrales-regimen-simple/?referer=L-excel-formato&amp;utm_medium=act_formato_excel&amp;utm_source=act_formato_excel&amp;utm_campaign=act_formato_excel&amp;utm_content=act_formato_excel_link" xr:uid="{9F8BC0A1-02AE-4605-8512-5F8D285B7D42}"/>
    <hyperlink ref="B417" r:id="rId2258" display="https://actualicese.com/pack-de-formatos-15-herramientas-que-te-facilitaran-la-declaracion-de-renta-de-personas-juridicas-ag-2023/?referer=L-excel-formato&amp;utm_medium=act_formato_excel&amp;utm_source=act_formato_excel&amp;utm_campaign=act_formato_excel&amp;utm_content=act_formato_excel_link" xr:uid="{2B56B024-73D5-49AB-9120-5695D08DD577}"/>
    <hyperlink ref="B419" r:id="rId2259" display="https://actualicese.com/modelo-certificacion-para-que-proceda-descuento-tributario-por-donacion-realizada/?referer=L-excel-formato&amp;utm_medium=act_formato_excel&amp;utm_source=act_formato_excel&amp;utm_campaign=act_formato_excel&amp;utm_content=act_formato_excel_link" xr:uid="{DEFD39BD-4DB9-494E-8D50-17B744BFD510}"/>
    <hyperlink ref="B421" r:id="rId2260" display="https://actualicese.com/liquidador-de-indemnizacion-por-despido-sin-justa-causa-contrato-indefinido/?referer=L-excel-formato&amp;utm_medium=act_formato_excel&amp;utm_source=act_formato_excel&amp;utm_campaign=act_formato_excel&amp;utm_content=act_formato_excel_link" xr:uid="{FF4FFD86-4CEC-470C-9540-C65B33F2936D}"/>
    <hyperlink ref="B423" r:id="rId2261" display="https://actualicese.com/liquidador-automatizado-de-intereses-a-las-cesantias-y-su-comprobante-de-pago/?referer=L-excel-formato&amp;utm_medium=act_formato_excel&amp;utm_source=act_formato_excel&amp;utm_campaign=act_formato_excel&amp;utm_content=act_formato_excel_link" xr:uid="{2346A9E5-206C-41A7-9409-1F36F125B91E}"/>
    <hyperlink ref="B425" r:id="rId2262" display="https://actualicese.com/modelo-de-certificado-de-no-declarante-del-impuesto-de-renta-y-complementario/?referer=L-excel-formato&amp;utm_medium=act_formato_excel&amp;utm_source=act_formato_excel&amp;utm_campaign=act_formato_excel&amp;utm_content=act_formato_excel_link" xr:uid="{9894863E-01FC-4E1D-9AC3-C05075E5EE17}"/>
    <hyperlink ref="B399" r:id="rId2263" display="https://actualicese.com/simulador-del-impuesto-para-dividendos-y-participaciones-no-gravados-de-2017-y-siguientes-luego-de-la-ley-2277-de-2022/?referer=L-excel-formato&amp;utm_medium=act_formato_excel&amp;utm_source=act_formato_excel&amp;utm_campaign=act_formato_excel&amp;utm_content=act_formato_excel_link" xr:uid="{29B3618A-A363-4E24-A3F7-703C85CA0FF6}"/>
    <hyperlink ref="B401" r:id="rId2264" display="https://actualicese.com/simulador-del-impuesto-para-dividendos-y-participaciones-gravados-de-2017-y-siguientes-luego-de-la-ley-2277-de-2022/?referer=L-excel-formato&amp;utm_medium=act_formato_excel&amp;utm_source=act_formato_excel&amp;utm_campaign=act_formato_excel&amp;utm_content=act_formato_excel_link" xr:uid="{231587AD-B7FD-4615-A7F0-6E11B36D3FAB}"/>
    <hyperlink ref="B375" r:id="rId2265" display="https://actualicese.com/intereses-moratorios-sobre-deudas-tributarias/?referer=L-excel-formato&amp;utm_medium=act_formato_excel&amp;utm_source=act_formato_excel&amp;utm_campaign=act_formato_excel&amp;utm_content=act_formato_excel_link" xr:uid="{C4FC7AC2-7E14-4720-9591-87AC46E175A2}"/>
    <hyperlink ref="B377" r:id="rId2266" display="https://actualicese.com/liquidador-y-caso-practico-para-calcular-y-contabilizar-horas-extra-y-recargos-durante-la-reduccion-de-la-jornada-laboral-en-2024/?referer=L-excel-formato&amp;utm_medium=act_formato_excel&amp;utm_source=act_formato_excel&amp;utm_campaign=act_formato_excel&amp;utm_content=act_formato_excel_link" xr:uid="{270E437F-DD93-4620-9EF9-BF2D2B501E85}"/>
    <hyperlink ref="B379" r:id="rId2267" display="https://actualicese.com/simulador-en-excel-para-realizar-la-liquidacion-de-contratos-de-trabajo/?referer=L-excel-formato&amp;utm_medium=act_formato_excel&amp;utm_source=act_formato_excel&amp;utm_campaign=act_formato_excel&amp;utm_content=act_formato_excel_link" xr:uid="{F26BB9DB-C5B1-4254-9448-0DFE82698EDE}"/>
    <hyperlink ref="B381" r:id="rId2268" display="https://actualicese.com/cuestionario-de-excel-para-definir-si-una-persona-natural-es-residente-fiscal-en-colombia/?referer=L-excel-formato&amp;utm_medium=act_formato_excel&amp;utm_source=act_formato_excel&amp;utm_campaign=act_formato_excel&amp;utm_content=act_formato_excel_link" xr:uid="{5C571E5D-8FC5-4898-AB82-33ACD534B137}"/>
    <hyperlink ref="B383" r:id="rId2269" display="https://actualicese.com/liquidador-de-nomina-para-trabajadora-en-licencia-de-maternidad-caso-practico-en-excel/?referer=L-excel-formato&amp;utm_medium=act_formato_excel&amp;utm_source=act_formato_excel&amp;utm_campaign=act_formato_excel&amp;utm_content=act_formato_excel_link" xr:uid="{126C0561-0485-4860-B749-4009B71D2752}"/>
    <hyperlink ref="B385" r:id="rId2270" display="https://actualicese.com/liquidador-de-auxilio-de-incapacidad-aplicado-a-salario-variable-fijo-o-integral/?referer=L-excel-formato&amp;utm_medium=act_formato_excel&amp;utm_source=act_formato_excel&amp;utm_campaign=act_formato_excel&amp;utm_content=act_formato_excel_link" xr:uid="{1C65433E-7728-4342-B3F5-024F34243B53}"/>
    <hyperlink ref="B387" r:id="rId2271" display="https://actualicese.com/declaracion-de-renta-de-personas-naturales-documentos-necesarios-para-su-elaboracion/?referer=L-excel-formato&amp;utm_medium=act_formato_excel&amp;utm_source=act_formato_excel&amp;utm_campaign=act_formato_excel&amp;utm_content=act_formato_excel_link" xr:uid="{2A4382D2-BD2D-49DB-9D9D-1847A431FE97}"/>
    <hyperlink ref="B389" r:id="rId2272" display="https://actualicese.com/contrato-individual-de-obra/?referer=L-excel-formato&amp;utm_medium=act_formato_excel&amp;utm_source=act_formato_excel&amp;utm_campaign=act_formato_excel&amp;utm_content=act_formato_excel_link" xr:uid="{C669120D-61E1-472A-8405-0D8EC6DE6F59}"/>
    <hyperlink ref="B391" r:id="rId2273" display="https://actualicese.com/simulador-de-sancion-por-no-pagar-la-liquidacion-del-contrato-laboral/?referer=L-excel-formato&amp;utm_medium=act_formato_excel&amp;utm_source=act_formato_excel&amp;utm_campaign=act_formato_excel&amp;utm_content=act_formato_excel_link" xr:uid="{714C8582-BC33-4FAE-84E8-FAEDEAF32A49}"/>
    <hyperlink ref="B393" r:id="rId2274" display="https://actualicese.com/contrato-modelo-contrato-de-mandato/?referer=L-excel-formato&amp;utm_medium=act_formato_excel&amp;utm_source=act_formato_excel&amp;utm_campaign=act_formato_excel&amp;utm_content=act_formato_excel_link" xr:uid="{51CFCDC5-BFA1-4436-AB00-775E293A2E46}"/>
    <hyperlink ref="B395" r:id="rId2275" display="https://actualicese.com/liquidador-calculadora-de-monetizacion-de-la-cuota-de-aprendizaje-sena/?referer=L-excel-formato&amp;utm_medium=act_formato_excel&amp;utm_source=act_formato_excel&amp;utm_campaign=act_formato_excel&amp;utm_content=act_formato_excel_link" xr:uid="{5C67DC02-6726-4103-8216-50D05AD1D935}"/>
    <hyperlink ref="B397" r:id="rId2276" display="https://actualicese.com/liquidador-de-prestaciones-sociales-y-vacaciones-con-salario-variable/?referer=L-excel-formato&amp;utm_medium=act_formato_excel&amp;utm_source=act_formato_excel&amp;utm_campaign=act_formato_excel&amp;utm_content=act_formato_excel_link" xr:uid="{42283919-92F3-4A57-91A0-11E8263A7AA6}"/>
    <hyperlink ref="B369" r:id="rId2277" display="https://actualicese.com/modelo-para-definir-si-una-persona-natural-esta-obligada-a-declarar-renta/?referer=L-excel-formato&amp;utm_medium=act_formato_excel&amp;utm_source=act_formato_excel&amp;utm_campaign=act_formato_excel&amp;utm_content=act_formato_excel_link" xr:uid="{1535940D-AC44-4DE7-8576-44C3CB22E9FC}"/>
    <hyperlink ref="B371" r:id="rId2278" display="https://actualicese.com/modelo-de-derecho-de-peticion-para-el-pago-de-incapacidades-de-trabajadores-independientes/?referer=L-excel-formato&amp;utm_medium=act_formato_excel&amp;utm_source=act_formato_excel&amp;utm_campaign=act_formato_excel&amp;utm_content=act_formato_excel_link" xr:uid="{90C48C9F-C383-4FE2-B840-5C9C2E74ECF6}"/>
    <hyperlink ref="B373" r:id="rId2279" display="https://actualicese.com/simulador-del-beneficio-de-auditoria-para-2021-2022-y-2023-con-las-novedades-de-la-ley-de-inversion-social/?referer=L-excel-formato&amp;utm_medium=act_formato_excel&amp;utm_source=act_formato_excel&amp;utm_campaign=act_formato_excel&amp;utm_content=act_formato_excel_link" xr:uid="{783495EA-9393-4AF2-8E17-F2CAEF9BC439}"/>
    <hyperlink ref="B367" r:id="rId2280" display="https://actualicese.com/guia-caracteristicas-basicas-de-la-cedulacion-de-personas-naturales-residentes-ag-2023/?referer=L-excel-formato&amp;utm_medium=act_formato_excel&amp;utm_source=act_formato_excel&amp;utm_campaign=act_formato_excel&amp;utm_content=act_formato_excel_link" xr:uid="{9DD3EFF3-83CD-43F6-95EC-41B710C6FFE6}"/>
    <hyperlink ref="B355" r:id="rId2281" display="https://actualicese.com/liquidador-del-anticipo-del-impuesto-de-renta-2024-para-personas-juridicas-y-naturales/?referer=L-excel-formato&amp;utm_medium=act_formato_excel&amp;utm_source=act_formato_excel&amp;utm_campaign=act_formato_excel&amp;utm_content=act_formato_excel_link" xr:uid="{AEBFB8BF-D00F-4ECD-98B3-6646E2842723}"/>
    <hyperlink ref="B357" r:id="rId2282" display="https://actualicese.com/liquidador-en-excel-del-porcentaje-fijo-de-retencion-en-la-fuente-sobre-salarios-en-junio-de-2024-procedimiento-2/?referer=L-excel-formato&amp;utm_medium=act_formato_excel&amp;utm_source=act_formato_excel&amp;utm_campaign=act_formato_excel&amp;utm_content=act_formato_excel_link" xr:uid="{94386656-1CF0-439C-BB5F-365ACC450FD9}"/>
    <hyperlink ref="B359" r:id="rId2283" display="https://actualicese.com/modelo-de-llamado-de-atencion/?referer=L-excel-formato&amp;utm_medium=act_formato_excel&amp;utm_source=act_formato_excel&amp;utm_campaign=act_formato_excel&amp;utm_content=act_formato_excel_link" xr:uid="{2215D47A-29A2-4EC6-B2F4-366D942A0B28}"/>
    <hyperlink ref="B361" r:id="rId2284" display="https://actualicese.com/derecho-de-peticion-para-solicitar-certificado-laboral/?referer=L-excel-formato&amp;utm_medium=act_formato_excel&amp;utm_source=act_formato_excel&amp;utm_campaign=act_formato_excel&amp;utm_content=act_formato_excel_link" xr:uid="{14E872E3-54BE-479E-BE20-66920D13A886}"/>
    <hyperlink ref="B363" r:id="rId2285" display="https://actualicese.com/carta-otorgando-poder/?referer=L-excel-formato&amp;utm_medium=act_formato_excel&amp;utm_source=act_formato_excel&amp;utm_campaign=act_formato_excel&amp;utm_content=act_formato_excel_link" xr:uid="{FA202F74-98EF-46C1-8D27-8BFD9E27632A}"/>
    <hyperlink ref="B365" r:id="rId2286" display="https://actualicese.com/liquidador-automatizado-de-la-prima-de-servicios-con-comprobante-de-pago/?referer=L-excel-formato&amp;utm_medium=act_formato_excel&amp;utm_source=act_formato_excel&amp;utm_campaign=act_formato_excel&amp;utm_content=act_formato_excel_link" xr:uid="{77BFC6C8-8F3A-454D-8B64-9E42557D7876}"/>
    <hyperlink ref="B345" r:id="rId2287" display="https://actualicese.com/modelo-de-carta-para-solicitar-a-la-empresa-de-servicios-publicos-la-suspension-del-contrato-de-telefonia-e-internet/?referer=L-excel-formato&amp;utm_medium=act_formato_excel&amp;utm_source=act_formato_excel&amp;utm_campaign=act_formato_excel&amp;utm_content=act_formato_excel_link" xr:uid="{F7AAC2F7-1ADE-4B0E-A07C-C84FCFBBCC28}"/>
    <hyperlink ref="B347" r:id="rId2288" display="https://actualicese.com/solicitud-pago-de-acreencias-laborales/?referer=L-excel-formato&amp;utm_medium=act_formato_excel&amp;utm_source=act_formato_excel&amp;utm_campaign=act_formato_excel&amp;utm_content=act_formato_excel_link" xr:uid="{9000263D-3FE7-4A62-8487-AD8F910864D5}"/>
    <hyperlink ref="B349" r:id="rId2289" display="https://actualicese.com/liquidador-del-componente-inflacionario-de-los-rendimientos-o-costos-financieros/?referer=L-excel-formato&amp;utm_medium=act_formato_excel&amp;utm_source=act_formato_excel&amp;utm_campaign=act_formato_excel&amp;utm_content=act_formato_excel_link" xr:uid="{7CDFD95A-0CAA-4569-A828-C06F29D2F4F6}"/>
    <hyperlink ref="B351" r:id="rId2290" display="https://actualicese.com/ejercicios-sobre-la-determinacion-de-la-renta-liquida-de-trabajo-cuando-hay-rentas-laborales-y-honorarios/?referer=L-excel-formato&amp;utm_medium=act_formato_excel&amp;utm_source=act_formato_excel&amp;utm_campaign=act_formato_excel&amp;utm_content=act_formato_excel_link" xr:uid="{6ECB4EBA-DF34-4129-9B1A-0751D1B7B83E}"/>
    <hyperlink ref="B353" r:id="rId2291" display="https://actualicese.com/liquidador-del-anticipo-del-impuesto-de-renta-2024-para-personas-juridicas-y-naturales/?referer=L-excel-formato&amp;utm_medium=act_formato_excel&amp;utm_source=act_formato_excel&amp;utm_campaign=act_formato_excel&amp;utm_content=act_formato_excel_link" xr:uid="{FED0A005-33E5-45BC-9314-B5CD5A219986}"/>
    <hyperlink ref="B325" r:id="rId2292" display="https://actualicese.com/liquidador-excel-del-formulario-110-y-formato-2516-para-la-declaracion-de-renta-de-personas-naturales-no-residentes-que-llevan-contabilidad-ag-2023/?referer=L-excel-formato&amp;utm_medium=act_formato_excel&amp;utm_source=act_formato_excel&amp;utm_campaign=act_formato_excel&amp;utm_content=act_formato_excel_link" xr:uid="{990703C3-459D-4378-8977-F933E5C5B37D}"/>
    <hyperlink ref="B327" r:id="rId2293" display="https://actualicese.com/evolucion-normativa-cuadro-tematico-con-las-normas-afectadas-por-la-ley-2277-de-2022-concepto-unificado-dian-087-de-2024/?referer=L-excel-formato&amp;utm_medium=act_formato_excel&amp;utm_source=act_formato_excel&amp;utm_campaign=act_formato_excel&amp;utm_content=act_formato_excel_link" xr:uid="{7E430D4F-D6A7-4603-8D17-E56E48C6C08C}"/>
    <hyperlink ref="B329" r:id="rId2294" display="https://actualicese.com/liquidador-de-aportes-a-seguridad-social-durante-la-licencia-de-maternidad/?referer=L-excel-formato&amp;utm_medium=act_formato_excel&amp;utm_source=act_formato_excel&amp;utm_campaign=act_formato_excel&amp;utm_content=act_formato_excel_link" xr:uid="{8F2A8090-DBA0-4420-8460-2DF1F3AC8B22}"/>
    <hyperlink ref="B331" r:id="rId2295" display="https://actualicese.com/modelo-de-solicitud-de-permiso-para-autorizar-el-trabajo-en-horas-extra/?referer=L-excel-formato&amp;utm_medium=act_formato_excel&amp;utm_source=act_formato_excel&amp;utm_campaign=act_formato_excel&amp;utm_content=act_formato_excel_link" xr:uid="{D8BC1603-1E83-462E-AE86-11F25222C43A}"/>
    <hyperlink ref="B333" r:id="rId2296" display="https://actualicese.com/caso-practico-sobre-liquidacion-de-sucesion-iliquida-e-impuesto-de-ganancia-ocasional/?referer=L-excel-formato&amp;utm_medium=act_formato_excel&amp;utm_source=act_formato_excel&amp;utm_campaign=act_formato_excel&amp;utm_content=act_formato_excel_link" xr:uid="{FACF6E20-846E-490B-96C8-B85BB7E1D0E7}"/>
    <hyperlink ref="B335" r:id="rId2297" display="https://actualicese.com/comparativo-de-las-normas-afectadas-por-la-reforma-tributaria-ley-2277-de-2022/?referer=L-excel-formato&amp;utm_medium=act_formato_excel&amp;utm_source=act_formato_excel&amp;utm_campaign=act_formato_excel&amp;utm_content=act_formato_excel_link" xr:uid="{F72794B2-D10A-442C-B009-3C9F16A6F0C4}"/>
    <hyperlink ref="B337" r:id="rId2298" display="https://actualicese.com/intereses-moratorios-sobre-deudas-tributarias/?referer=L-excel-formato&amp;utm_medium=act_formato_excel&amp;utm_source=act_formato_excel&amp;utm_campaign=act_formato_excel&amp;utm_content=act_formato_excel_link" xr:uid="{C24BBCE6-C082-492E-A77E-64FD71D6695A}"/>
    <hyperlink ref="B339" r:id="rId2299" display="https://actualicese.com/liquidador-excel-del-formulario-110-para-la-declaracion-de-renta-de-personas-naturales-no-residentes-que-no-llevan-contabilidad-ag-2023/?referer=L-excel-formato&amp;utm_medium=act_formato_excel&amp;utm_source=act_formato_excel&amp;utm_campaign=act_formato_excel&amp;utm_content=act_formato_excel_link" xr:uid="{12659E72-A8CB-4670-B417-A350403669EB}"/>
    <hyperlink ref="B341" r:id="rId2300" display="https://actualicese.com/modelos-y-formatos-acuerdo-de-confidencialidad/?referer=L-excel-formato&amp;utm_medium=act_formato_excel&amp;utm_source=act_formato_excel&amp;utm_campaign=act_formato_excel&amp;utm_content=act_formato_excel_link" xr:uid="{AC36936F-0D5C-485A-AD62-8467F6DADA81}"/>
    <hyperlink ref="B343" r:id="rId2301" display="https://actualicese.com/revocatoria-de-poder-otorgado-a-un-abogado/?referer=L-excel-formato&amp;utm_medium=act_formato_excel&amp;utm_source=act_formato_excel&amp;utm_campaign=act_formato_excel&amp;utm_content=act_formato_excel_link" xr:uid="{859942DA-CBE1-47BA-BB4D-6E7A9901D3E3}"/>
    <hyperlink ref="B317" r:id="rId2302" display="https://actualicese.com/carta-de-renuncia/?referer=L-excel-formato&amp;utm_medium=act_formato_excel&amp;utm_source=act_formato_excel&amp;utm_campaign=act_formato_excel&amp;utm_content=act_formato_excel_link" xr:uid="{05C406FA-DF3F-4B04-B9C3-2A3E9C14BCDC}"/>
    <hyperlink ref="B319" r:id="rId2303" display="https://actualicese.com/modelo-aceptacion-de-renuncia/?referer=L-excel-formato&amp;utm_medium=act_formato_excel&amp;utm_source=act_formato_excel&amp;utm_campaign=act_formato_excel&amp;utm_content=act_formato_excel_link" xr:uid="{4BDBE8B4-43AE-4C4D-AC59-12C14DCF09C7}"/>
    <hyperlink ref="B321" r:id="rId2304" display="https://actualicese.com/modelo-de-memorial-para-solicitarle-al-juez-librar-medida-cautelar/?referer=L-excel-formato&amp;utm_medium=act_formato_excel&amp;utm_source=act_formato_excel&amp;utm_campaign=act_formato_excel&amp;utm_content=act_formato_excel_link" xr:uid="{31B7A60B-C543-4013-8681-EA2A26C0911E}"/>
    <hyperlink ref="B323" r:id="rId2305" display="https://actualicese.com/simulador-de-los-efectos-del-rechazo-de-costos-y-gastos-en-efectivo-a-partir-de-2018/?referer=L-excel-formato&amp;utm_medium=act_formato_excel&amp;utm_source=act_formato_excel&amp;utm_campaign=act_formato_excel&amp;utm_content=act_formato_excel_link" xr:uid="{732493C9-A283-4440-9799-C96082D5CCF3}"/>
    <hyperlink ref="B307" r:id="rId2306" display="https://actualicese.com/caso-practico-de-contabilizacion-de-devoluciones-en-ventas/?referer=L-excel-formato&amp;utm_medium=act_formato_excel&amp;utm_source=act_formato_excel&amp;utm_campaign=act_formato_excel&amp;utm_content=act_formato_excel_link" xr:uid="{0C5300BF-F53B-4A30-A10D-385C8BFDFA1F}"/>
    <hyperlink ref="B309" r:id="rId2307" display="https://actualicese.com/valor-patrimonial-de-acciones-y-aportes-en-la-declaracion-de-renta-de-personas-naturales-por-el-ag-2023/?referer=L-excel-formato&amp;utm_medium=act_formato_excel&amp;utm_source=act_formato_excel&amp;utm_campaign=act_formato_excel&amp;utm_content=act_formato_excel_link" xr:uid="{5E085E06-A8A0-4EC5-9C2B-039F05A10D05}"/>
    <hyperlink ref="B311" r:id="rId2308" display="https://actualicese.com/arqueo-caja-menor/?referer=L-excel-formato&amp;utm_medium=act_formato_excel&amp;utm_source=act_formato_excel&amp;utm_campaign=act_formato_excel&amp;utm_content=act_formato_excel_link" xr:uid="{875761BA-EB7A-4193-8D6A-CF9FA91E438B}"/>
    <hyperlink ref="B313" r:id="rId2309" display="https://actualicese.com/acta-de-diligencia-de-descargos/?referer=L-excel-formato&amp;utm_medium=act_formato_excel&amp;utm_source=act_formato_excel&amp;utm_campaign=act_formato_excel&amp;utm_content=act_formato_excel_link" xr:uid="{A10CA211-3F17-4DCD-9DC9-91BF02F915E8}"/>
    <hyperlink ref="B315" r:id="rId2310" display="https://actualicese.com/formato-en-excel-para-la-toma-de-inventario-fisico-con-macros/?referer=L-excel-formato&amp;utm_medium=act_formato_excel&amp;utm_source=act_formato_excel&amp;utm_campaign=act_formato_excel&amp;utm_content=act_formato_excel_link" xr:uid="{4D1787FC-6AA2-462D-8D07-D5913D585DB6}"/>
    <hyperlink ref="B299" r:id="rId2311" display="https://actualicese.com/plantilla-para-el-control-y-auditoria-del-gasto-de-servicios-publicos/?referer=L-excel-formato&amp;utm_medium=act_formato_excel&amp;utm_source=act_formato_excel&amp;utm_campaign=act_formato_excel&amp;utm_content=act_formato_excel_link" xr:uid="{5119A67A-9447-49A7-A132-8B3C95FFB961}"/>
    <hyperlink ref="B301" r:id="rId2312" display="https://actualicese.com/casos-practicos-sobre-aiu-calculo-del-iva-y-retencion-en-la-fuente-en-esta-figura/?referer=L-excel-formato&amp;utm_medium=act_formato_excel&amp;utm_source=act_formato_excel&amp;utm_campaign=act_formato_excel&amp;utm_content=act_formato_excel_link" xr:uid="{4EBABCFF-C9AE-43BC-B4CD-FFE03D226E44}"/>
    <hyperlink ref="B303" r:id="rId2313" display="https://actualicese.com/caso-practico-de-contabilizacion-de-un-prestamo-bancario-en-pymes-y-microempresas/?referer=L-excel-formato&amp;utm_medium=act_formato_excel&amp;utm_source=act_formato_excel&amp;utm_campaign=act_formato_excel&amp;utm_content=act_formato_excel_link" xr:uid="{1782949F-4F33-44F8-94EF-41E2A5ED8072}"/>
    <hyperlink ref="B305" r:id="rId2314" display="https://actualicese.com/caso-practico-de-declaracion-de-renta-a-partir-de-informacion-reportada-por-terceros/?referer=L-excel-formato&amp;utm_medium=act_formato_excel&amp;utm_source=act_formato_excel&amp;utm_campaign=act_formato_excel&amp;utm_content=act_formato_excel_link" xr:uid="{A2E9B7E2-3D73-4485-8CB7-BEAF0BFDF643}"/>
    <hyperlink ref="B271" r:id="rId2315" display="https://actualicese.com/pagare-y-carta-de-instruccion/?referer=L-excel-formato&amp;utm_medium=act_formato_excel&amp;utm_source=act_formato_excel&amp;utm_campaign=act_formato_excel&amp;utm_content=act_formato_excel_link" xr:uid="{49E6F67F-BD79-4407-B32D-B75C1D2CEB73}"/>
    <hyperlink ref="B273" r:id="rId2316" display="https://actualicese.com/comparativo-de-normas-de-la-resolucion-000165-de-2023-sobre-facturacion-electronica-modificadas-con-la-resolucion-000119-de-2024/?referer=L-excel-formato&amp;utm_medium=act_formato_excel&amp;utm_source=act_formato_excel&amp;utm_campaign=act_formato_excel&amp;utm_content=act_formato_excel_link" xr:uid="{FD532261-56BC-49FF-B2E0-15F79811A00C}"/>
    <hyperlink ref="B275" r:id="rId2317" display="https://actualicese.com/formato-de-arqueo-de-caja-general/?referer=L-excel-formato&amp;utm_medium=act_formato_excel&amp;utm_source=act_formato_excel&amp;utm_campaign=act_formato_excel&amp;utm_content=act_formato_excel_link" xr:uid="{5C380963-1E0C-444D-8325-9EB442AFEF1C}"/>
    <hyperlink ref="B277" r:id="rId2318" display="https://actualicese.com/convenio-de-pago-o-acuerdo-de-pago/?referer=L-excel-formato&amp;utm_medium=act_formato_excel&amp;utm_source=act_formato_excel&amp;utm_campaign=act_formato_excel&amp;utm_content=act_formato_excel_link" xr:uid="{94D5F54A-054F-4332-84FD-FD950BA1EDDA}"/>
    <hyperlink ref="B279" r:id="rId2319" display="https://actualicese.com/calculo-del-limite-de-subcapitalizacion-casos-practicos-en-excel/?referer=L-excel-formato&amp;utm_medium=act_formato_excel&amp;utm_source=act_formato_excel&amp;utm_campaign=act_formato_excel&amp;utm_content=act_formato_excel_link" xr:uid="{A4DB2715-9484-4564-AF43-78FF6A520D10}"/>
    <hyperlink ref="B281" r:id="rId2320" display="https://actualicese.com/modelo-de-citacion-a-descargos/?referer=L-excel-formato&amp;utm_medium=act_formato_excel&amp;utm_source=act_formato_excel&amp;utm_campaign=act_formato_excel&amp;utm_content=act_formato_excel_link" xr:uid="{59CE300F-1A76-4073-8A68-F4E66227EEA5}"/>
    <hyperlink ref="B283" r:id="rId2321" display="https://actualicese.com/respuesta-a-solicitud-de-un-servicio/?referer=L-excel-formato&amp;utm_medium=act_formato_excel&amp;utm_source=act_formato_excel&amp;utm_campaign=act_formato_excel&amp;utm_content=act_formato_excel_link" xr:uid="{F771AF4B-754B-4910-AE3F-88D97C88A020}"/>
    <hyperlink ref="B285" r:id="rId2322" display="https://actualicese.com/liquidador-de-auxilio-de-incapacidad-valores-asumidos-por-el-empleador-la-eps-o-la-arl/?referer=L-excel-formato&amp;utm_medium=act_formato_excel&amp;utm_source=act_formato_excel&amp;utm_campaign=act_formato_excel&amp;utm_content=act_formato_excel_link" xr:uid="{562F12C5-5450-4808-9EC0-9DAB41478982}"/>
    <hyperlink ref="B287" r:id="rId2323" display="https://actualicese.com/formato-de-control-de-clientes-de-declaracion-de-renta-de-persona-natural/?referer=L-excel-formato&amp;utm_medium=act_formato_excel&amp;utm_source=act_formato_excel&amp;utm_campaign=act_formato_excel&amp;utm_content=act_formato_excel_link" xr:uid="{1E333B97-57F1-44E1-B7BC-84B8D4F904AC}"/>
    <hyperlink ref="B289" r:id="rId2324" display="https://actualicese.com/liquidador-en-excel-sobre-efectos-fiscales-de-escriturar-bienes-inmuebles-por-debajo-del-valor-comercial/?referer=L-excel-formato&amp;utm_medium=act_formato_excel&amp;utm_source=act_formato_excel&amp;utm_campaign=act_formato_excel&amp;utm_content=act_formato_excel_link" xr:uid="{78BE1F92-641A-4B0F-A029-9D2BB315457E}"/>
    <hyperlink ref="B291" r:id="rId2325" display="https://actualicese.com/intereses-moratorios-sobre-deudas-tributarias/?referer=L-excel-formato&amp;utm_medium=act_formato_excel&amp;utm_source=act_formato_excel&amp;utm_campaign=act_formato_excel&amp;utm_content=act_formato_excel_link" xr:uid="{F2A2FAD0-F266-4F62-86E2-492E808E8ED6}"/>
    <hyperlink ref="B293" r:id="rId2326" display="https://actualicese.com/liquidador-excel-del-formulario-210-y-formato-2517-para-la-declaracion-de-renta-de-personas-naturales-residentes-que-llevan-contabilidad-ag-2023/?referer=L-excel-formato&amp;utm_medium=act_formato_excel&amp;utm_source=act_formato_excel&amp;utm_campaign=act_formato_excel&amp;utm_content=act_formato_excel_link" xr:uid="{BE79050F-6CD1-4F95-B12D-FD53E27E4FDB}"/>
    <hyperlink ref="B295" r:id="rId2327" display="https://actualicese.com/pack-de-formatos-top-15-de-los-mejores-liquidadores-para-elaborar-tus-declaraciones-de-renta-de-personas-naturales-ag-2023/?referer=L-excel-formato&amp;utm_medium=act_formato_excel&amp;utm_source=act_formato_excel&amp;utm_campaign=act_formato_excel&amp;utm_content=act_formato_excel_link" xr:uid="{09A88A31-20D9-435C-85F5-EB8CA5A3EBE9}"/>
    <hyperlink ref="B297" r:id="rId2328" display="https://actualicese.com/liquidador-excel-del-formulario-210-para-la-declaracion-de-renta-de-personas-naturales-residentes-que-no-llevan-contabilidad-ag-2023/?referer=L-excel-formato&amp;utm_medium=act_formato_excel&amp;utm_source=act_formato_excel&amp;utm_campaign=act_formato_excel&amp;utm_content=act_formato_excel_link" xr:uid="{C019C1EC-35D9-4B6E-AEB3-ED5AC610B3D9}"/>
    <hyperlink ref="B261" r:id="rId2329" display="https://actualicese.com/ejercicio-para-la-distribucion-de-las-rentas-exentas-y-deducciones-imputables-limitadas-en-las-personas-naturales-residentes-resolucion-000120-de-2024/?referer=L-excel-formato&amp;utm_medium=act_formato_excel&amp;utm_source=act_formato_excel&amp;utm_campaign=act_formato_excel&amp;utm_content=act_formato_excel_link" xr:uid="{9778E468-F10B-4B05-BCB0-91BFDC3A557D}"/>
    <hyperlink ref="B263" r:id="rId2330" display="https://actualicese.com/finalizacion-del-contrato-por-parte-del-arrendador-por-vencimiento-de-este/?referer=L-excel-formato&amp;utm_medium=act_formato_excel&amp;utm_source=act_formato_excel&amp;utm_campaign=act_formato_excel&amp;utm_content=act_formato_excel_link" xr:uid="{35DD7085-A95C-4EE1-825B-EF1D3F261053}"/>
    <hyperlink ref="B265" r:id="rId2331" display="https://actualicese.com/modelo-certificacion-de-disminucion-de-inventarios-por-obsolescencia/?referer=L-excel-formato&amp;utm_medium=act_formato_excel&amp;utm_source=act_formato_excel&amp;utm_campaign=act_formato_excel&amp;utm_content=act_formato_excel_link" xr:uid="{80611A3D-A63A-48C9-99E4-3EA0DE2B242A}"/>
    <hyperlink ref="B267" r:id="rId2332" display="https://actualicese.com/notificacion-de-sancion-disciplinaria/?referer=L-excel-formato&amp;utm_medium=act_formato_excel&amp;utm_source=act_formato_excel&amp;utm_campaign=act_formato_excel&amp;utm_content=act_formato_excel_link" xr:uid="{322E29CA-0B96-4709-93CC-080B24185816}"/>
    <hyperlink ref="B269" r:id="rId2333" display="https://actualicese.com/simulador-para-comparar-creditos-bancarios-con-tabla-de-amortizacion/?referer=L-excel-formato&amp;utm_medium=act_formato_excel&amp;utm_source=act_formato_excel&amp;utm_campaign=act_formato_excel&amp;utm_content=act_formato_excel_link" xr:uid="{CFED312C-1DA2-46F8-B0C4-552F6FC5079F}"/>
    <hyperlink ref="B253" r:id="rId2334" display="https://actualicese.com/modelo-en-excel-calculo-de-intereses-presuntivos-en-2024-sobre-prestamos-entre-socios-y-sociedades/?referer=L-excel-formato&amp;utm_medium=act_formato_excel&amp;utm_source=act_formato_excel&amp;utm_campaign=act_formato_excel&amp;utm_content=act_formato_excel_link" xr:uid="{56D4E31D-1090-4B9B-87C9-C8160403A7E6}"/>
    <hyperlink ref="B255" r:id="rId2335" display="https://actualicese.com/casos-practicos-de-contabilizacion-de-ingresos-en-pymes-bajo-estandares-internacionales/?referer=L-excel-formato&amp;utm_medium=act_formato_excel&amp;utm_source=act_formato_excel&amp;utm_campaign=act_formato_excel&amp;utm_content=act_formato_excel_link" xr:uid="{2395CC2A-518F-4567-ADE5-8FD5D8A02158}"/>
    <hyperlink ref="B257" r:id="rId2336" display="https://actualicese.com/formato-de-flujo-de-caja-real-y-presupuestado/?referer=L-excel-formato&amp;utm_medium=act_formato_excel&amp;utm_source=act_formato_excel&amp;utm_campaign=act_formato_excel&amp;utm_content=act_formato_excel_link" xr:uid="{003F2B8E-30D5-4372-ABC4-47AB1670F235}"/>
    <hyperlink ref="B259" r:id="rId2337" display="https://actualicese.com/casos-practicos-de-contabilizacion-de-arrendamientos-financiero-y-operativo/?referer=L-excel-formato&amp;utm_medium=act_formato_excel&amp;utm_source=act_formato_excel&amp;utm_campaign=act_formato_excel&amp;utm_content=act_formato_excel_link" xr:uid="{483650DA-48D3-4782-A0B4-832B19E6BDBC}"/>
    <hyperlink ref="B251" r:id="rId2338" display="https://actualicese.com/intereses-moratorios-sobre-deudas-tributarias/?referer=L-excel-formato&amp;utm_medium=act_formato_excel&amp;utm_source=act_formato_excel&amp;utm_campaign=act_formato_excel&amp;utm_content=act_formato_excel_link" xr:uid="{CE91D48E-9D9A-4210-AAC7-356997A9956F}"/>
    <hyperlink ref="B239" r:id="rId2339" display="https://actualicese.com/liquidador-en-excel-para-calcular-la-contribucion-2024-a-supersociedades/?referer=L-excel-formato&amp;utm_medium=act_formato_excel&amp;utm_source=act_formato_excel&amp;utm_campaign=act_formato_excel&amp;utm_content=act_formato_excel_link" xr:uid="{11BA4E6F-DF4D-47C6-82BD-7F16CE91C6FB}"/>
    <hyperlink ref="B241" r:id="rId2340" display="https://actualicese.com/contrato-de-outsourcing/?referer=L-excel-formato&amp;utm_medium=act_formato_excel&amp;utm_source=act_formato_excel&amp;utm_campaign=act_formato_excel&amp;utm_content=act_formato_excel_link" xr:uid="{FE3E5B3A-737A-4C33-8549-49C0FDFC0455}"/>
    <hyperlink ref="B243" r:id="rId2341" display="https://actualicese.com/sanciones-relacionadas-con-la-declaracion-informativa/?referer=L-excel-formato&amp;utm_medium=act_formato_excel&amp;utm_source=act_formato_excel&amp;utm_campaign=act_formato_excel&amp;utm_content=act_formato_excel_link" xr:uid="{BDCCD699-CBC9-4004-95CB-531BC7E6762E}"/>
    <hyperlink ref="B245" r:id="rId2342" display="https://actualicese.com/liquidador-caso-practico-en-excel-contabilizacion-de-ajustes-por-conciliacion-bancaria/?referer=L-excel-formato&amp;utm_medium=act_formato_excel&amp;utm_source=act_formato_excel&amp;utm_campaign=act_formato_excel&amp;utm_content=act_formato_excel_link" xr:uid="{F5D97DD5-8CF1-48A6-BC90-8F90164A9D67}"/>
    <hyperlink ref="B247" r:id="rId2343" display="https://actualicese.com/caso-practico-en-excel-contabilizacion-de-sobrantes-y-faltantes-de-caja/?referer=L-excel-formato&amp;utm_medium=act_formato_excel&amp;utm_source=act_formato_excel&amp;utm_campaign=act_formato_excel&amp;utm_content=act_formato_excel_link" xr:uid="{40D804B8-006F-4114-B62A-AC6C9CC95F20}"/>
    <hyperlink ref="B249" r:id="rId2344" display="https://actualicese.com/formato-de-circularizacion-de-proveedores-automatizado/?referer=L-excel-formato&amp;utm_medium=act_formato_excel&amp;utm_source=act_formato_excel&amp;utm_campaign=act_formato_excel&amp;utm_content=act_formato_excel_link" xr:uid="{5EC06228-1F20-4650-84C4-B0CA9DA4CA63}"/>
    <hyperlink ref="B231" r:id="rId2345" display="https://actualicese.com/contrato-de-arrendamiento-de-local-comercial/?referer=L-excel-formato&amp;utm_medium=act_formato_excel&amp;utm_source=act_formato_excel&amp;utm_campaign=act_formato_excel&amp;utm_content=act_formato_excel_link" xr:uid="{22C3DD36-4550-43AA-A40B-D5DC369A66BA}"/>
    <hyperlink ref="B233" r:id="rId2346" display="https://actualicese.com/clasificacion-de-arrendamientos-segun-la-seccion-20-del-estandar-para-pymes-casos-practicos-en-excel/?referer=L-excel-formato&amp;utm_medium=act_formato_excel&amp;utm_source=act_formato_excel&amp;utm_campaign=act_formato_excel&amp;utm_content=act_formato_excel_link" xr:uid="{4FE8CDBC-3372-491E-9881-B960BE608F35}"/>
    <hyperlink ref="B235" r:id="rId2347" display="https://actualicese.com/formato-de-circularizacion-de-clientes-automatizado/?referer=L-excel-formato&amp;utm_medium=act_formato_excel&amp;utm_source=act_formato_excel&amp;utm_campaign=act_formato_excel&amp;utm_content=act_formato_excel_link" xr:uid="{54A7362F-3F54-435A-82EA-AA25382FCB6F}"/>
    <hyperlink ref="B237" r:id="rId2348" display="https://actualicese.com/liquidador-modelos-de-conciliacion-bancaria-individual-y-conjunta-en-excel/?referer=L-excel-formato&amp;utm_medium=act_formato_excel&amp;utm_source=act_formato_excel&amp;utm_campaign=act_formato_excel&amp;utm_content=act_formato_excel_link" xr:uid="{BEEC2BA1-83EA-496A-90DC-33C124565CF0}"/>
    <hyperlink ref="B221" r:id="rId2349" display="https://actualicese.com/liquidador-de-politica-de-recaudo-a-clientes-y-plantilla-de-control-de-cuentas-por-cobrar/?referer=L-excel-formato&amp;utm_medium=act_formato_excel&amp;utm_source=act_formato_excel&amp;utm_campaign=act_formato_excel&amp;utm_content=act_formato_excel_link" xr:uid="{3AABD0CE-6ED9-428C-ACCC-A0C2D2B1558C}"/>
    <hyperlink ref="B223" r:id="rId2350" display="https://actualicese.com/lista-de-chequeo-principales-actividades-en-el-cierre-mensual-de-una-pyme/?referer=L-excel-formato&amp;utm_medium=act_formato_excel&amp;utm_source=act_formato_excel&amp;utm_campaign=act_formato_excel&amp;utm_content=act_formato_excel_link" xr:uid="{A6E3010A-3D5C-42BF-BAC7-28CB26E3096D}"/>
    <hyperlink ref="B225" r:id="rId2351" display="https://actualicese.com/papeles-de-trabajo-del-auditor-cuestionarios-de-control-interno-para-pymes/?referer=L-excel-formato&amp;utm_medium=act_formato_excel&amp;utm_source=act_formato_excel&amp;utm_campaign=act_formato_excel&amp;utm_content=act_formato_excel_link" xr:uid="{701C9AB5-2937-4579-8076-9ED2B0B99EB0}"/>
    <hyperlink ref="B227" r:id="rId2352" display="https://actualicese.com/politica-de-pago-a-proveedores-y-plantilla-de-control-de-cuentas-por-pagar/?referer=L-excel-formato&amp;utm_medium=act_formato_excel&amp;utm_source=act_formato_excel&amp;utm_campaign=act_formato_excel&amp;utm_content=act_formato_excel_link" xr:uid="{DFE15F01-F7DB-46BD-A90C-A0BA5691D1A6}"/>
    <hyperlink ref="B229" r:id="rId2353" display="https://actualicese.com/estado-de-flujos-de-efectivo-por-el-metodo-directo-ejercicio-practico-y-plantilla-en-excel/?referer=L-excel-formato&amp;utm_medium=act_formato_excel&amp;utm_source=act_formato_excel&amp;utm_campaign=act_formato_excel&amp;utm_content=act_formato_excel_link" xr:uid="{2272BA0D-132A-4D40-BA72-A3FCC4F23724}"/>
    <hyperlink ref="B211" r:id="rId2354" display="https://actualicese.com/guia-beneficios-tributarios-en-el-impuesto-de-renta-ag-2024/?referer=L-excel-formato&amp;utm_medium=act_formato_excel&amp;utm_source=act_formato_excel&amp;utm_campaign=act_formato_excel&amp;utm_content=act_formato_excel_link" xr:uid="{C0B1CD87-1257-4FAD-B396-31E407686C2D}"/>
    <hyperlink ref="B213" r:id="rId2355" display="https://actualicese.com/hoja-de-costos-en-excel/?referer=L-excel-formato&amp;utm_medium=act_formato_excel&amp;utm_source=act_formato_excel&amp;utm_campaign=act_formato_excel&amp;utm_content=act_formato_excel_link" xr:uid="{6219FABB-3DE6-46CC-B4FF-E7E283A779E7}"/>
    <hyperlink ref="B215" r:id="rId2356" display="https://actualicese.com/estado-de-flujos-de-efectivo-por-el-metodo-indirecto-ejercicio-practico-y-plantilla-en-excel/?referer=L-excel-formato&amp;utm_medium=act_formato_excel&amp;utm_source=act_formato_excel&amp;utm_campaign=act_formato_excel&amp;utm_content=act_formato_excel_link" xr:uid="{381985BA-DEA5-447A-8789-17609F4DDD96}"/>
    <hyperlink ref="B217" r:id="rId2357" display="https://actualicese.com/casos-practicos-en-excel-de-contabilizacion-de-contratos-de-prestacion-de-servicios-independientes/?referer=L-excel-formato&amp;utm_medium=act_formato_excel&amp;utm_source=act_formato_excel&amp;utm_campaign=act_formato_excel&amp;utm_content=act_formato_excel_link" xr:uid="{FA4A1327-0543-47FD-8AF3-3BB37AEE22E7}"/>
    <hyperlink ref="B219" r:id="rId2358" display="https://actualicese.com/casos-practicos-de-contabilizacion-de-compras-e-impuestos-asumidos/?referer=L-excel-formato&amp;utm_medium=act_formato_excel&amp;utm_source=act_formato_excel&amp;utm_campaign=act_formato_excel&amp;utm_content=act_formato_excel_link" xr:uid="{3455558F-06AD-49CD-8D52-3A6F358DF96F}"/>
    <hyperlink ref="B199" r:id="rId2359" display="https://actualicese.com/matriz-tipos-de-sociedades-en-colombia/?referer=L-excel-formato&amp;utm_medium=act_formato_excel&amp;utm_source=act_formato_excel&amp;utm_campaign=act_formato_excel&amp;utm_content=act_formato_excel_link" xr:uid="{51EEEE00-37D8-4119-A342-88D763DD6981}"/>
    <hyperlink ref="B201" r:id="rId2360" display="https://actualicese.com/liquidador-de-aportes-a-seguridad-social-de-independientes-bajo-el-esquema-de-presuncion-de-costos-resolucion-ugpp-532-de-2024/?referer=L-excel-formato&amp;utm_medium=act_formato_excel&amp;utm_source=act_formato_excel&amp;utm_campaign=act_formato_excel&amp;utm_content=act_formato_excel_link" xr:uid="{9E686FAE-FBF4-4C34-B4C2-BAB1F84ED518}"/>
    <hyperlink ref="B203" r:id="rId2361" display="https://actualicese.com/ejercicios-sobre-metodos-de-depreciacion-linea-recta-decreciente-unidades-de-produccion-y-mas/?referer=L-excel-formato&amp;utm_medium=act_formato_excel&amp;utm_source=act_formato_excel&amp;utm_campaign=act_formato_excel&amp;utm_content=act_formato_excel_link" xr:uid="{1626F814-C467-4FCD-BCFA-7E0641BA0B1A}"/>
    <hyperlink ref="B205" r:id="rId2362" display="https://actualicese.com/modelo-calculo-intereses-de-mora-y-su-iva-en-cuentas-por-cobrar-vencidas/?referer=L-excel-formato&amp;utm_medium=act_formato_excel&amp;utm_source=act_formato_excel&amp;utm_campaign=act_formato_excel&amp;utm_content=act_formato_excel_link" xr:uid="{9808847C-93BC-44B4-AEF8-C7819EAFBA78}"/>
    <hyperlink ref="B207" r:id="rId2363" display="https://actualicese.com/modelo-para-el-incremento-anual-del-arrendamiento-comercial/?referer=L-excel-formato&amp;utm_medium=act_formato_excel&amp;utm_source=act_formato_excel&amp;utm_campaign=act_formato_excel&amp;utm_content=act_formato_excel_link" xr:uid="{287A8363-301E-4570-A4F6-8A428E965A2C}"/>
    <hyperlink ref="B209" r:id="rId2364" display="https://actualicese.com/intereses-moratorios-sobre-deudas-tributarias/?referer=L-excel-formato&amp;utm_medium=act_formato_excel&amp;utm_source=act_formato_excel&amp;utm_campaign=act_formato_excel&amp;utm_content=act_formato_excel_link" xr:uid="{5FB8DBF4-924D-4A7E-B44B-D3A168A0B21B}"/>
    <hyperlink ref="B185" r:id="rId2365" display="https://actualicese.com/lista-de-chequeo-para-la-evaluacion-de-las-4-fases-de-la-planeacion-tributaria-del-impuesto-de-renta/?referer=L-excel-formato&amp;utm_medium=act_formato_excel&amp;utm_source=act_formato_excel&amp;utm_campaign=act_formato_excel&amp;utm_content=act_formato_excel_link" xr:uid="{50DE2CBA-4AE6-4BE0-8EED-A60994724036}"/>
    <hyperlink ref="B187" r:id="rId2366" display="https://actualicese.com/contabilizacion-de-depreciacion-bajo-estandares-internacionales-casos-practicos-en-excel/?referer=L-excel-formato&amp;utm_medium=act_formato_excel&amp;utm_source=act_formato_excel&amp;utm_campaign=act_formato_excel&amp;utm_content=act_formato_excel_link" xr:uid="{5E638CD6-5548-4F8D-B79A-4F0FC360EF85}"/>
    <hyperlink ref="B189" r:id="rId2367" display="https://actualicese.com/lista-de-chequeo-de-las-etapas-requeridas-en-el-proceso-presupuestal/?referer=L-excel-formato&amp;utm_medium=act_formato_excel&amp;utm_source=act_formato_excel&amp;utm_campaign=act_formato_excel&amp;utm_content=act_formato_excel_link" xr:uid="{35EB23F6-128E-4AFD-9F94-49A43BFED83C}"/>
    <hyperlink ref="B191" r:id="rId2368" display="https://actualicese.com/liquidador-para-la-clasificacion-de-empresas-en-colombia-segun-sus-ingresos-y-sector-economico/?referer=L-excel-formato&amp;utm_medium=act_formato_excel&amp;utm_source=act_formato_excel&amp;utm_campaign=act_formato_excel&amp;utm_content=act_formato_excel_link" xr:uid="{8F66BC05-38DF-4E52-A4B1-DD891F4D2E57}"/>
    <hyperlink ref="B193" r:id="rId2369" display="https://actualicese.com/modelo-de-certificacion-del-tamano-de-una-empresa-en-colombia/?referer=L-excel-formato&amp;utm_medium=act_formato_excel&amp;utm_source=act_formato_excel&amp;utm_campaign=act_formato_excel&amp;utm_content=act_formato_excel_link" xr:uid="{1356BC5F-7AC1-4E71-907A-3E896BB91317}"/>
    <hyperlink ref="B195" r:id="rId2370" display="https://actualicese.com/ejercicio-en-excel-para-el-reconocimiento-del-deterioro-de-inventarios-al-cierre-contable-de-una-pyme/?referer=L-excel-formato&amp;utm_medium=act_formato_excel&amp;utm_source=act_formato_excel&amp;utm_campaign=act_formato_excel&amp;utm_content=act_formato_excel_link" xr:uid="{2FD5B61D-4640-443A-BC9A-65FE5409E7EF}"/>
    <hyperlink ref="B197" r:id="rId2371" display="https://actualicese.com/guia-en-excel-con-los-principales-indices-de-coherencia-tributaria-para-las-personas-juridicas/?referer=L-excel-formato&amp;utm_medium=act_formato_excel&amp;utm_source=act_formato_excel&amp;utm_campaign=act_formato_excel&amp;utm_content=act_formato_excel_link" xr:uid="{C9328B04-A29A-44D4-8063-7BDB43418484}"/>
    <hyperlink ref="B177" r:id="rId2372" display="https://actualicese.com/conciliacion-contable-y-tributaria-casos-de-descuentos-y-donaciones-especiales/?referer=L-excel-formato&amp;utm_medium=act_formato_excel&amp;utm_source=act_formato_excel&amp;utm_campaign=act_formato_excel&amp;utm_content=act_formato_excel_link" xr:uid="{9A2B5358-7AD9-437A-A7AC-F0F97F283B24}"/>
    <hyperlink ref="B179" r:id="rId2373" display="https://actualicese.com/simulador-del-punto-de-equilibrio-en-excel-herramienta-de-analisis-financiero/?referer=L-excel-formato&amp;utm_medium=act_formato_excel&amp;utm_source=act_formato_excel&amp;utm_campaign=act_formato_excel&amp;utm_content=act_formato_excel_link" xr:uid="{7FB35627-3E61-4067-AF79-21E7F772DF34}"/>
    <hyperlink ref="B181" r:id="rId2374" display="https://actualicese.com/analisis-de-informacion-de-ventas-utilizando-el-metodo-del-indice-de-estacionalidad/?referer=L-excel-formato&amp;utm_medium=act_formato_excel&amp;utm_source=act_formato_excel&amp;utm_campaign=act_formato_excel&amp;utm_content=act_formato_excel_link" xr:uid="{0BD58CC1-6479-4E72-834F-4C2406B72A63}"/>
    <hyperlink ref="B183" r:id="rId2375" display="https://actualicese.com/ejercicios-de-conversion-entre-tasas-de-interes-efectiva-nominal-y-periodica/?referer=L-excel-formato&amp;utm_medium=act_formato_excel&amp;utm_source=act_formato_excel&amp;utm_campaign=act_formato_excel&amp;utm_content=act_formato_excel_link" xr:uid="{C438EEC7-C12D-44A6-A724-9273D3923137}"/>
    <hyperlink ref="B163" r:id="rId2376" display="https://actualicese.com/intereses-moratorios-sobre-deudas-tributarias/?referer=L-excel-formato&amp;utm_medium=act_formato_excel&amp;utm_source=act_formato_excel&amp;utm_campaign=act_formato_excel&amp;utm_content=act_formato_excel_link" xr:uid="{D06F904D-0724-4825-8446-A254F759224E}"/>
    <hyperlink ref="B165" r:id="rId2377" display="https://actualicese.com/amortizacion-de-contrato-de-leasing/?referer=L-excel-formato&amp;utm_medium=act_formato_excel&amp;utm_source=act_formato_excel&amp;utm_campaign=act_formato_excel&amp;utm_content=act_formato_excel_link" xr:uid="{692DBF45-C64A-4E1A-A9B5-620E5F0EB364}"/>
    <hyperlink ref="B167" r:id="rId2378" display="https://actualicese.com/formato-de-solicitud-de-licencia-de-calamidad-domestica/?referer=L-excel-formato&amp;utm_medium=act_formato_excel&amp;utm_source=act_formato_excel&amp;utm_campaign=act_formato_excel&amp;utm_content=act_formato_excel_link" xr:uid="{C2E9CAB5-F0E3-42DB-A72A-E6059DD9229C}"/>
    <hyperlink ref="B169" r:id="rId2379" display="https://actualicese.com/modelo-para-analizar-el-valor-presente-y-el-valor-presente-neto-de-una-inversion/?referer=L-excel-formato&amp;utm_medium=act_formato_excel&amp;utm_source=act_formato_excel&amp;utm_campaign=act_formato_excel&amp;utm_content=act_formato_excel_link" xr:uid="{C577BD6E-BCCA-4C84-93D6-5A2FAF8818C5}"/>
    <hyperlink ref="B171" r:id="rId2380" display="https://actualicese.com/calculo-de-la-tir-y-tecnica-del-costo-amortizado-en-el-analisis-financiero/?referer=L-excel-formato&amp;utm_medium=act_formato_excel&amp;utm_source=act_formato_excel&amp;utm_campaign=act_formato_excel&amp;utm_content=act_formato_excel_link" xr:uid="{E4DBC564-DFA6-453B-8E64-57A3B74AD98B}"/>
    <hyperlink ref="B173" r:id="rId2381" display="https://actualicese.com/modelo-para-la-elaboracion-de-estados-financieros-y-calculo-de-los-indicadores-financieros/?referer=L-excel-formato&amp;utm_medium=act_formato_excel&amp;utm_source=act_formato_excel&amp;utm_campaign=act_formato_excel&amp;utm_content=act_formato_excel_link" xr:uid="{E0FA1448-7CD7-43BC-AB1D-30781953093F}"/>
    <hyperlink ref="B175" r:id="rId2382" display="https://actualicese.com/guia-en-excel-para-revisiones-pertinentes-en-la-propiedad-planta-y-equipo-en-el-proceso-de-cierre-contable/?referer=L-excel-formato&amp;utm_medium=act_formato_excel&amp;utm_source=act_formato_excel&amp;utm_campaign=act_formato_excel&amp;utm_content=act_formato_excel_link" xr:uid="{1C83A598-048A-48CA-BC52-C1B599C392FC}"/>
    <hyperlink ref="B151" r:id="rId2383" display="https://actualicese.com/prestamo-para-vivienda-modalidad-de-cuota-fija-en-pesos/?referer=L-excel-formato&amp;utm_medium=act_formato_excel&amp;utm_source=act_formato_excel&amp;utm_campaign=act_formato_excel&amp;utm_content=act_formato_excel_link" xr:uid="{BFF37508-F1A6-49EE-B3B4-828BE9BEBC1D}"/>
    <hyperlink ref="B153" r:id="rId2384" display="https://actualicese.com/plantilla-del-estado-de-costos-de-produccion-y-ventas/?referer=L-excel-formato&amp;utm_medium=act_formato_excel&amp;utm_source=act_formato_excel&amp;utm_campaign=act_formato_excel&amp;utm_content=act_formato_excel_link" xr:uid="{8EE3457E-22C5-4B66-A611-C1F15315A6CD}"/>
    <hyperlink ref="B155" r:id="rId2385" display="https://actualicese.com/liquidador-de-indicadores-de-detrimento-patrimonial-e-insolvencia-financiera/?referer=L-excel-formato&amp;utm_medium=act_formato_excel&amp;utm_source=act_formato_excel&amp;utm_campaign=act_formato_excel&amp;utm_content=act_formato_excel_link" xr:uid="{9A0ECDB6-6876-4AFA-9586-A6B9B7DF623F}"/>
    <hyperlink ref="B157" r:id="rId2386" display="https://actualicese.com/caso-practico-en-excel-utilidad-del-impuesto-diferido-en-la-correccion-del-efecto-de-las-normas-fiscales/?referer=L-excel-formato&amp;utm_medium=act_formato_excel&amp;utm_source=act_formato_excel&amp;utm_campaign=act_formato_excel&amp;utm_content=act_formato_excel_link" xr:uid="{83A153FC-58A5-473C-BFBD-0E0D50968784}"/>
    <hyperlink ref="B159" r:id="rId2387" display="https://actualicese.com/liquidador-casos-practicos-en-excel-con-las-diferencias-mas-comunes-en-el-proceso-de-conciliacion-fiscal-de-personas-juridicas/?referer=L-excel-formato&amp;utm_medium=act_formato_excel&amp;utm_source=act_formato_excel&amp;utm_campaign=act_formato_excel&amp;utm_content=act_formato_excel_link" xr:uid="{32161DF8-4F16-4149-AFBD-16AF68ACCA96}"/>
    <hyperlink ref="B161" r:id="rId2388" display="https://actualicese.com/liquidador-de-indicadores-financieros/?referer=L-excel-formato&amp;utm_medium=act_formato_excel&amp;utm_source=act_formato_excel&amp;utm_campaign=act_formato_excel&amp;utm_content=act_formato_excel_link" xr:uid="{157759D7-62BB-4987-9D7C-C352E39CC62D}"/>
    <hyperlink ref="B147" r:id="rId2389" display="https://actualicese.com/seleccionador-de-politicas-contables-y-ejemplos-practicos/?referer=L-excel-formato&amp;utm_medium=act_formato_excel&amp;utm_source=act_formato_excel&amp;utm_campaign=act_formato_excel&amp;utm_content=act_formato_excel_link" xr:uid="{4CF1928D-EEBA-4CF2-8153-FA20E31174D3}"/>
    <hyperlink ref="B149" r:id="rId2390" display="https://actualicese.com/ejemplos-practicos-sobre-ciniif-y-sic-aplicados-a-colombia/?referer=L-excel-formato&amp;utm_medium=act_formato_excel&amp;utm_source=act_formato_excel&amp;utm_campaign=act_formato_excel&amp;utm_content=act_formato_excel_link" xr:uid="{A295C366-92D0-4472-A166-2600FDC78F69}"/>
    <hyperlink ref="B131" r:id="rId2391" display="https://actualicese.com/casos-practicos-para-comprender-la-contabilizacion-de-pasivos-en-el-cierre-contable/?referer=L-excel-formato&amp;utm_medium=act_formato_excel&amp;utm_source=act_formato_excel&amp;utm_campaign=act_formato_excel&amp;utm_content=act_formato_excel_link" xr:uid="{29A6065E-D5BA-43ED-BC0D-0CFA9C945F3C}"/>
    <hyperlink ref="B133" r:id="rId2392" display="https://actualicese.com/casos-practicos-para-comprender-la-contabilizacion-de-activos-en-el-cierre-contable/?referer=L-excel-formato&amp;utm_medium=act_formato_excel&amp;utm_source=act_formato_excel&amp;utm_campaign=act_formato_excel&amp;utm_content=act_formato_excel_link" xr:uid="{A4BD04F6-4D8D-48F2-A37C-CB165939CF4E}"/>
    <hyperlink ref="B135" r:id="rId2393" display="https://actualicese.com/carta-de-finalizacion-del-contrato-individual-de-trabajo-por-justa-causa/?referer=L-excel-formato&amp;utm_medium=act_formato_excel&amp;utm_source=act_formato_excel&amp;utm_campaign=act_formato_excel&amp;utm_content=act_formato_excel_link" xr:uid="{ACA8B436-AE45-4312-BCA8-250A1E64B2D9}"/>
    <hyperlink ref="B137" r:id="rId2394" display="https://actualicese.com/determinacion-de-diferencias-temporarias-e-impuesto-diferido/?referer=L-excel-formato&amp;utm_medium=act_formato_excel&amp;utm_source=act_formato_excel&amp;utm_campaign=act_formato_excel&amp;utm_content=act_formato_excel_link" xr:uid="{EC2A41CB-22CF-4B68-AB0B-46952256483D}"/>
    <hyperlink ref="B139" r:id="rId2395" display="https://actualicese.com/impuesto-diferido-en-la-depreciacion-de-propiedad-planta-y-equipo-caso-practico-en-excel/?referer=L-excel-formato&amp;utm_medium=act_formato_excel&amp;utm_source=act_formato_excel&amp;utm_campaign=act_formato_excel&amp;utm_content=act_formato_excel_link" xr:uid="{4048AA4A-AB8E-403A-8263-0050BF18CA7E}"/>
    <hyperlink ref="B141" r:id="rId2396" display="https://actualicese.com/casos-practicos-sobre-metodos-para-determinar-la-naturaleza-del-impuesto-diferido/?referer=L-excel-formato&amp;utm_medium=act_formato_excel&amp;utm_source=act_formato_excel&amp;utm_campaign=act_formato_excel&amp;utm_content=act_formato_excel_link" xr:uid="{C9C8051F-ACDA-471B-B991-BB011306D5B5}"/>
    <hyperlink ref="B143" r:id="rId2397" display="https://actualicese.com/simulador-con-las-diferencias-permanentes-temporales-y-temporarias-efectos-en-la-utilidad-contable-y-fiscal/?referer=L-excel-formato&amp;utm_medium=act_formato_excel&amp;utm_source=act_formato_excel&amp;utm_campaign=act_formato_excel&amp;utm_content=act_formato_excel_link" xr:uid="{FD4BD91D-36EA-4044-AF4B-846A2404B0EE}"/>
    <hyperlink ref="B145" r:id="rId2398" display="https://actualicese.com/simulador-para-la-clasificacion-de-entidades-en-los-grupos-1-2-o-3-de-estandares-internacionales/?referer=L-excel-formato&amp;utm_medium=act_formato_excel&amp;utm_source=act_formato_excel&amp;utm_campaign=act_formato_excel&amp;utm_content=act_formato_excel_link" xr:uid="{B20424C9-1251-4177-BDA4-63D103A52348}"/>
    <hyperlink ref="B119" r:id="rId2399" display="https://actualicese.com/modelo-para-la-elaboracion-del-estado-de-cambios-en-el-patrimonio/?referer=L-excel-formato&amp;utm_medium=act_formato_excel&amp;utm_source=act_formato_excel&amp;utm_campaign=act_formato_excel&amp;utm_content=act_formato_excel_link" xr:uid="{3DF85FB5-F079-4377-9371-159F432A03DB}"/>
    <hyperlink ref="B121" r:id="rId2400" display="https://actualicese.com/simulador-de-estado-de-situacion-financiera-analisis-comparativo/?referer=L-excel-formato&amp;utm_medium=act_formato_excel&amp;utm_source=act_formato_excel&amp;utm_campaign=act_formato_excel&amp;utm_content=act_formato_excel_link" xr:uid="{B13B7265-4087-4B69-8258-71015C643D28}"/>
    <hyperlink ref="B123" r:id="rId2401" display="https://actualicese.com/planeador-en-excel-para-contadores-publicos/?referer=L-excel-formato&amp;utm_medium=act_formato_excel&amp;utm_source=act_formato_excel&amp;utm_campaign=act_formato_excel&amp;utm_content=act_formato_excel_link" xr:uid="{20DEBB41-9D23-4786-9B7B-1448959891D4}"/>
    <hyperlink ref="B125" r:id="rId2402" display="https://actualicese.com/liquidador-automatizado-de-la-prima-de-servicios-con-comprobante-de-pago/?referer=L-excel-formato&amp;utm_medium=act_formato_excel&amp;utm_source=act_formato_excel&amp;utm_campaign=act_formato_excel&amp;utm_content=act_formato_excel_link" xr:uid="{61723FAC-84EF-4246-991B-2B876792D3B8}"/>
    <hyperlink ref="B127" r:id="rId2403" display="https://actualicese.com/casos-practicos-de-deterioro-de-cartera-fiscal-provision-individual-y-general/?referer=L-excel-formato&amp;utm_medium=act_formato_excel&amp;utm_source=act_formato_excel&amp;utm_campaign=act_formato_excel&amp;utm_content=act_formato_excel_link" xr:uid="{C1CDB93C-3A15-4B3E-8539-565F6A4A2CCA}"/>
    <hyperlink ref="B129" r:id="rId2404" display="https://actualicese.com/pack-de-formatos-15-herramientas-clave-en-excel-para-la-planeacion-estrategica-presupuestal-financiera-y-fiscal/?referer=L-excel-formato&amp;utm_medium=act_formato_excel&amp;utm_source=act_formato_excel&amp;utm_campaign=act_formato_excel&amp;utm_content=act_formato_excel_link" xr:uid="{D871CEAD-875D-40B0-8A20-DA4093A95E1C}"/>
    <hyperlink ref="B117" r:id="rId2405" display="https://actualicese.com/intereses-moratorios-sobre-deudas-tributarias/?referer=L-excel-formato&amp;utm_medium=act_formato_excel&amp;utm_source=act_formato_excel&amp;utm_campaign=act_formato_excel&amp;utm_content=act_formato_excel_link" xr:uid="{F2880006-7914-4DF0-B4A0-3C6A5E051B14}"/>
    <hyperlink ref="B103" r:id="rId2406" display="https://actualicese.com/modelo-de-un-proyecto-de-distribucion-de-utilidades-en-una-sociedad-comercial/?referer=L-excel-formato&amp;utm_medium=act_formato_excel&amp;utm_source=act_formato_excel&amp;utm_campaign=act_formato_excel&amp;utm_content=act_formato_excel_link" xr:uid="{CDFCC8A5-5751-42C1-B638-A31CF946396C}"/>
    <hyperlink ref="B105" r:id="rId2407" display="https://actualicese.com/estado-de-resultados-con-enfoque-de-gastos-por-naturaleza-o-por-funcion/?referer=L-excel-formato&amp;utm_medium=act_formato_excel&amp;utm_source=act_formato_excel&amp;utm_campaign=act_formato_excel&amp;utm_content=act_formato_excel_link" xr:uid="{EB3415D2-EF4B-43D8-A8C5-CE0E4A89CDB0}"/>
    <hyperlink ref="B107" r:id="rId2408" display="https://actualicese.com/analisis-vertical-y-horizontal-aplicados-a-la-interpretacion-de-informacion-financiera/?referer=L-excel-formato&amp;utm_medium=act_formato_excel&amp;utm_source=act_formato_excel&amp;utm_campaign=act_formato_excel&amp;utm_content=act_formato_excel_link" xr:uid="{0F9D09FE-C971-44D4-BFAE-1C433B342CA8}"/>
    <hyperlink ref="B109" r:id="rId2409" display="https://actualicese.com/modelo-de-estructura-del-estado-de-resultados-y-ganancias-acumuladas/?referer=L-excel-formato&amp;utm_medium=act_formato_excel&amp;utm_source=act_formato_excel&amp;utm_campaign=act_formato_excel&amp;utm_content=act_formato_excel_link" xr:uid="{8CF38474-2DD7-4D71-B5F6-199650E77CDE}"/>
    <hyperlink ref="B111" r:id="rId2410" display="https://actualicese.com/guia-modelo-de-notas-a-los-estados-financieros-estado-de-situacion-financiera/?referer=L-excel-formato&amp;utm_medium=act_formato_excel&amp;utm_source=act_formato_excel&amp;utm_campaign=act_formato_excel&amp;utm_content=act_formato_excel_link" xr:uid="{C41C6F8C-4947-4224-81CE-8FF164009435}"/>
    <hyperlink ref="B113" r:id="rId2411" display="https://actualicese.com/guia-modelo-de-notas-a-los-estados-financieros-estado-de-resultados/?referer=L-excel-formato&amp;utm_medium=act_formato_excel&amp;utm_source=act_formato_excel&amp;utm_campaign=act_formato_excel&amp;utm_content=act_formato_excel_link" xr:uid="{1F1FCDC8-B585-402F-B077-FBDCA62CDCE4}"/>
    <hyperlink ref="B115" r:id="rId2412" display="https://actualicese.com/liquidador-en-excel-del-porcentaje-fijo-de-retencion-en-la-fuente-sobre-salarios-en-diciembre-de-2024-procedimiento-2/?referer=L-excel-formato&amp;utm_medium=act_formato_excel&amp;utm_source=act_formato_excel&amp;utm_campaign=act_formato_excel&amp;utm_content=act_formato_excel_link" xr:uid="{F88ED32D-9915-42C3-B354-5979201482B9}"/>
    <hyperlink ref="B91" r:id="rId2413" display="https://actualicese.com/pack-de-formatos-cierre-anual-2024-estados-financieros-impuesto-diferido-y-contabilizaciones/?referer=L-excel-formato&amp;utm_medium=act_formato_excel&amp;utm_source=act_formato_excel&amp;utm_campaign=act_formato_excel&amp;utm_content=act_formato_excel_link" xr:uid="{AE5CE57A-36E6-4875-81EA-C2D3988BF8DA}"/>
    <hyperlink ref="B93" r:id="rId2414" display="https://actualicese.com/ejercicios-para-el-calculo-del-impuesto-diferido-al-cierre-del-ejercicio-2023-y-2024/?referer=L-excel-formato&amp;utm_medium=act_formato_excel&amp;utm_source=act_formato_excel&amp;utm_campaign=act_formato_excel&amp;utm_content=act_formato_excel_link" xr:uid="{BBCDBE4B-DE1E-4698-867B-E0B909194589}"/>
    <hyperlink ref="B95" r:id="rId2415" display="https://actualicese.com/ejemplos-de-contabilizacion-de-activos-bajo-las-niif-para-pymes/?referer=L-excel-formato&amp;utm_medium=act_formato_excel&amp;utm_source=act_formato_excel&amp;utm_campaign=act_formato_excel&amp;utm_content=act_formato_excel_link" xr:uid="{A3C06FBE-5AB7-49CF-BA8E-77482B5DE501}"/>
    <hyperlink ref="B97" r:id="rId2416" display="https://actualicese.com/correccion-de-errores-de-periodos-anteriores-en-el-cierre-contable/?referer=L-excel-formato&amp;utm_medium=act_formato_excel&amp;utm_source=act_formato_excel&amp;utm_campaign=act_formato_excel&amp;utm_content=act_formato_excel_link" xr:uid="{E22168D5-FE16-4463-8ACB-4C3CAFF897BE}"/>
    <hyperlink ref="B99" r:id="rId2417" display="https://actualicese.com/ejemplos-sobre-hechos-posteriores-al-cierre-que-implican-o-no-ajustes/?referer=L-excel-formato&amp;utm_medium=act_formato_excel&amp;utm_source=act_formato_excel&amp;utm_campaign=act_formato_excel&amp;utm_content=act_formato_excel_link" xr:uid="{F1061453-3451-4039-8177-CF7F4DE7A2E5}"/>
    <hyperlink ref="B101" r:id="rId2418" display="https://actualicese.com/guia-modelo-en-excel-de-la-estructura-del-balance-de-comprobacion/?referer=L-excel-formato&amp;utm_medium=act_formato_excel&amp;utm_source=act_formato_excel&amp;utm_campaign=act_formato_excel&amp;utm_content=act_formato_excel_link" xr:uid="{81A4BB49-54B8-4B05-BA43-43D6445D41AC}"/>
    <hyperlink ref="B77" r:id="rId2419" display="https://actualicese.com/calendario-tributario-2025-version-descargable/?referer=L-excel-formato&amp;utm_medium=act_formato_excel&amp;utm_source=act_formato_excel&amp;utm_campaign=act_formato_excel&amp;utm_content=act_formato_excel_link" xr:uid="{45ABA1F2-EA1D-44ED-96CE-BC92A7BBF99F}"/>
    <hyperlink ref="B79" r:id="rId2420" display="https://actualicese.com/calendario-2025-para-el-pago-de-aportes-a-seguridad-social-de-empleadores-e-independientes/?referer=L-excel-formato&amp;utm_medium=act_formato_excel&amp;utm_source=act_formato_excel&amp;utm_campaign=act_formato_excel&amp;utm_content=act_formato_excel_link" xr:uid="{FB147A3D-5569-4FEC-9093-7686B247B635}"/>
    <hyperlink ref="B81" r:id="rId2421" display="https://actualicese.com/formulas-para-liquidacion-de-prestaciones-vacaciones-y-horas-extras/?referer=L-excel-formato&amp;utm_medium=act_formato_excel&amp;utm_source=act_formato_excel&amp;utm_campaign=act_formato_excel&amp;utm_content=act_formato_excel_link" xr:uid="{8802F26B-FA03-415A-86F0-58C3903BEB38}"/>
    <hyperlink ref="B83" r:id="rId2422" display="https://actualicese.com/responsabilidad-en-seguridad-social-de-trabajadores-independientes/?referer=L-excel-formato&amp;utm_medium=act_formato_excel&amp;utm_source=act_formato_excel&amp;utm_campaign=act_formato_excel&amp;utm_content=act_formato_excel_link" xr:uid="{3A7158FB-22AF-4558-8874-167B3A6FDA8C}"/>
    <hyperlink ref="B85" r:id="rId2423" display="https://actualicese.com/nota-1-a-los-estados-financieros-bajo-el-estandar-internacional-para-pymes/?referer=L-excel-formato&amp;utm_medium=act_formato_excel&amp;utm_source=act_formato_excel&amp;utm_campaign=act_formato_excel&amp;utm_content=act_formato_excel_link" xr:uid="{F177C1EC-E23A-470A-870D-D4CBD066FE21}"/>
    <hyperlink ref="B87" r:id="rId2424" display="https://actualicese.com/modelo-de-politica-base-para-la-preparacion-de-estados-financieros-bajo-estandar-internacional-para-pymes/?referer=L-excel-formato&amp;utm_medium=act_formato_excel&amp;utm_source=act_formato_excel&amp;utm_campaign=act_formato_excel&amp;utm_content=act_formato_excel_link" xr:uid="{766CF457-4A7E-4B93-B0BF-CA5369D3B5D8}"/>
    <hyperlink ref="B89" r:id="rId2425" display="https://actualicese.com/guia-en-word-con-las-revelaciones-de-la-informacion-financiera-a-presentar-segun-el-estandar-para-pymes/?referer=L-excel-formato&amp;utm_medium=act_formato_excel&amp;utm_source=act_formato_excel&amp;utm_campaign=act_formato_excel&amp;utm_content=act_formato_excel_link" xr:uid="{EE177AD0-D197-4409-8ADB-A5FDD77D5CAD}"/>
    <hyperlink ref="B71" r:id="rId2426" display="https://actualicese.com/listado-de-convenios-internacionales-para-evitar-la-doble-tributacion-y-otros-acuerdos-para-el-intercambio-de-informacion-fiscal/?referer=L-excel-formato&amp;utm_medium=act_formato_excel&amp;utm_source=act_formato_excel&amp;utm_campaign=act_formato_excel&amp;utm_content=act_formato_excel_link" xr:uid="{35BB791E-B9E7-45F9-8F2B-95F4BBADA862}"/>
    <hyperlink ref="B73" r:id="rId2427" display="https://actualicese.com/cuadro-comparativo-con-la-estructura-del-sistema-de-pensiones-en-colombia-ley-100-de-1993-vs-ley-2381-de-2024/?referer=L-excel-formato&amp;utm_medium=act_formato_excel&amp;utm_source=act_formato_excel&amp;utm_campaign=act_formato_excel&amp;utm_content=act_formato_excel_link" xr:uid="{D4A951B2-663A-4DAE-B6E3-8A1633227CED}"/>
    <hyperlink ref="B75" r:id="rId2428" display="https://actualicese.com/convertidor-de-uvt/?referer=L-excel-formato&amp;utm_medium=act_formato_excel&amp;utm_source=act_formato_excel&amp;utm_campaign=act_formato_excel&amp;utm_content=act_formato_excel_link" xr:uid="{E038DBC8-EE82-402F-BCCD-AAD5786AD18B}"/>
    <hyperlink ref="B61" r:id="rId2429" display="https://actualicese.com/liquidador-en-excel-de-retencion-en-la-fuente-con-procedimiento-1-durante-2025-sobre-rentas-de-trabajo-laborales-y-no-laborales/?referer=L-excel-formato&amp;utm_medium=act_formato_excel&amp;utm_source=act_formato_excel&amp;utm_campaign=act_formato_excel&amp;utm_content=act_formato_excel_link" xr:uid="{5EFB5DC7-BF7A-497B-9FBA-416DF72A768E}"/>
    <hyperlink ref="B63" r:id="rId2430" display="https://actualicese.com/guia-de-informacion-laboral-2025/?referer=L-excel-formato&amp;utm_medium=act_formato_excel&amp;utm_source=act_formato_excel&amp;utm_campaign=act_formato_excel&amp;utm_content=act_formato_excel_link" xr:uid="{938630EC-F810-4E67-A3C1-A37AA9E3AF2E}"/>
    <hyperlink ref="B65" r:id="rId2431" display="https://actualicese.com/intereses-moratorios-sobre-deudas-tributarias/?referer=L-excel-formato&amp;utm_medium=act_formato_excel&amp;utm_source=act_formato_excel&amp;utm_campaign=act_formato_excel&amp;utm_content=act_formato_excel_link" xr:uid="{61AD1AF9-7EAD-4000-89B4-A3DD7EE1AE8D}"/>
    <hyperlink ref="B67" r:id="rId2432" display="https://actualicese.com/listado-de-convenios-internacionales-para-evitar-la-doble-tributacion-y-otros-acuerdos-para-el-intercambio-de-informacion-fiscal/?referer=L-excel-formato&amp;utm_medium=act_formato_excel&amp;utm_source=act_formato_excel&amp;utm_campaign=act_formato_excel&amp;utm_content=act_formato_excel_link" xr:uid="{5490556A-0F90-48CE-B237-E0980039B7B2}"/>
    <hyperlink ref="B69" r:id="rId2433" display="https://actualicese.com/cuadro-comparativo-con-la-estructura-del-sistema-de-pensiones-en-colombia-ley-100-de-1993-vs-ley-2381-de-2024/?referer=L-excel-formato&amp;utm_medium=act_formato_excel&amp;utm_source=act_formato_excel&amp;utm_campaign=act_formato_excel&amp;utm_content=act_formato_excel_link" xr:uid="{FB9817AF-3971-4488-97AB-55F1DE597815}"/>
    <hyperlink ref="B57" r:id="rId2434" display="https://actualicese.com/simulador-de-los-efectos-del-rechazo-de-costos-y-gastos-en-efectivo-a-partir-de-2018/?referer=L-excel-formato&amp;utm_medium=act_formato_excel&amp;utm_source=act_formato_excel&amp;utm_campaign=act_formato_excel&amp;utm_content=act_formato_excel_link" xr:uid="{7A9F3100-0AB1-48CB-8E2C-5BE5FB30220A}"/>
    <hyperlink ref="B59" r:id="rId2435" display="https://actualicese.com/codigos-de-responsabilidades-tributarias-rut-casilla-53/?referer=L-excel-formato&amp;utm_medium=act_formato_excel&amp;utm_source=act_formato_excel&amp;utm_campaign=act_formato_excel&amp;utm_content=act_formato_excel_link" xr:uid="{9674A6DF-6A9B-464C-A86C-4AD4D3D788F5}"/>
    <hyperlink ref="B43" r:id="rId2436" display="https://actualicese.com/tablas-en-word-de-retencion-en-la-fuente-a-titulo-de-impuestos-nacionales-durante-el-ano-fiscal-2025/?referer=L-excel-formato&amp;utm_medium=act_formato_excel&amp;utm_source=act_formato_excel&amp;utm_campaign=act_formato_excel&amp;utm_content=act_formato_excel_link" xr:uid="{16BE59F5-4BEF-4420-BD60-40BEB7565220}"/>
    <hyperlink ref="B45" r:id="rId2437" display="https://actualicese.com/historico-del-salario-minimo-y-el-auxilio-de-transporte-1990-2025/?referer=L-excel-formato&amp;utm_medium=act_formato_excel&amp;utm_source=act_formato_excel&amp;utm_campaign=act_formato_excel&amp;utm_content=act_formato_excel_link" xr:uid="{26414E9D-CB85-4D74-A0EA-9D856AF91D62}"/>
    <hyperlink ref="B47" r:id="rId2438" display="https://actualicese.com/modelo-calculo-de-intereses-sobre-las-cesantias/?referer=L-excel-formato&amp;utm_medium=act_formato_excel&amp;utm_source=act_formato_excel&amp;utm_campaign=act_formato_excel&amp;utm_content=act_formato_excel_link" xr:uid="{C0C296EB-7F85-47DB-86BB-2A7B52E613F9}"/>
    <hyperlink ref="B49" r:id="rId2439" display="https://actualicese.com/comprobante-de-pago-intereses-a-las-cesantias/?referer=L-excel-formato&amp;utm_medium=act_formato_excel&amp;utm_source=act_formato_excel&amp;utm_campaign=act_formato_excel&amp;utm_content=act_formato_excel_link" xr:uid="{3213FAF0-05E1-4AE7-A19A-6296EBA2DE9B}"/>
    <hyperlink ref="B51" r:id="rId2440" display="https://actualicese.com/tabla-de-tarifas-de-honorarios-profesionales-para-contadores-publicos/?referer=L-excel-formato&amp;utm_medium=act_formato_excel&amp;utm_source=act_formato_excel&amp;utm_campaign=act_formato_excel&amp;utm_content=act_formato_excel_link" xr:uid="{EC2B9723-9E79-426E-8B3E-5A7903647A14}"/>
    <hyperlink ref="B53" r:id="rId2441" display="https://actualicese.com/liquidador-historico-de-porcentajes-de-reajuste-fiscal/?referer=L-excel-formato&amp;utm_medium=act_formato_excel&amp;utm_source=act_formato_excel&amp;utm_campaign=act_formato_excel&amp;utm_content=act_formato_excel_link" xr:uid="{3B943D5E-CF43-4C52-B434-3666610CDFB0}"/>
    <hyperlink ref="B55" r:id="rId2442" display="https://actualicese.com/costo-de-la-contratacion-de-un-trabajador-que-devenga-un-salario-minimo-caso-practico/?referer=L-excel-formato&amp;utm_medium=act_formato_excel&amp;utm_source=act_formato_excel&amp;utm_campaign=act_formato_excel&amp;utm_content=act_formato_excel_link" xr:uid="{60DE2FF8-00D7-46A6-885A-CF364E289C1A}"/>
    <hyperlink ref="B41" r:id="rId2443" display="https://actualicese.com/comparativo-de-normas-del-dut-1625-de-2016-sobre-el-regimen-simple-afectadas-con-el-decreto-1545-de-2024/?referer=L-excel-formato&amp;utm_medium=act_formato_excel&amp;utm_source=act_formato_excel&amp;utm_campaign=act_formato_excel&amp;utm_content=act_formato_excel_link" xr:uid="{7B63BAE4-DE96-437F-A3B2-8CD151510C98}"/>
    <hyperlink ref="B31" r:id="rId2444" display="https://actualicese.com/historico-de-indice-de-precios-al-consumidor-ipc/?referer=L-excel-formato&amp;utm_medium=act_formato_excel&amp;utm_source=act_formato_excel&amp;utm_campaign=act_formato_excel&amp;utm_content=act_formato_excel_link" xr:uid="{67D45DC1-8F20-496B-8524-084802C36F34}"/>
    <hyperlink ref="B33" r:id="rId2445" display="https://actualicese.com/modelo-del-certificado-anual-a-socios-o-accionistas/?referer=L-excel-formato&amp;utm_medium=act_formato_excel&amp;utm_source=act_formato_excel&amp;utm_campaign=act_formato_excel&amp;utm_content=act_formato_excel_link" xr:uid="{E419C088-DB28-401F-8EA7-2EED226B917F}"/>
    <hyperlink ref="B35" r:id="rId2446" display="https://actualicese.com/historico-de-la-variacion-nominal-del-salario-minimo-e-inflacion-1993-2025/?referer=L-excel-formato&amp;utm_medium=act_formato_excel&amp;utm_source=act_formato_excel&amp;utm_campaign=act_formato_excel&amp;utm_content=act_formato_excel_link" xr:uid="{B1392D9F-2AE4-432A-B9F4-D08ED31A6000}"/>
    <hyperlink ref="B37" r:id="rId2447" display="https://actualicese.com/guia-requisitos-para-operar-como-no-responsables-de-iva-inc-ibua-e-icui-durante-el-2025/?referer=L-excel-formato&amp;utm_medium=act_formato_excel&amp;utm_source=act_formato_excel&amp;utm_campaign=act_formato_excel&amp;utm_content=act_formato_excel_link" xr:uid="{BAD6E28A-046A-4B0A-B029-38C1F2AC7CA8}"/>
    <hyperlink ref="B39" r:id="rId2448" display="https://actualicese.com/tablas-en-excel-de-retencion-en-la-fuente-por-renta-para-el-ano-fiscal-2025/?referer=L-excel-formato&amp;utm_medium=act_formato_excel&amp;utm_source=act_formato_excel&amp;utm_campaign=act_formato_excel&amp;utm_content=act_formato_excel_link" xr:uid="{D2E7A72C-F1E3-419F-8D95-8FF724BA7906}"/>
    <hyperlink ref="B23" r:id="rId2449" display="https://actualicese.com/liquidador-de-aportes-a-seguridad-social-de-independientes-bajo-el-esquema-de-presuncion-de-costos-resolucion-ugpp-532-de-2024/?referer=L-excel-formato&amp;utm_medium=act_formato_excel&amp;utm_source=act_formato_excel&amp;utm_campaign=act_formato_excel&amp;utm_content=act_formato_excel_link" xr:uid="{7EAA9FF8-B154-431A-9DB1-776830103404}"/>
    <hyperlink ref="B25" r:id="rId2450" display="https://actualicese.com/liquidador-automatizado-de-intereses-a-las-cesantias-y-su-comprobante-de-pago/?referer=L-excel-formato&amp;utm_medium=act_formato_excel&amp;utm_source=act_formato_excel&amp;utm_campaign=act_formato_excel&amp;utm_content=act_formato_excel_link" xr:uid="{274DFEEE-CAD7-42CC-83DA-EBE2FBB44A7F}"/>
    <hyperlink ref="B27" r:id="rId2451" display="https://actualicese.com/aportes-a-seguridad-social-para-trabajadores-independientes/?referer=L-excel-formato&amp;utm_medium=act_formato_excel&amp;utm_source=act_formato_excel&amp;utm_campaign=act_formato_excel&amp;utm_content=act_formato_excel_link" xr:uid="{504902A3-FD5E-4ACF-AD3D-46AD7692A890}"/>
    <hyperlink ref="B29" r:id="rId2452" display="https://actualicese.com/liquidador-de-aportes-a-seguridad-social-de-independientes-por-cuenta-propia-y-rentistas-de-capital/?referer=L-excel-formato&amp;utm_medium=act_formato_excel&amp;utm_source=act_formato_excel&amp;utm_campaign=act_formato_excel&amp;utm_content=act_formato_excel_link" xr:uid="{15D07E01-D1C1-45AF-AEF8-2074B487B79F}"/>
    <hyperlink ref="B17" r:id="rId2453" display="https://actualicese.com/liquidador-y-caso-practico-para-calcular-y-contabilizar-horas-extra-y-recargos-durante-la-reduccion-de-la-jornada-laboral-en-2025-a-46-horas/?referer=L-excel-formato&amp;utm_medium=act_formato_excel&amp;utm_source=act_formato_excel&amp;utm_campaign=act_formato_excel&amp;utm_content=act_formato_excel_link" xr:uid="{55FEEF1C-09A9-4A60-AFF2-37D6FCFAF214}"/>
    <hyperlink ref="B19" r:id="rId2454" display="https://actualicese.com/horas-diurnas-nocturnas-extras-dominicales-y-festivas/?referer=L-excel-formato&amp;utm_medium=act_formato_excel&amp;utm_source=act_formato_excel&amp;utm_campaign=act_formato_excel&amp;utm_content=act_formato_excel_link" xr:uid="{71507398-BA1C-456A-938A-33AC0FDAEAD5}"/>
    <hyperlink ref="B21" r:id="rId2455" display="https://actualicese.com/liquidadores-de-sancion-por-no-declarar/?referer=L-excel-formato&amp;utm_medium=act_formato_excel&amp;utm_source=act_formato_excel&amp;utm_campaign=act_formato_excel&amp;utm_content=act_formato_excel_link" xr:uid="{4DF679C9-4FF6-4F73-BD39-3C87E9901E7C}"/>
    <hyperlink ref="B11" r:id="rId2456" display="https://actualicese.com/sancion-por-no-consignar-las-cesantias-y-no-pagar-los-intereses/?referer=L-excel-formato&amp;utm_medium=act_formato_excel&amp;utm_source=act_formato_excel&amp;utm_campaign=act_formato_excel&amp;utm_content=act_formato_excel_link" xr:uid="{C6BA8812-DBEA-495B-86D0-AF658185BE18}"/>
    <hyperlink ref="B13" r:id="rId2457" display="https://actualicese.com/liquidador-de-cesantias-en-excel-aplicado-a-11-casos-practicos/?referer=L-excel-formato&amp;utm_medium=act_formato_excel&amp;utm_source=act_formato_excel&amp;utm_campaign=act_formato_excel&amp;utm_content=act_formato_excel_link" xr:uid="{CAFD2F9B-C8F6-403F-B8E2-C48B60843025}"/>
    <hyperlink ref="B15" r:id="rId2458" display="https://actualicese.com/guia-clasificacion-de-las-personas-juridicas-frente-al-impuesto-de-renta-y-el-simple-ag-2024/?referer=L-excel-formato&amp;utm_medium=act_formato_excel&amp;utm_source=act_formato_excel&amp;utm_campaign=act_formato_excel&amp;utm_content=act_formato_excel_link" xr:uid="{26DFEECD-2F28-4BAF-82AF-6CA11291D99B}"/>
  </hyperlinks>
  <pageMargins left="0.7" right="0.7" top="0.75" bottom="0.75" header="0.3" footer="0.3"/>
  <pageSetup orientation="portrait" r:id="rId2459"/>
  <drawing r:id="rId24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Copyright</vt:lpstr>
      <vt:lpstr>Empieza aquí</vt:lpstr>
      <vt:lpstr>Introducción</vt:lpstr>
      <vt:lpstr>Datos base</vt:lpstr>
      <vt:lpstr>Ppto Ventas</vt:lpstr>
      <vt:lpstr>Ppto Producción</vt:lpstr>
      <vt:lpstr>MOD</vt:lpstr>
      <vt:lpstr>CIF</vt:lpstr>
      <vt:lpstr>Admón y ventas</vt:lpstr>
      <vt:lpstr>Ppto Cartera</vt:lpstr>
      <vt:lpstr>Ppto inversión y plan pagos</vt:lpstr>
      <vt:lpstr>Estado costos</vt:lpstr>
      <vt:lpstr>ER</vt:lpstr>
      <vt:lpstr>FC</vt:lpstr>
      <vt:lpstr>ESF</vt:lpstr>
      <vt:lpstr>Listado completo de archivos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Sandra Milena Acosta Álvarez</dc:creator>
  <cp:keywords/>
  <dc:description/>
  <cp:lastModifiedBy>Mónica  Arias Londoño</cp:lastModifiedBy>
  <cp:revision/>
  <dcterms:created xsi:type="dcterms:W3CDTF">2024-12-13T02:07:02Z</dcterms:created>
  <dcterms:modified xsi:type="dcterms:W3CDTF">2025-01-29T20:35:43Z</dcterms:modified>
  <cp:category/>
  <cp:contentStatus/>
</cp:coreProperties>
</file>