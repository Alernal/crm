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e2672440234688e7/Archivo activo/Contabilidad/3. Formatos y herramientas/2026/Herramientas de trabajo/"/>
    </mc:Choice>
  </mc:AlternateContent>
  <xr:revisionPtr revIDLastSave="252" documentId="13_ncr:1_{335E31D6-1073-4A03-9AF7-49865C44DE1C}" xr6:coauthVersionLast="47" xr6:coauthVersionMax="47" xr10:uidLastSave="{375C4CA6-777B-4618-AA4C-978F17EA93F8}"/>
  <bookViews>
    <workbookView xWindow="-108" yWindow="-108" windowWidth="23256" windowHeight="12456" tabRatio="874" activeTab="5" xr2:uid="{703285D1-87CC-884F-B382-7096A822B052}"/>
  </bookViews>
  <sheets>
    <sheet name="Introducción" sheetId="16" r:id="rId1"/>
    <sheet name="Liquidación al terminar contrat" sheetId="9" r:id="rId2"/>
    <sheet name="Aportes y provisiones empleador" sheetId="14" r:id="rId3"/>
    <sheet name="Indemnización" sheetId="12" r:id="rId4"/>
    <sheet name="Resumen" sheetId="15" r:id="rId5"/>
    <sheet name="FSP Empleado" sheetId="13" r:id="rId6"/>
    <sheet name="Datos - lista " sheetId="10" state="hidden" r:id="rId7"/>
  </sheets>
  <externalReferences>
    <externalReference r:id="rId8"/>
    <externalReference r:id="rId9"/>
    <externalReference r:id="rId10"/>
    <externalReference r:id="rId11"/>
    <externalReference r:id="rId12"/>
  </externalReferences>
  <definedNames>
    <definedName name="AC">#REF!</definedName>
    <definedName name="ACC">#REF!</definedName>
    <definedName name="AD">#REF!</definedName>
    <definedName name="Año_1">#REF!</definedName>
    <definedName name="Año_2">#REF!</definedName>
    <definedName name="AOP">#REF!</definedName>
    <definedName name="_xlnm.Print_Area" localSheetId="4">Resumen!$B$7:$F$43</definedName>
    <definedName name="ARL">[1]Tablas!$A$12:$B$17</definedName>
    <definedName name="AS">#REF!</definedName>
    <definedName name="BE">#REF!</definedName>
    <definedName name="Bimestralmente" comment="cada dos meses">#REF!</definedName>
    <definedName name="BP_APERTURA">#REF!</definedName>
    <definedName name="BP_Diciembre_Año_2">#REF!</definedName>
    <definedName name="BP_Enero_Año_1">#REF!</definedName>
    <definedName name="CIR">#REF!</definedName>
    <definedName name="Codigo_Ctro_Costos_Grupo">#REF!</definedName>
    <definedName name="Codigo_CtroCostos">#REF!</definedName>
    <definedName name="Codigo1">[2]Año_1!$A$1:$A$65536</definedName>
    <definedName name="Codigos_PUC">#REF!</definedName>
    <definedName name="CR">#REF!</definedName>
    <definedName name="Cuatrimestralmente" comment="cada cuatro años">#REF!</definedName>
    <definedName name="CV">#REF!</definedName>
    <definedName name="DC">#REF!</definedName>
    <definedName name="DII">[3]Normativa!$E$46:$F$55</definedName>
    <definedName name="DIP">[3]Normativa!$M$20:$N$29</definedName>
    <definedName name="ECP">#REF!</definedName>
    <definedName name="ECPC">#REF!</definedName>
    <definedName name="EFE">#REF!</definedName>
    <definedName name="EGC">[3]Normativa!$N$162:$O$171</definedName>
    <definedName name="ENGC">[3]Normativa!$J$162:$K$261</definedName>
    <definedName name="ERC">#REF!</definedName>
    <definedName name="ETC">#REF!</definedName>
    <definedName name="EYE">#REF!</definedName>
    <definedName name="GCI">[3]Normativa!$E$33:$F$42</definedName>
    <definedName name="GCII">[3]Normativa!$I$33:$J$42</definedName>
    <definedName name="GCIII">[3]Normativa!$M$33:$N$42</definedName>
    <definedName name="GIMP">#REF!</definedName>
    <definedName name="GMF">[3]Normativa!$J$59:$M$110</definedName>
    <definedName name="GTOS">#REF!</definedName>
    <definedName name="HTEFE">#REF!</definedName>
    <definedName name="IBC">'[1]EJ1  Prest. servicios'!$D$14</definedName>
    <definedName name="IBC_2">'[1]EJ2  Prest. servicios'!$D$14</definedName>
    <definedName name="IBC_3">'[1]EJ3  Prest. servicios'!$D$16</definedName>
    <definedName name="IBC_4">'[1]EJ4 Otros independientes'!$D$13</definedName>
    <definedName name="IBC_42">'[1]EJ4 Otros independientes'!$G$13</definedName>
    <definedName name="IBC_5">'[1]EJ5 Otros independientes'!$D$17</definedName>
    <definedName name="IBC_52">'[1]EJ5 Otros independientes'!$G$17</definedName>
    <definedName name="IBC_6">#REF!</definedName>
    <definedName name="IBC_62">#REF!</definedName>
    <definedName name="ID">#REF!</definedName>
    <definedName name="IGF">#REF!</definedName>
    <definedName name="Indices">[4]Datos!$D$12:$D$15</definedName>
    <definedName name="INT">#REF!</definedName>
    <definedName name="INV">#REF!</definedName>
    <definedName name="INVER">#REF!</definedName>
    <definedName name="IPA">#REF!</definedName>
    <definedName name="IPC">#REF!</definedName>
    <definedName name="IPP">[3]Normativa!$I$46:$J$55</definedName>
    <definedName name="IR">[3]Normativa!$M$46:$N$55</definedName>
    <definedName name="IVA">[3]Normativa!$E$20:$K$29</definedName>
    <definedName name="Ksact1">[2]Año_1!$F$1:$F$65536</definedName>
    <definedName name="ListMonths">[5]Datos!$C$36:$C$47</definedName>
    <definedName name="MP">#REF!</definedName>
    <definedName name="MPD">#REF!</definedName>
    <definedName name="MSG_MACRO">"Debe habilitar las macros"</definedName>
    <definedName name="NGC">[3]Normativa!$E$59:$F$158</definedName>
    <definedName name="NIT">#REF!</definedName>
    <definedName name="OAF">#REF!</definedName>
    <definedName name="OIE">#REF!</definedName>
    <definedName name="PB">#REF!</definedName>
    <definedName name="PBG">#REF!</definedName>
    <definedName name="Periodo" comment="perido de pago">#REF!</definedName>
    <definedName name="PN">[3]Normativa!$E$162:$F$261</definedName>
    <definedName name="ppc">#REF!</definedName>
    <definedName name="PPYE">#REF!</definedName>
    <definedName name="PR">#REF!</definedName>
    <definedName name="PRLA">[3]Normativa!$J$368:$K$467</definedName>
    <definedName name="PUC">#REF!:#REF!</definedName>
    <definedName name="Razon_Social">#REF!</definedName>
    <definedName name="RES">#REF!</definedName>
    <definedName name="RM">#REF!</definedName>
    <definedName name="RT">[3]Normativa!$E$7:$Q$16</definedName>
    <definedName name="RTI">#REF!</definedName>
    <definedName name="SalInicial_20091231">#REF!</definedName>
    <definedName name="SalMin">#REF!</definedName>
    <definedName name="seleccion" comment="seleccion de periodo de pago">#REF!</definedName>
    <definedName name="SIM">[3]Normativa!$P$20:$V$29</definedName>
    <definedName name="SMMLV">'[1]EJ1  Prest. servicios'!$D$8</definedName>
    <definedName name="SMMLV_2">'[1]EJ2  Prest. servicios'!$D$8</definedName>
    <definedName name="SMMLV_3">'[1]EJ3  Prest. servicios'!$D$10</definedName>
    <definedName name="SMMLV_4">'[1]EJ4 Otros independientes'!$D$5</definedName>
    <definedName name="SMMLV_5">'[1]EJ5 Otros independientes'!$D$9</definedName>
    <definedName name="SMMLV_6">#REF!</definedName>
    <definedName name="SSI">[3]Normativa!$E$265:$F$364</definedName>
    <definedName name="SSII">[3]Normativa!$J$265:$K$364</definedName>
    <definedName name="TEE">[3]Normativa!$E$368:$F$467</definedName>
    <definedName name="transporte">[1]Tablas!$F$27:$K$33</definedName>
    <definedName name="VPND">#REF!</definedName>
    <definedName name="V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5" l="1"/>
  <c r="D69" i="9"/>
  <c r="H7" i="13"/>
  <c r="C7" i="13"/>
  <c r="F12" i="15"/>
  <c r="B36" i="15"/>
  <c r="B35" i="15"/>
  <c r="B34" i="15"/>
  <c r="B33" i="15"/>
  <c r="B27" i="15"/>
  <c r="B17" i="15"/>
  <c r="C11" i="12" l="1"/>
  <c r="F40" i="9" l="1"/>
  <c r="F36" i="9"/>
  <c r="D31" i="9"/>
  <c r="D36" i="9"/>
  <c r="E36" i="9" l="1"/>
  <c r="F33" i="9"/>
  <c r="F32" i="9"/>
  <c r="F31" i="9"/>
  <c r="D32" i="9"/>
  <c r="E32" i="9" s="1"/>
  <c r="E31" i="9" l="1"/>
  <c r="E18" i="14"/>
  <c r="F18" i="14"/>
  <c r="D18" i="14"/>
  <c r="C18" i="14"/>
  <c r="B18" i="14"/>
  <c r="E71" i="9"/>
  <c r="F66" i="9"/>
  <c r="F50" i="9"/>
  <c r="D40" i="9" l="1"/>
  <c r="D39" i="9"/>
  <c r="D64" i="9" s="1"/>
  <c r="E39" i="9"/>
  <c r="D49" i="9" s="1"/>
  <c r="F39" i="9"/>
  <c r="F64" i="9" s="1"/>
  <c r="C39" i="9"/>
  <c r="C64" i="9" s="1"/>
  <c r="E40" i="9" l="1"/>
  <c r="F57" i="9" s="1"/>
  <c r="C49" i="9"/>
  <c r="F49" i="9"/>
  <c r="B30" i="15"/>
  <c r="C31" i="12"/>
  <c r="C26" i="9"/>
  <c r="C32" i="12" l="1"/>
  <c r="C34" i="12" s="1"/>
  <c r="D53" i="9"/>
  <c r="F58" i="9" s="1"/>
  <c r="F59" i="9" s="1"/>
  <c r="F60" i="9" s="1"/>
  <c r="C13" i="12"/>
  <c r="D33" i="9"/>
  <c r="E33" i="9" s="1"/>
  <c r="H8" i="13" l="1"/>
  <c r="C8" i="13"/>
  <c r="B5" i="9"/>
  <c r="B5" i="14" s="1"/>
  <c r="C15" i="12"/>
  <c r="C14" i="12"/>
  <c r="C10" i="12"/>
  <c r="C12" i="12" s="1"/>
  <c r="E26" i="15"/>
  <c r="E17" i="15"/>
  <c r="E16" i="15"/>
  <c r="E24" i="15"/>
  <c r="E23" i="15"/>
  <c r="E22" i="15"/>
  <c r="E21" i="15"/>
  <c r="E20" i="15"/>
  <c r="E19" i="15"/>
  <c r="E18" i="15"/>
  <c r="B32" i="15"/>
  <c r="B31" i="15"/>
  <c r="B29" i="15"/>
  <c r="B28" i="15"/>
  <c r="B26" i="15"/>
  <c r="B25" i="15"/>
  <c r="B24" i="15"/>
  <c r="B23" i="15"/>
  <c r="B22" i="15"/>
  <c r="B21" i="15"/>
  <c r="B20" i="15"/>
  <c r="B19" i="15"/>
  <c r="B18" i="15"/>
  <c r="B16" i="15"/>
  <c r="B15" i="15"/>
  <c r="C12" i="15"/>
  <c r="B5" i="12"/>
  <c r="G12" i="14"/>
  <c r="F20" i="14"/>
  <c r="E14" i="14"/>
  <c r="E70" i="9"/>
  <c r="F31" i="15" s="1"/>
  <c r="F32" i="15"/>
  <c r="C26" i="12"/>
  <c r="C23" i="12"/>
  <c r="C24" i="12" s="1"/>
  <c r="C25" i="12"/>
  <c r="C27" i="12" l="1"/>
  <c r="C28" i="12" s="1"/>
  <c r="E13" i="13"/>
  <c r="E14" i="13"/>
  <c r="E15" i="13"/>
  <c r="E16" i="13"/>
  <c r="E11" i="13"/>
  <c r="E12" i="13"/>
  <c r="J14" i="13"/>
  <c r="J15" i="13"/>
  <c r="J11" i="13"/>
  <c r="J12" i="13"/>
  <c r="J13" i="13"/>
  <c r="C16" i="12"/>
  <c r="C17" i="12" s="1"/>
  <c r="C19" i="12" s="1"/>
  <c r="E36" i="15"/>
  <c r="E15" i="15"/>
  <c r="J16" i="13" l="1"/>
  <c r="E17" i="13"/>
  <c r="C18" i="12"/>
  <c r="E34" i="15"/>
  <c r="E33" i="15"/>
  <c r="E25" i="15"/>
  <c r="E69" i="9" l="1"/>
  <c r="E35" i="15"/>
  <c r="C20" i="12"/>
  <c r="C36" i="12" s="1"/>
  <c r="D66" i="9" l="1"/>
  <c r="E66" i="9" s="1"/>
  <c r="F28" i="15" s="1"/>
  <c r="F30" i="15"/>
  <c r="D67" i="9"/>
  <c r="E67" i="9" s="1"/>
  <c r="F29" i="15" s="1"/>
  <c r="C21" i="14"/>
  <c r="E21" i="14" s="1"/>
  <c r="C20" i="14"/>
  <c r="E20" i="14" s="1"/>
  <c r="C22" i="14"/>
  <c r="E22" i="14" s="1"/>
  <c r="E27" i="15"/>
  <c r="E38" i="15" s="1"/>
  <c r="C13" i="14"/>
  <c r="F13" i="14" s="1"/>
  <c r="C14" i="14"/>
  <c r="F14" i="14" s="1"/>
  <c r="C12" i="14"/>
  <c r="F12" i="14" s="1"/>
  <c r="F38" i="15" l="1"/>
  <c r="E39" i="15" s="1"/>
  <c r="G39"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Diana Cadavid</author>
    <author>Mónica Arias Londoño</author>
  </authors>
  <commentList>
    <comment ref="E11" authorId="0" shapeId="0" xr:uid="{F5166271-F2F5-46E4-A1E5-CE7A032CAD49}">
      <text>
        <r>
          <rPr>
            <sz val="9"/>
            <color indexed="81"/>
            <rFont val="Tahoma"/>
            <family val="2"/>
          </rPr>
          <t xml:space="preserve">Este salario sirve para liquidar los valores de prima, vacaciones y cesantías; se deben incluir todos los pagos laborales percibidos en el último mes. Si se trata de un salario variable o uno en el que se perciban horas extra o recargos, por favor editar manualmente las celdas con las "bases de liquidación" (D31 y D32) para prima de servicios y cesantías, atendiendo lo expuesto en cada uno de sus comentarios.
</t>
        </r>
      </text>
    </comment>
    <comment ref="E14" authorId="1" shapeId="0" xr:uid="{F767573B-4077-49F4-8B0A-94A474D47583}">
      <text>
        <r>
          <rPr>
            <sz val="9"/>
            <color indexed="81"/>
            <rFont val="Tahoma"/>
            <family val="2"/>
          </rPr>
          <t>Este dato debe coincidir con la fecha de finalización del contrato (ver celda E25). Si trabajó hasta el 30 de abril, entonces son 30 días laborados en el último mes de liquidación. También depende de la forma de pago de nómina: mensual o quincenal. En este caso asumimos que al trabajador no se le ha pagado la nómina del mes en que se retira, pues en la empresa se liquida mensuamente. De cualquier modo, esta celda puede ser modificada manualmente por el usuario.</t>
        </r>
      </text>
    </comment>
    <comment ref="E16" authorId="0" shapeId="0" xr:uid="{4D84ACFE-E876-412C-AF1C-3613C73D3155}">
      <text>
        <r>
          <rPr>
            <sz val="9"/>
            <color indexed="81"/>
            <rFont val="Tahoma"/>
            <family val="2"/>
          </rPr>
          <t>Elige una opción de la lista desplegable.</t>
        </r>
      </text>
    </comment>
    <comment ref="E17" authorId="0" shapeId="0" xr:uid="{3A925FBF-F400-4E90-AF53-C870E7D9E102}">
      <text>
        <r>
          <rPr>
            <sz val="9"/>
            <color indexed="81"/>
            <rFont val="Tahoma"/>
            <family val="2"/>
          </rPr>
          <t xml:space="preserve">Elige una opción de la lista desplegable. Ten en cuenta que, dependiendo del contrato que elijas, la pregunta ubicada en la celda </t>
        </r>
        <r>
          <rPr>
            <b/>
            <sz val="9"/>
            <color indexed="81"/>
            <rFont val="Tahoma"/>
            <family val="2"/>
          </rPr>
          <t>C26</t>
        </r>
        <r>
          <rPr>
            <sz val="9"/>
            <color indexed="81"/>
            <rFont val="Tahoma"/>
            <family val="2"/>
          </rPr>
          <t xml:space="preserve"> cambia y la fecha que ubiques corresponderá a este tipo de contrato. Dicho dato servirá como insumo de la liquidación de la indemnización por despido sin justa causa en caso de que haya lugar a ella.
</t>
        </r>
      </text>
    </comment>
    <comment ref="E18" authorId="0" shapeId="0" xr:uid="{E581904F-6C28-4383-AE8F-4CE103B42439}">
      <text>
        <r>
          <rPr>
            <sz val="9"/>
            <color indexed="81"/>
            <rFont val="Tahoma"/>
            <family val="2"/>
          </rPr>
          <t>Elige una opción de la lista desplegable teniendo en cuenta lo expuesto en el inciso segundo del artículo 114-1 del Estatuto Tributario. Selecciona "Sí" para quienes estén exonerados de aportes a Sena, ICBF y salud o "No" para quienes no lo estén.</t>
        </r>
      </text>
    </comment>
    <comment ref="E22" authorId="0" shapeId="0" xr:uid="{81CC544F-25E8-4E8F-A68B-2657C49DA641}">
      <text>
        <r>
          <rPr>
            <sz val="9"/>
            <color indexed="81"/>
            <rFont val="Tahoma"/>
            <family val="2"/>
          </rPr>
          <t>Esta fecha es requerida porque será la base inicial para calcular las cesantías e intereses a las cesantías, puesto que se presume que al 31 de diciembre del año anterior a esta fecha ya fueron liquidadas las cesantías para el fondo y ya fueron liquidados los intereses de cesantías para ser entregados a enero 31 de este año.</t>
        </r>
        <r>
          <rPr>
            <b/>
            <sz val="9"/>
            <color indexed="81"/>
            <rFont val="Tahoma"/>
            <family val="2"/>
          </rPr>
          <t xml:space="preserve">
</t>
        </r>
      </text>
    </comment>
    <comment ref="E23" authorId="0" shapeId="0" xr:uid="{4392D467-628E-47E3-8397-A402CC9D5DF8}">
      <text>
        <r>
          <rPr>
            <sz val="9"/>
            <color indexed="81"/>
            <rFont val="Tahoma"/>
            <family val="2"/>
          </rPr>
          <t xml:space="preserve">Por ejemplo, si el contrato inició el 16 de enero de 2024, entonces el 15 de enero de 2025, se cumplió un año laborado para que se puedan causar los 15 días de vacaciones. Siguiendo con este ejemplo, el 16 de enero de 2026 sería la nueva fecha de partida para el cálculo de las vacaciones.
</t>
        </r>
      </text>
    </comment>
    <comment ref="E24" authorId="0" shapeId="0" xr:uid="{42C3A05A-2F26-47E6-933F-74986CB33003}">
      <text>
        <r>
          <rPr>
            <sz val="9"/>
            <color indexed="81"/>
            <rFont val="Tahoma"/>
            <family val="2"/>
          </rPr>
          <t xml:space="preserve">Por ejemplo, 1 de julio, si se está liquidando la prima de servicios del segundo semestre o, por el contrario, 1 de enero, si se está liquidando la del primer semestre.
</t>
        </r>
      </text>
    </comment>
    <comment ref="E26" authorId="0" shapeId="0" xr:uid="{74218C81-0E10-47BA-AC4E-76E9F1CD50C0}">
      <text>
        <r>
          <rPr>
            <sz val="9"/>
            <color indexed="81"/>
            <rFont val="Tahoma"/>
            <family val="2"/>
          </rPr>
          <t xml:space="preserve">La pregunta que corresponde a esta fecha cambia según el tipo de contrato elegido. Ten en cuenta que debes revisar esta respuesta o responderla nuevamente cada vez que edites el tipo de contrato en la celda </t>
        </r>
        <r>
          <rPr>
            <b/>
            <sz val="9"/>
            <color indexed="81"/>
            <rFont val="Tahoma"/>
            <family val="2"/>
          </rPr>
          <t>E17</t>
        </r>
        <r>
          <rPr>
            <sz val="9"/>
            <color indexed="81"/>
            <rFont val="Tahoma"/>
            <family val="2"/>
          </rPr>
          <t>. Este dato será insumo para calcular la indemnización por despido sin justa causa en caso de que haya lugar a esta.
Recuerda que, la fecha de finalización del contrato a término fijo, según lo pactado inicialmente, siempre debe ser posterior a la fecha de finalización real del mismo.</t>
        </r>
      </text>
    </comment>
    <comment ref="D31" authorId="0" shapeId="0" xr:uid="{5E262A79-758C-4D41-B3D1-3DF5DC6382A2}">
      <text>
        <r>
          <rPr>
            <sz val="9"/>
            <color indexed="81"/>
            <rFont val="Tahoma"/>
            <family val="2"/>
          </rPr>
          <t xml:space="preserve">Si se trata de un salario variable, se debe verificar que esta celda contenga el promedio salarial de los </t>
        </r>
        <r>
          <rPr>
            <b/>
            <sz val="9"/>
            <color indexed="10"/>
            <rFont val="Tahoma"/>
            <family val="2"/>
          </rPr>
          <t>seis (6) meses respectivos (o lapso que corresponda) a la liquidación de la prima de servicios</t>
        </r>
        <r>
          <rPr>
            <sz val="9"/>
            <color indexed="81"/>
            <rFont val="Tahoma"/>
            <family val="2"/>
          </rPr>
          <t xml:space="preserve"> y reemplazar este valor por el que corresponda a dicho promedio salarial. Se debe tener en cuenta incluir en el cálculo el valor percibido por auxilio de transporte (si hay lugar a este). 
Ver nuestros liquidadores: 
</t>
        </r>
        <r>
          <rPr>
            <i/>
            <sz val="9"/>
            <color indexed="57"/>
            <rFont val="Tahoma"/>
            <family val="2"/>
          </rPr>
          <t>https://actualicese.com/liquidador-automatizado-de-la-prima-de-servicios-con-comprobante-de-pago/
https://actualicese.com/12-liquidadores-para-calcular-la-prima-de-servicios-semestral/</t>
        </r>
        <r>
          <rPr>
            <sz val="9"/>
            <color indexed="17"/>
            <rFont val="Tahoma"/>
            <family val="2"/>
          </rPr>
          <t xml:space="preserve">
</t>
        </r>
      </text>
    </comment>
    <comment ref="D32" authorId="0" shapeId="0" xr:uid="{B92978CD-62B4-438A-84FC-28ABF13B8581}">
      <text>
        <r>
          <rPr>
            <sz val="9"/>
            <color indexed="81"/>
            <rFont val="Tahoma"/>
            <family val="2"/>
          </rPr>
          <t xml:space="preserve">Si se trata de un salario variable, se debe verificar que esta celda contenga el </t>
        </r>
        <r>
          <rPr>
            <b/>
            <sz val="9"/>
            <color indexed="10"/>
            <rFont val="Tahoma"/>
            <family val="2"/>
          </rPr>
          <t xml:space="preserve">promedio salarial de lo devengado en el último año de servicios (o lapso que corresponda) </t>
        </r>
        <r>
          <rPr>
            <sz val="9"/>
            <color indexed="81"/>
            <rFont val="Tahoma"/>
            <family val="2"/>
          </rPr>
          <t xml:space="preserve">y reemplazar este valor por dicho promedio salarial. Es importante tener en cuenta incluir en el cálculo el valor percibido por auxilio de transporte (si hay lugar a este). 
Ver nuestros liquidadores:
</t>
        </r>
        <r>
          <rPr>
            <i/>
            <sz val="9"/>
            <color indexed="57"/>
            <rFont val="Tahoma"/>
            <family val="2"/>
          </rPr>
          <t>https://actualicese.com/liquidador-de-prestaciones-sociales/
https://actualicese.com/liquidador-de-cesantias-en-excel-aplicado-a-11-casos-practicos/</t>
        </r>
      </text>
    </comment>
    <comment ref="D36" authorId="0" shapeId="0" xr:uid="{9BD91111-1DF2-4EFA-8416-D2F0F2408B48}">
      <text>
        <r>
          <rPr>
            <sz val="9"/>
            <color indexed="81"/>
            <rFont val="Tahoma"/>
            <family val="2"/>
          </rPr>
          <t xml:space="preserve">Si se trata de un salario variable, se debe verificar que este celda contenga el promedio salarial de lo devengado en el último año de servicios y reemplazar este valor por el que corresponda a dicho promedio salarial. Es importante tener en cuenta </t>
        </r>
        <r>
          <rPr>
            <b/>
            <sz val="9"/>
            <color indexed="10"/>
            <rFont val="Tahoma"/>
            <family val="2"/>
          </rPr>
          <t>no incluir en el cálculo el valor percibido por auxilio de transporte</t>
        </r>
        <r>
          <rPr>
            <sz val="9"/>
            <color indexed="81"/>
            <rFont val="Tahoma"/>
            <family val="2"/>
          </rPr>
          <t xml:space="preserve">. 
Adicionalmente, hay unos valores que consituyen salario que deben ser exluidos de la liquidación de este concepto. Te invitamos a revisar nuestro editorial y luego a corroborar el valor aquí expuesto: </t>
        </r>
        <r>
          <rPr>
            <i/>
            <sz val="9"/>
            <color indexed="17"/>
            <rFont val="Tahoma"/>
            <family val="2"/>
          </rPr>
          <t xml:space="preserve">https://actualicese.com/vacaciones-valores-que-se-excluyen-para-su-liquidacion/ </t>
        </r>
        <r>
          <rPr>
            <sz val="9"/>
            <color indexed="81"/>
            <rFont val="Tahoma"/>
            <family val="2"/>
          </rPr>
          <t>Ver nuestro liquidador:</t>
        </r>
        <r>
          <rPr>
            <sz val="9"/>
            <color indexed="17"/>
            <rFont val="Tahoma"/>
            <family val="2"/>
          </rPr>
          <t xml:space="preserve"> https://actualicese.com/liquidador-de-vacaciones-en-excel-aplicado-a-10-casos-practicos/</t>
        </r>
      </text>
    </comment>
    <comment ref="E41" authorId="0" shapeId="0" xr:uid="{C8FCB029-8BAB-434B-9A31-891D8D8F30C5}">
      <text>
        <r>
          <rPr>
            <sz val="9"/>
            <color indexed="81"/>
            <rFont val="Tahoma"/>
            <family val="2"/>
          </rPr>
          <t xml:space="preserve">Diligencia los valores a pagar en las celdas resaltadas en amarillo.
</t>
        </r>
      </text>
    </comment>
    <comment ref="D50" authorId="0" shapeId="0" xr:uid="{03892BEB-88D4-45E5-8D0A-A94FB8763FA1}">
      <text>
        <r>
          <rPr>
            <sz val="9"/>
            <color indexed="81"/>
            <rFont val="Tahoma"/>
            <family val="2"/>
          </rPr>
          <t xml:space="preserve">Diligencia los valores a pagar en las celdas resaltadas en amarillo.
</t>
        </r>
      </text>
    </comment>
    <comment ref="D53" authorId="0" shapeId="0" xr:uid="{39966E09-6425-4000-846E-3636D24E74EC}">
      <text>
        <r>
          <rPr>
            <sz val="9"/>
            <color indexed="81"/>
            <rFont val="Tahoma"/>
            <family val="2"/>
          </rPr>
          <t>Revisa que el valor de auxilio de transporte utilizado en esta fórmula corresponda al valor vigente al momento de liquidar el contrato.
El auxilio de transporte en Colombia se paga a aquellos trabajadores que devenguen hasta 2 smmlv. Si el trabajador recibe en el mes más de 2 smmlv, no es obligatorio el pago del auxilio de transporte (esto no incluye las horas extras, pues el haber trabajado tiempo suplementario no afecta el derecho al auxilio de transporte).
Recuerde que, el empleador queda eximido de otorgar este auxilio en los siguientes eventos:
-Cuando el empleador suministra el transporte.
-Cuando el trabajador vive en el sitio de trabajo.
-Cuando el trabajador reside tan cerca de la empresa que no necesita utilizar ni pagar por un servicio de transporte (1 kilómetro).</t>
        </r>
      </text>
    </comment>
    <comment ref="C59" authorId="0" shapeId="0" xr:uid="{37DEADBF-F528-449E-A8D2-27EF301D2366}">
      <text>
        <r>
          <rPr>
            <sz val="9"/>
            <color indexed="81"/>
            <rFont val="Tahoma"/>
            <family val="2"/>
          </rPr>
          <t xml:space="preserve">Cuando se quieren pactar pagos no constitutivos de salario, estos no pueden ser superiores al 40 % de lo que recibe el trabajador en dicho período (artículo 30 de la Ley 1393 de 2013). Es decir que, si el trabajador devenga $1.000.000 y se le paga como bonificación no salarial otro millón, se está excediendo el límite del 40%; pues en ese caso el límite máximo de pago no salarial sería de $800.000.
Ver </t>
        </r>
        <r>
          <rPr>
            <i/>
            <sz val="9"/>
            <color indexed="57"/>
            <rFont val="Tahoma"/>
            <family val="2"/>
          </rPr>
          <t xml:space="preserve">https://actualicese.com/archivo/componente-no-constitutivo-de-salario-y-su-efecto-en-la-cotizacion-a-seguridad-social/
</t>
        </r>
        <r>
          <rPr>
            <b/>
            <sz val="9"/>
            <color indexed="81"/>
            <rFont val="Tahoma"/>
            <family val="2"/>
          </rPr>
          <t xml:space="preserve">Nota: </t>
        </r>
        <r>
          <rPr>
            <sz val="9"/>
            <color indexed="81"/>
            <rFont val="Tahoma"/>
            <family val="2"/>
          </rPr>
          <t>esta celda ya se encuentra formulada bajo dichos parámetros.</t>
        </r>
      </text>
    </comment>
    <comment ref="C67" authorId="0" shapeId="0" xr:uid="{3EBCCC1E-5F1B-4960-B157-888E15D3FCEF}">
      <text>
        <r>
          <rPr>
            <sz val="9"/>
            <color indexed="81"/>
            <rFont val="Tahoma"/>
            <family val="2"/>
          </rPr>
          <t xml:space="preserve">Tenga en cuenta que la Sala Laboral de la Corte Suprema de Justicia, a través de la Sentencia SL138 de 2024, realizó una nueva interpretación del parágrafo 2 del artículo 33 de la Ley 100 de 1993. En esta interpretación determinó que para calcular el número de semanas cotizadas para la pensión de un ciudadano se deben considerar los días reales del calendario. Este cambio es significativo, ya que asegura que en el cálculo de las semanas cotizadas para la pensión se tomen en cuenta todos los días laborados y cotizados. Esto implica que el mes ya no se considera con 30 días ni el año con 360 días, sino con los días efectivamente trabajados. Cada día cotizado se suma para luego ser dividido por siete, lo que arroja el número de semanas de cotización a tener en cuenta.
</t>
        </r>
        <r>
          <rPr>
            <b/>
            <sz val="9"/>
            <color indexed="81"/>
            <rFont val="Tahoma"/>
            <family val="2"/>
          </rPr>
          <t xml:space="preserve">Nota: </t>
        </r>
        <r>
          <rPr>
            <sz val="9"/>
            <color indexed="81"/>
            <rFont val="Tahoma"/>
            <family val="2"/>
          </rPr>
          <t>para este ejercicio práctico hemos tomado como base para la liquidación del aporte a pensión los 30 días. Dicha cifra podrá ser modificada manualmente por el usuario de este formato, en caso tal de que así lo requiera.</t>
        </r>
      </text>
    </comment>
    <comment ref="C68" authorId="1" shapeId="0" xr:uid="{A507844E-CBAC-441D-BE3A-644737BBA389}">
      <text>
        <r>
          <rPr>
            <b/>
            <sz val="9"/>
            <color indexed="81"/>
            <rFont val="Tahoma"/>
            <family val="2"/>
          </rPr>
          <t>¡Recuerda!</t>
        </r>
        <r>
          <rPr>
            <sz val="9"/>
            <color indexed="81"/>
            <rFont val="Tahoma"/>
            <family val="2"/>
          </rPr>
          <t xml:space="preserve"> El 17 de junio de 2025 la Corte Constitucional decidió suspender la entrada en vigencia de la reforma pensional que estaba propuesta para el 1 de julio de 2025. 
Por lo tanto, a la fecha, está vigente únicamente la tabla del FSP bajo la Ley 100 de 1993.
Revisa nuestros boletines diarios para mantenerte siempre bien informado. </t>
        </r>
        <r>
          <rPr>
            <i/>
            <sz val="9"/>
            <color indexed="57"/>
            <rFont val="Tahoma"/>
            <family val="2"/>
          </rPr>
          <t>https://actualicese.com/corte-constitucional-suspende-entrada-en-vigencia-de-la-reforma-pensional/</t>
        </r>
      </text>
    </comment>
    <comment ref="E68" authorId="0" shapeId="0" xr:uid="{773A8ADC-F01F-4603-A91E-55EBF87CE5AE}">
      <text>
        <r>
          <rPr>
            <sz val="9"/>
            <color indexed="81"/>
            <rFont val="Tahoma"/>
            <family val="2"/>
          </rPr>
          <t>Por favor seleccione una opción de la lista desplegable: Ley 100 de 1993 o Ley 2381 de 2024.</t>
        </r>
        <r>
          <rPr>
            <b/>
            <sz val="9"/>
            <color indexed="81"/>
            <rFont val="Tahoma"/>
            <family val="2"/>
          </rPr>
          <t xml:space="preserve">
¿A quienes no les aplica la reforma pensional (Ley 2381 de 2024)?: </t>
        </r>
        <r>
          <rPr>
            <sz val="9"/>
            <color indexed="81"/>
            <rFont val="Tahoma"/>
            <family val="2"/>
          </rPr>
          <t xml:space="preserve">los que hayan acumulado 750 semanas cotizadas o más (mujeres) y 900 semanas o más (hombres) a la fecha de entrada en vigor de la reforma pensional que actualmente se encuentra suspendida por la Corte Constitucional. Ver nuestra Cartilla Práctica:
</t>
        </r>
        <r>
          <rPr>
            <i/>
            <sz val="9"/>
            <color indexed="57"/>
            <rFont val="Tahoma"/>
            <family val="2"/>
          </rPr>
          <t>https://actualicese.com/cartilla-practica-sistema-de-proteccion-para-la-vejez-invalidez-y-muerte-de-origen-comun-ley-2381-de-2024/</t>
        </r>
      </text>
    </comment>
    <comment ref="D70" authorId="0" shapeId="0" xr:uid="{D0404EEC-C190-4C30-8E10-C2646DA96B1D}">
      <text>
        <r>
          <rPr>
            <sz val="9"/>
            <color indexed="81"/>
            <rFont val="Tahoma"/>
            <family val="2"/>
          </rPr>
          <t xml:space="preserve">Diligencia los valores a deducir en las celdas resaltadas en amarillo.
Para el caso de retención en la fuente, te recomendamos:
</t>
        </r>
        <r>
          <rPr>
            <i/>
            <sz val="9"/>
            <color indexed="57"/>
            <rFont val="Tahoma"/>
            <family val="2"/>
          </rPr>
          <t>https://actualicese.com/formatos-y-condiciones-para-retencion-en-la-fuente-bajo-procedimientos-1-y-2-en-el-ano-gravable-2026/</t>
        </r>
        <r>
          <rPr>
            <b/>
            <i/>
            <sz val="9"/>
            <color indexed="81"/>
            <rFont val="Tahoma"/>
            <family val="2"/>
          </rPr>
          <t xml:space="preserve">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Diana Cadavid</author>
  </authors>
  <commentList>
    <comment ref="F12" authorId="0" shapeId="0" xr:uid="{017CB096-3E3E-4EF4-8A7B-64EDA2D8F9E2}">
      <text>
        <r>
          <rPr>
            <sz val="9"/>
            <color indexed="81"/>
            <rFont val="Tahoma"/>
            <family val="2"/>
          </rPr>
          <t>Recuerde que los valores aquí liquidados tienen en cuenta la respuesta ubicada en la celda</t>
        </r>
        <r>
          <rPr>
            <b/>
            <sz val="9"/>
            <color indexed="81"/>
            <rFont val="Tahoma"/>
            <family val="2"/>
          </rPr>
          <t xml:space="preserve"> E18</t>
        </r>
        <r>
          <rPr>
            <sz val="9"/>
            <color indexed="81"/>
            <rFont val="Tahoma"/>
            <family val="2"/>
          </rPr>
          <t xml:space="preserve"> de la hoja "Liquidación al terminar contrato", de acuerdo con lo expuesto en el artículo 114-1 del Estatuto Tributario, siendo "Sí" para quienes estén exonerados de aportes a salud o "No" para quienes no lo estén.</t>
        </r>
      </text>
    </comment>
    <comment ref="B13" authorId="0" shapeId="0" xr:uid="{1422E98D-8FD5-4707-8AD2-366139F9C533}">
      <text>
        <r>
          <rPr>
            <sz val="9"/>
            <color indexed="81"/>
            <rFont val="Tahoma"/>
            <family val="2"/>
          </rPr>
          <t xml:space="preserve">Tenga en cuenta que la Sala Laboral de la Corte Suprema de Justicia, a través de la Sentencia SL138 de 2024, realizó una nueva interpretación del parágrafo 2 del artículo 33 de la Ley 100 de 1993. En esta interpretación determinó que para calcular el número de semanas cotizadas para la pensión de un ciudadano se deben considerar los días reales del calendario. Este cambio es significativo, ya que asegura que en el cálculo de las semanas cotizadas para la pensión se tomen en cuenta todos los días laborados y cotizados. Esto implica que el mes ya no se considera con 30 días ni el año con 360 días, sino con los días efectivamente trabajados. Cada día cotizado se suma para luego ser dividido por siete, lo que arroja el número de semanas de cotización a tener en cuenta.
</t>
        </r>
        <r>
          <rPr>
            <b/>
            <sz val="9"/>
            <color indexed="81"/>
            <rFont val="Tahoma"/>
            <family val="2"/>
          </rPr>
          <t xml:space="preserve">Nota: </t>
        </r>
        <r>
          <rPr>
            <sz val="9"/>
            <color indexed="81"/>
            <rFont val="Tahoma"/>
            <family val="2"/>
          </rPr>
          <t>para este ejercicio práctico hemos tomado como base para la liquidación del aporte a pensión los 30 días. Dicha cifra podrá ser modificada manualmente por el usuario de este formato, en caso tal de que así lo requiera.</t>
        </r>
      </text>
    </comment>
    <comment ref="D14" authorId="0" shapeId="0" xr:uid="{56FBFCEC-6243-4D10-B179-5BFAC17F934B}">
      <text>
        <r>
          <rPr>
            <sz val="9"/>
            <color indexed="81"/>
            <rFont val="Tahoma"/>
            <family val="2"/>
          </rPr>
          <t>Elige una opción de la lista desplegable.</t>
        </r>
      </text>
    </comment>
    <comment ref="B17" authorId="0" shapeId="0" xr:uid="{EDC69D5F-FCB9-4903-9BCB-B75E5CC62037}">
      <text>
        <r>
          <rPr>
            <sz val="9"/>
            <color indexed="81"/>
            <rFont val="Tahoma"/>
            <family val="2"/>
          </rPr>
          <t xml:space="preserve">Los valores aquí liquidados tienen en cuenta la respuesta ubicada en la celda </t>
        </r>
        <r>
          <rPr>
            <b/>
            <sz val="9"/>
            <color indexed="81"/>
            <rFont val="Tahoma"/>
            <family val="2"/>
          </rPr>
          <t>E18</t>
        </r>
        <r>
          <rPr>
            <sz val="9"/>
            <color indexed="81"/>
            <rFont val="Tahoma"/>
            <family val="2"/>
          </rPr>
          <t xml:space="preserve"> de la hoja "Liquidación al terminar contrato", de acuerdo con lo expuesto en el artículo 114-1 del Estatuto Tributario, siendo "Sí" para quienes estén exonerados de aportes a Sena e ICBF o "No" para quienes no lo estén.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Mónica Arias Londoño</author>
    <author>Diana Cadavid</author>
  </authors>
  <commentList>
    <comment ref="C11" authorId="0" shapeId="0" xr:uid="{C975B86D-85F9-4EA0-85CF-A8C81899205D}">
      <text>
        <r>
          <rPr>
            <sz val="9"/>
            <color indexed="81"/>
            <rFont val="Tahoma"/>
            <family val="2"/>
          </rPr>
          <t>Para efectos prácticos, hemos creado las celdas C11 y E11 que contienen el "último salario devengado" en la hoja denominada "Liquidación al terminar el contrato". La celda E11 debe ser diligenciada de manera manual por el usuario con el fin de que allí se exponga el valor del último salario pagado al trabajador que se va a liquidar. Recuerde que, si el empleado devengaba un salario variable, usted deberá incluir los otros pagos que sí le constituyeron salario.</t>
        </r>
      </text>
    </comment>
    <comment ref="C14" authorId="1" shapeId="0" xr:uid="{A856FF39-2959-4398-9F94-B081E1C0D759}">
      <text>
        <r>
          <rPr>
            <sz val="9"/>
            <color indexed="81"/>
            <rFont val="Tahoma"/>
            <family val="2"/>
          </rPr>
          <t>Ten en cuenta que, dependiendo del contrato que elegiste (</t>
        </r>
        <r>
          <rPr>
            <b/>
            <sz val="9"/>
            <color indexed="81"/>
            <rFont val="Tahoma"/>
            <family val="2"/>
          </rPr>
          <t>E17</t>
        </r>
        <r>
          <rPr>
            <sz val="9"/>
            <color indexed="81"/>
            <rFont val="Tahoma"/>
            <family val="2"/>
          </rPr>
          <t xml:space="preserve">) en la hoja "Liquidación al terminar el contrato", la pregunta ubicada en la celda </t>
        </r>
        <r>
          <rPr>
            <b/>
            <sz val="9"/>
            <color indexed="81"/>
            <rFont val="Tahoma"/>
            <family val="2"/>
          </rPr>
          <t>C26</t>
        </r>
        <r>
          <rPr>
            <sz val="9"/>
            <color indexed="81"/>
            <rFont val="Tahoma"/>
            <family val="2"/>
          </rPr>
          <t xml:space="preserve"> de dicho anexo cambia y la fecha que ubiques será insumo de la liquidación de la indemnización por despido sin justa causa (en caso de que haya lugar a ella). 
Revisa que hayas respondido esa pregunta en la celda mencionada de forma correcta, siendo que la fecha de inicio de contrato siempre debe ser anterior a la fecha de finalización del mismo.</t>
        </r>
      </text>
    </comment>
    <comment ref="C26" authorId="1" shapeId="0" xr:uid="{AE38C068-0FF4-4AF8-BA6F-BAE436F2E994}">
      <text>
        <r>
          <rPr>
            <sz val="9"/>
            <color indexed="81"/>
            <rFont val="Tahoma"/>
            <family val="2"/>
          </rPr>
          <t xml:space="preserve">Aquí aplica el mismo comentario emergente descrito arriba en la celda </t>
        </r>
        <r>
          <rPr>
            <b/>
            <sz val="9"/>
            <color indexed="81"/>
            <rFont val="Tahoma"/>
            <family val="2"/>
          </rPr>
          <t>C14</t>
        </r>
        <r>
          <rPr>
            <sz val="9"/>
            <color indexed="81"/>
            <rFont val="Tahoma"/>
            <family val="2"/>
          </rPr>
          <t xml:space="preserve"> de esta hoja de cálculo.</t>
        </r>
      </text>
    </comment>
    <comment ref="C33" authorId="1" shapeId="0" xr:uid="{52EE42C7-64A5-4C17-BC9B-9720283C6535}">
      <text>
        <r>
          <rPr>
            <sz val="9"/>
            <color indexed="81"/>
            <rFont val="Tahoma"/>
            <family val="2"/>
          </rPr>
          <t xml:space="preserve">Como es difícil definir cuándo se habría terminado la labor, la norma menciona que, como mínimo, la indemnización deberá ser de 15 días de salario. Por tanto, </t>
        </r>
        <r>
          <rPr>
            <b/>
            <sz val="9"/>
            <color indexed="81"/>
            <rFont val="Tahoma"/>
            <family val="2"/>
          </rPr>
          <t>ubicamos el cálculo con dicha primicia (15 días).</t>
        </r>
        <r>
          <rPr>
            <sz val="9"/>
            <color indexed="81"/>
            <rFont val="Tahoma"/>
            <family val="2"/>
          </rPr>
          <t xml:space="preserve"> Queda a consideración cambiar en esta fórmula el número de días a liquidar si se desea pagar un monto mayor.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Diana Cadavid</author>
  </authors>
  <commentList>
    <comment ref="E39" authorId="0" shapeId="0" xr:uid="{4D16A2C4-44DE-49F0-BA5C-8711E57E23D8}">
      <text>
        <r>
          <rPr>
            <b/>
            <sz val="9"/>
            <color indexed="81"/>
            <rFont val="Tahoma"/>
            <family val="2"/>
          </rPr>
          <t xml:space="preserve">Actualícese:
</t>
        </r>
        <r>
          <rPr>
            <sz val="9"/>
            <color indexed="81"/>
            <rFont val="Tahoma"/>
            <family val="2"/>
          </rPr>
          <t xml:space="preserve">Valor que recibirá finalmente el empleado por concepto de liquidación, incluyendo los valores percibidos por los días laborados, horas extras, recargos, etc., e indemnización si hubo lugar a esta.
</t>
        </r>
      </text>
    </comment>
  </commentList>
</comments>
</file>

<file path=xl/sharedStrings.xml><?xml version="1.0" encoding="utf-8"?>
<sst xmlns="http://schemas.openxmlformats.org/spreadsheetml/2006/main" count="185" uniqueCount="151">
  <si>
    <t>Concepto</t>
  </si>
  <si>
    <t>Prima de servicios</t>
  </si>
  <si>
    <t>Base de liquidación</t>
  </si>
  <si>
    <t xml:space="preserve">Cesantías </t>
  </si>
  <si>
    <t xml:space="preserve">Intereses a las cesantías </t>
  </si>
  <si>
    <t xml:space="preserve">Vacaciones </t>
  </si>
  <si>
    <t>Fecha de inicio del período que será la base para el cálculo de las vacaciones:</t>
  </si>
  <si>
    <t>Días liquidados</t>
  </si>
  <si>
    <t>¿Hay lugar a indemnización para el empleado por finalización del contrato sin justa causa?</t>
  </si>
  <si>
    <t>Sí</t>
  </si>
  <si>
    <t>No</t>
  </si>
  <si>
    <t>Elige el tipo de contrato</t>
  </si>
  <si>
    <t>Indefinido</t>
  </si>
  <si>
    <t>Fijo</t>
  </si>
  <si>
    <t>Salario días laborados</t>
  </si>
  <si>
    <t>Prestaciones sociales</t>
  </si>
  <si>
    <t>¿Salario mayor a 10 smmlv?</t>
  </si>
  <si>
    <t>Valor día de salario:</t>
  </si>
  <si>
    <t>Fecha de inicio de contrato:</t>
  </si>
  <si>
    <t>Fecha de finalización de contrato:</t>
  </si>
  <si>
    <t>Base años siguientes:</t>
  </si>
  <si>
    <t>Cálculo años siguientes:</t>
  </si>
  <si>
    <t>Fechas requeridas en los cálculos</t>
  </si>
  <si>
    <t>Fecha de terminación de contrato sin justa causa:</t>
  </si>
  <si>
    <t>Fecha de finalización de contrato según lo pactado inicialmente:</t>
  </si>
  <si>
    <t>Indemnización por despido sin justa causa en contrato indefinido</t>
  </si>
  <si>
    <t>Obra o labor</t>
  </si>
  <si>
    <t>Indemnización por despido sin justa causa en contrato fijo</t>
  </si>
  <si>
    <t>SMMLV</t>
  </si>
  <si>
    <t>Porcentaje</t>
  </si>
  <si>
    <t>Mayor o igual a 4 y menor de 16</t>
  </si>
  <si>
    <t>Mayor o igual a 16 y hasta 17</t>
  </si>
  <si>
    <t>Mayor a 17 y hasta 18</t>
  </si>
  <si>
    <t>Mayor a 18 y hasta 19</t>
  </si>
  <si>
    <t>Mayor a 19 y hasta 20</t>
  </si>
  <si>
    <t>Mayor a 20 y en adelante</t>
  </si>
  <si>
    <t>Comisiones</t>
  </si>
  <si>
    <t>Bonificaciones salariales</t>
  </si>
  <si>
    <t>Viáticos permanentes (manutención y alojamiento)</t>
  </si>
  <si>
    <t>Otros pagos que constituyen salario</t>
  </si>
  <si>
    <t>IBC</t>
  </si>
  <si>
    <t>Simulador en Excel para realizar la liquidación de contratos de trabajo</t>
  </si>
  <si>
    <t>Bonificaciones ocasionales y por mera liberalidad</t>
  </si>
  <si>
    <t>Primas, beneficios o auxilios extralegales</t>
  </si>
  <si>
    <t>Viáticos (medios de transporte o gastos de representación)</t>
  </si>
  <si>
    <t>Auxilio de transporte</t>
  </si>
  <si>
    <t>Otros pagos que no constituyen salario</t>
  </si>
  <si>
    <t>Datos iniciales requeridos</t>
  </si>
  <si>
    <t>Valores a pagar</t>
  </si>
  <si>
    <t xml:space="preserve">Deducciones </t>
  </si>
  <si>
    <t>Salud</t>
  </si>
  <si>
    <t>Pensión</t>
  </si>
  <si>
    <t xml:space="preserve">Retención en la fuente </t>
  </si>
  <si>
    <t>Sena</t>
  </si>
  <si>
    <t>ICBF</t>
  </si>
  <si>
    <t>Riesgo I</t>
  </si>
  <si>
    <t>Riesgo II</t>
  </si>
  <si>
    <t>Riesgo III</t>
  </si>
  <si>
    <t>Riesgo IV</t>
  </si>
  <si>
    <t>Riesgo V</t>
  </si>
  <si>
    <t>Caja de compensación</t>
  </si>
  <si>
    <t>Nivel de riesgo</t>
  </si>
  <si>
    <t>N/A</t>
  </si>
  <si>
    <t>SUBTOTAL</t>
  </si>
  <si>
    <t>NETO A PAGAR</t>
  </si>
  <si>
    <t>Pagos salariales</t>
  </si>
  <si>
    <t>Pagos no salariales</t>
  </si>
  <si>
    <t>Material relacionado</t>
  </si>
  <si>
    <t>[Liquidador] Simulador de sanción por no pagar la liquidación del contrato laboral</t>
  </si>
  <si>
    <t>Aportes y provisiones del empleador</t>
  </si>
  <si>
    <t>Liquidación al terminar el contrato laboral</t>
  </si>
  <si>
    <t>Indemnización cuando hay despido sin justa causa</t>
  </si>
  <si>
    <t>Días:</t>
  </si>
  <si>
    <t>Indemnización por despido sin justa causa</t>
  </si>
  <si>
    <t>Deducciones</t>
  </si>
  <si>
    <t>Vacaciones</t>
  </si>
  <si>
    <t>Último salario devengado por el empleado:</t>
  </si>
  <si>
    <t>Sueldo básico mensual:</t>
  </si>
  <si>
    <t>Recargos</t>
  </si>
  <si>
    <t>Horas extra</t>
  </si>
  <si>
    <t>Otros valores a deducir (préstamos a empleados, libranza, etc.).</t>
  </si>
  <si>
    <t>Cálculo primer año:</t>
  </si>
  <si>
    <t>Valor del salario mínimo:</t>
  </si>
  <si>
    <t>Fecha:</t>
  </si>
  <si>
    <t>Nombre del empleado:</t>
  </si>
  <si>
    <t>Firma de recibido:</t>
  </si>
  <si>
    <t>Fecha de recibido:</t>
  </si>
  <si>
    <t>Elaborado por:</t>
  </si>
  <si>
    <t>Esta tabla es base del anexo "Liquidación al terminar el contrato", para obtener el valor de los aportes al fondo de solidaridad pensional.</t>
  </si>
  <si>
    <r>
      <rPr>
        <b/>
        <sz val="12"/>
        <rFont val="Arial"/>
        <family val="2"/>
      </rPr>
      <t xml:space="preserve">Nota: </t>
    </r>
    <r>
      <rPr>
        <sz val="12"/>
        <rFont val="Arial"/>
        <family val="2"/>
      </rPr>
      <t>el diseño, los datos o comentarios bajo los cuales se elaboró este formato y cada una de sus hojas de cálculo se entregan a título de guía y hacen parte de la interpretación de Actualícese. Será el usuario quien deba estudiar las normas requeridas, preparar y emitir la información a la que haya lugar. Actualícese no se hace responsable de las interpretaciones, operaciones o información derivadas del uso de esta herramienta.</t>
    </r>
  </si>
  <si>
    <t>Valor del último salario:</t>
  </si>
  <si>
    <t>Revisado por:</t>
  </si>
  <si>
    <t>Seguridad social a cargo del empleador</t>
  </si>
  <si>
    <t>Liquidación de valores a pagar</t>
  </si>
  <si>
    <t>Parafiscales a cargo del empleador</t>
  </si>
  <si>
    <t>En este anexo se podrán conocer los valores asumidos por el empleador para la indemnización a la que haya lugar ante una liquidación de un contrato sin justa causa (ya sea a término indefinido, fjo o de obra o labor).</t>
  </si>
  <si>
    <t>[Formato] Liquidador y desprendible de nómina básico en Excel</t>
  </si>
  <si>
    <t>Liquidación (valores a pagar)</t>
  </si>
  <si>
    <t>Días a liquidar</t>
  </si>
  <si>
    <t>Fecha de inicio del año actual:</t>
  </si>
  <si>
    <t>Fecha de inicio del período para el cálculo de la prima de servicios:</t>
  </si>
  <si>
    <t>Días laborados en el mes de liquidación:</t>
  </si>
  <si>
    <t>Pagos que constituyen salario en los días laborados durante el mes de la liquidación</t>
  </si>
  <si>
    <t>Pagos que no constituyen salario en los días laborados durante el mes de la liquidación</t>
  </si>
  <si>
    <t>Liquidación (valores a deducir)</t>
  </si>
  <si>
    <t>TARIFA ARL</t>
  </si>
  <si>
    <r>
      <t>ARL</t>
    </r>
    <r>
      <rPr>
        <sz val="12"/>
        <color rgb="FFFF0000"/>
        <rFont val="Arial"/>
        <family val="2"/>
      </rPr>
      <t xml:space="preserve"> (ver nota)</t>
    </r>
  </si>
  <si>
    <r>
      <rPr>
        <sz val="12"/>
        <rFont val="Arial"/>
        <family val="2"/>
      </rPr>
      <t xml:space="preserve">El </t>
    </r>
    <r>
      <rPr>
        <u/>
        <sz val="12"/>
        <color theme="10"/>
        <rFont val="Arial"/>
        <family val="2"/>
      </rPr>
      <t>artículo 114-1 del ET</t>
    </r>
    <r>
      <rPr>
        <sz val="12"/>
        <rFont val="Arial"/>
        <family val="2"/>
      </rPr>
      <t xml:space="preserve"> adicionado por el artículo 65 de la Ley 1819 de 2016 indica que: </t>
    </r>
    <r>
      <rPr>
        <i/>
        <sz val="12"/>
        <rFont val="Arial"/>
        <family val="2"/>
      </rPr>
      <t>estarán exoneradas del pago de los aportes parafiscales a favor del Servicio Nacional del Aprendizaje (SENA), del Instituto Colombiano de Bienestar Familiar (ICBF) y las cotizaciones al Régimen Contributivo de Salud, las sociedades y personas jurídicas y asimiladas contribuyentes declarantes del impuesto sobre la renta y complementarios, correspondientes a los trabajadores que devenguen, individualmente considerados, menos de diez (10) salarios mínimos mensuales legales vigentes.</t>
    </r>
  </si>
  <si>
    <t>Total indemnización contrato indefinido:</t>
  </si>
  <si>
    <t>Total indemnización contrato fijo:</t>
  </si>
  <si>
    <t>Total indemnización contrato obra o labor:</t>
  </si>
  <si>
    <t>Indemnización por despido sin justa causa en contrato de obra o labor</t>
  </si>
  <si>
    <t>En este anexo se podrán conocer los valores finales a pagar al empleado por los conceptos mencionados en las anteriores hojas de cálculo. Para imprimir el resumen, hacer clic el botón de PDF.</t>
  </si>
  <si>
    <t>Liquidación al finalizar el contrato de trabajo</t>
  </si>
  <si>
    <t>Resumen de la liquidación del contrato de trabajo</t>
  </si>
  <si>
    <t>Identificación:</t>
  </si>
  <si>
    <t>Días del mes actual:</t>
  </si>
  <si>
    <r>
      <rPr>
        <sz val="12"/>
        <rFont val="Arial"/>
        <family val="2"/>
      </rPr>
      <t xml:space="preserve">• Las prestaciones sociales (prima de servicios, cesantías e intereses a las cesantías) y las vacaciones desde la última fecha de pago hasta el día de finalización del contrato.
• Los pagos que constituyen salario (correspondientes al último período laborado).
• Los pagos que no constituyen salario (correspondientes al último período laborado).
• Las deducciones que deben realizarse al empleado por concepto de aportes al sistema de seguridad social, </t>
    </r>
    <r>
      <rPr>
        <u/>
        <sz val="12"/>
        <color theme="10"/>
        <rFont val="Arial"/>
        <family val="2"/>
      </rPr>
      <t>retención en la fuente</t>
    </r>
    <r>
      <rPr>
        <sz val="12"/>
        <rFont val="Arial"/>
        <family val="2"/>
      </rPr>
      <t xml:space="preserve"> u otros valores a deducir (préstamos a empleados, libranza, etc.).
• Aportes del empleador por el último período laborado, tanto los que tienen que ver con el sistema de seguridad social como los parafiscales. </t>
    </r>
  </si>
  <si>
    <r>
      <rPr>
        <sz val="12"/>
        <rFont val="Arial"/>
        <family val="2"/>
      </rPr>
      <t xml:space="preserve">Teniendo en cuenta los valores que deben </t>
    </r>
    <r>
      <rPr>
        <u/>
        <sz val="12"/>
        <color theme="10"/>
        <rFont val="Arial"/>
        <family val="2"/>
      </rPr>
      <t>pagarse en la nómina</t>
    </r>
    <r>
      <rPr>
        <sz val="12"/>
        <rFont val="Arial"/>
        <family val="2"/>
      </rPr>
      <t>, compartimos este liquidador en Excel que incluye los siguientes anexos:</t>
    </r>
  </si>
  <si>
    <r>
      <rPr>
        <sz val="12"/>
        <rFont val="Arial"/>
        <family val="2"/>
      </rPr>
      <t xml:space="preserve">Además de definir si hay o no lugar a una </t>
    </r>
    <r>
      <rPr>
        <u/>
        <sz val="12"/>
        <color theme="10"/>
        <rFont val="Arial"/>
        <family val="2"/>
      </rPr>
      <t>indemnización</t>
    </r>
    <r>
      <rPr>
        <sz val="12"/>
        <rFont val="Arial"/>
        <family val="2"/>
      </rPr>
      <t>, entre los valores a liquidar se encuentran:</t>
    </r>
  </si>
  <si>
    <r>
      <rPr>
        <sz val="12"/>
        <rFont val="Arial"/>
        <family val="2"/>
      </rPr>
      <t xml:space="preserve">Cuando </t>
    </r>
    <r>
      <rPr>
        <u/>
        <sz val="12"/>
        <color theme="10"/>
        <rFont val="Arial"/>
        <family val="2"/>
      </rPr>
      <t>finaliza un contrato laboral</t>
    </r>
    <r>
      <rPr>
        <sz val="12"/>
        <rFont val="Arial"/>
        <family val="2"/>
      </rPr>
      <t>, el empleador debe definir, en primera medida, si terminó con o sin justa causa. Dependiendo de esto, se realizará la liquidación de los valores a la fecha de finalización del contrato con o sin indemnización por parte del empleador.</t>
    </r>
  </si>
  <si>
    <t>[Ruta de Actualización] ABC de la  nómina</t>
  </si>
  <si>
    <t>Se entiende por nómina aquellos pagos mensuales o quincenales que los empleadores deben realizar a los trabajadores vinculados mediante contrato de trabajo. A continuación, conoce los diferentes conceptos que comprenden la nómina y las fórmulas para realizar su correcta liquidación.</t>
  </si>
  <si>
    <t>Cuando un empleador incumple la obligación de pagar la liquidación al momento de finalizar la relación contractual, este se puede ver expuesto al pago de indemnizaciones. Conoce en este archivo de Excel qué expone la normativa al respecto y cómo se liquida esta sanción a título de indemnización moratoria.</t>
  </si>
  <si>
    <t>smmlv:</t>
  </si>
  <si>
    <r>
      <t>Auxilio de transporte</t>
    </r>
    <r>
      <rPr>
        <sz val="12"/>
        <rFont val="Arial"/>
        <family val="2"/>
      </rPr>
      <t>, para fines de liquidar prestaciones sociales:</t>
    </r>
  </si>
  <si>
    <t>Excedente de pagos que no constituyen salario y hacen parte del IBC (artículo 30 de la Ley 1393 de 2010)</t>
  </si>
  <si>
    <t>Seleccione el sistema de pensiones.</t>
  </si>
  <si>
    <t>Ley 100 de 1993</t>
  </si>
  <si>
    <t>Mayor o igual a 4 y menor de 7</t>
  </si>
  <si>
    <t>Mayor o igual a 7 y menor de 11</t>
  </si>
  <si>
    <t>Mayor o igual a 11 y menor de 19</t>
  </si>
  <si>
    <t>Mayor o igual a 19 y hasta 20</t>
  </si>
  <si>
    <t>Aporte</t>
  </si>
  <si>
    <t>Base</t>
  </si>
  <si>
    <t>Base en smmlv</t>
  </si>
  <si>
    <t>TOTAL</t>
  </si>
  <si>
    <t>Ley 2381 de 2024</t>
  </si>
  <si>
    <r>
      <rPr>
        <b/>
        <sz val="12"/>
        <color rgb="FFFF0000"/>
        <rFont val="Arial"/>
        <family val="2"/>
      </rPr>
      <t>Nota:</t>
    </r>
    <r>
      <rPr>
        <sz val="12"/>
        <rFont val="Arial"/>
        <family val="2"/>
      </rPr>
      <t xml:space="preserve"> el </t>
    </r>
    <r>
      <rPr>
        <u/>
        <sz val="12"/>
        <color theme="10"/>
        <rFont val="Arial"/>
        <family val="2"/>
      </rPr>
      <t>Decreto 768 de mayo 16 de 2022</t>
    </r>
    <r>
      <rPr>
        <sz val="12"/>
        <rFont val="Arial"/>
        <family val="2"/>
      </rPr>
      <t xml:space="preserve"> estableció una nueva tabla de clasificación de actividades económicas para el sistema general de riesgos laborales en su anexo técnico, la cual se debe utilizar para clasificar a qué nivel de riesgo corresponde el cargo del trabajador.</t>
    </r>
  </si>
  <si>
    <r>
      <rPr>
        <sz val="12"/>
        <rFont val="Arial"/>
        <family val="2"/>
      </rPr>
      <t xml:space="preserve">¿El empleador está exonerado del pago de Sena, ICBF y sistema de seguridad en salud conforme a lo expuesto en el </t>
    </r>
    <r>
      <rPr>
        <u/>
        <sz val="12"/>
        <color theme="10"/>
        <rFont val="Arial"/>
        <family val="2"/>
      </rPr>
      <t>artículo 114-1 del ET?</t>
    </r>
  </si>
  <si>
    <t>En este anexo se podrán revisar los valores que debe asumir el empleador para realizar los aportes al sistema de seguridad social y parafiscales. Se encuentra completamente automatizado.</t>
  </si>
  <si>
    <t>(Fecha de actualización: abril 16 de 2026)</t>
  </si>
  <si>
    <t>Con este liquidador y desprendible mensual de nómina básico elaborado en Excel podrás calcular los conceptos primordiales que deben pagarse al trabajador: salarios, seguridad social, aportes parafiscales, etc. Cuenta con la opción automatizada para imprimir y guardar el PDF del soporte de pago para el trabajador.</t>
  </si>
  <si>
    <t>Valores que se deben pagar en la liquidación de contratos de trabajo</t>
  </si>
  <si>
    <r>
      <rPr>
        <sz val="12"/>
        <rFont val="Arial"/>
        <family val="2"/>
      </rPr>
      <t>Con este simulador podrás realizar la </t>
    </r>
    <r>
      <rPr>
        <u/>
        <sz val="12"/>
        <color theme="10"/>
        <rFont val="Arial"/>
        <family val="2"/>
      </rPr>
      <t>liquidación de contratos de trabajo</t>
    </r>
    <r>
      <rPr>
        <sz val="12"/>
        <rFont val="Arial"/>
        <family val="2"/>
      </rPr>
      <t>. Incluye valores a pagar por salario, seguridad social, prestaciones sociales e indemnizaciones por despido sin justa causa.
Te invitamos a revisar todos los anexos, la normativa correspondiente y el material relacionado.</t>
    </r>
  </si>
  <si>
    <t>Anexos de este formato en Excel para realizar la liquidación de contratos de trabajo</t>
  </si>
  <si>
    <r>
      <rPr>
        <b/>
        <sz val="12"/>
        <rFont val="Arial"/>
        <family val="2"/>
      </rPr>
      <t>• Liquidación al terminar el contrato:</t>
    </r>
    <r>
      <rPr>
        <sz val="12"/>
        <rFont val="Arial"/>
        <family val="2"/>
      </rPr>
      <t xml:space="preserve"> conocerás los valores a favor del empleado (por concepto de vacaciones, </t>
    </r>
    <r>
      <rPr>
        <u/>
        <sz val="12"/>
        <color theme="10"/>
        <rFont val="Arial"/>
        <family val="2"/>
      </rPr>
      <t>prestaciones sociales</t>
    </r>
    <r>
      <rPr>
        <sz val="12"/>
        <rFont val="Arial"/>
        <family val="2"/>
      </rPr>
      <t xml:space="preserve"> y pagos salariales y no salariales devengados en el último período) y las deducciones a realizar (por aportes al sistema de seguridad social, retención en la fuente, préstamos a empleados, entre otros).
</t>
    </r>
    <r>
      <rPr>
        <b/>
        <sz val="12"/>
        <rFont val="Arial"/>
        <family val="2"/>
      </rPr>
      <t>• Aportes y provisiones del empleador:</t>
    </r>
    <r>
      <rPr>
        <sz val="12"/>
        <rFont val="Arial"/>
        <family val="2"/>
      </rPr>
      <t xml:space="preserve"> podrás revisar los valores que debe asumir el empleador para realizar los aportes al sistema de seguridad social y parafiscales.
</t>
    </r>
    <r>
      <rPr>
        <b/>
        <sz val="12"/>
        <rFont val="Arial"/>
        <family val="2"/>
      </rPr>
      <t xml:space="preserve">• Indemnización: </t>
    </r>
    <r>
      <rPr>
        <sz val="12"/>
        <rFont val="Arial"/>
        <family val="2"/>
      </rPr>
      <t xml:space="preserve">aprenderás los valores asumidos por el empleador para la indemnización a la que haya lugar ante una liquidación de contrato sin justa causa (ya sea a término fijo, indefinido u obra o labor).
</t>
    </r>
    <r>
      <rPr>
        <b/>
        <sz val="12"/>
        <rFont val="Arial"/>
        <family val="2"/>
      </rPr>
      <t>• Resumen:</t>
    </r>
    <r>
      <rPr>
        <sz val="12"/>
        <rFont val="Arial"/>
        <family val="2"/>
      </rPr>
      <t xml:space="preserve"> encontrarás los valores finales a pagar al empleado por los conceptos antes mencionados. Además, contiene el botón para generar automáticamente el PDF de la liquidación de contratos de trabajo.</t>
    </r>
  </si>
  <si>
    <r>
      <t>En este anexo se podrán conocer los valores a favor del empleado (por concepto de prestaciones sociales y pagos salariales y no salariales devengados en el último período) y las deducciones a realizar (por aportes al sistema de seguridad social, retención en la fuente, préstamos a empleados, entre otros). Además, es el anexo base en el que se suministrarán los datos y fechas iniciales para alimentar las operaciones de la herramienta.
Te recomendamos revisar el ejercicio expuesto con sus respectivos comentarios emergentes. Luego de esto, para operarla como un simulador, se sugiere cambiar solo la información de las celdas resaltadas en</t>
    </r>
    <r>
      <rPr>
        <sz val="12"/>
        <color rgb="FFCC9900"/>
        <rFont val="Arial"/>
        <family val="2"/>
      </rPr>
      <t xml:space="preserve"> </t>
    </r>
    <r>
      <rPr>
        <b/>
        <sz val="12"/>
        <color rgb="FFCC9900"/>
        <rFont val="Arial"/>
        <family val="2"/>
      </rPr>
      <t>amarillo</t>
    </r>
    <r>
      <rPr>
        <sz val="12"/>
        <rFont val="Arial"/>
        <family val="2"/>
      </rPr>
      <t>. Es importante no alterar las fórmulas sin antes estudiarlas y responder atentamente las preguntas haciendo uso de las opciones de las listas desplegables, con el fin de obtener un mayor beneficio del formato.</t>
    </r>
  </si>
  <si>
    <t>Tabla informativa del fondo de solidaridad pensional (Ley 2381 de 2024, suspendida por la Corte Constitucional)</t>
  </si>
  <si>
    <t>Tabla informativa del fondo de solidaridad pensional (Ley 100 de 1993, vigente a la fecha de elaboración de este archivo)</t>
  </si>
  <si>
    <r>
      <t>Aportes fondo de solidaridad</t>
    </r>
    <r>
      <rPr>
        <sz val="12"/>
        <rFont val="Arial"/>
        <family val="2"/>
      </rPr>
      <t xml:space="preserve"> (si al trabajador le aplica la reforma pensional, Ley 2381 de 2024, debes utilizar la nueva tabla para liquidar el FSP, una vez la Corte Constitucional emita su fallo frente a la entrada en vigor de dicha ley)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</si>
</sst>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1" formatCode="_-* #,##0_-;\-* #,##0_-;_-* &quot;-&quot;_-;_-@_-"/>
    <numFmt numFmtId="44" formatCode="_-&quot;$&quot;\ * #,##0.00_-;\-&quot;$&quot;\ * #,##0.00_-;_-&quot;$&quot;\ * &quot;-&quot;??_-;_-@_-"/>
    <numFmt numFmtId="164" formatCode="_-&quot;$&quot;* #,##0_-;\-&quot;$&quot;* #,##0_-;_-&quot;$&quot;* &quot;-&quot;_-;_-@_-"/>
    <numFmt numFmtId="165" formatCode="dd/mm/yyyy;@"/>
    <numFmt numFmtId="166" formatCode="0.0%"/>
    <numFmt numFmtId="167" formatCode="[$-240A]d&quot; de &quot;mmmm&quot; de &quot;yyyy;@"/>
    <numFmt numFmtId="168" formatCode="_ &quot;$&quot;\ * #,##0_ ;_ &quot;$&quot;\ * \-#,##0_ ;_ &quot;$&quot;\ * &quot;-&quot;??_ ;_ @_ "/>
    <numFmt numFmtId="169" formatCode="_-&quot;$&quot;\ * #,##0_-;\-&quot;$&quot;\ * #,##0_-;_-&quot;$&quot;\ * &quot;-&quot;??_-;_-@_-"/>
    <numFmt numFmtId="170" formatCode="0.000%"/>
  </numFmts>
  <fonts count="4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rgb="FF000000"/>
      <name val="Arial"/>
      <family val="2"/>
    </font>
    <font>
      <sz val="10"/>
      <color rgb="FF000000"/>
      <name val="Arial"/>
      <family val="2"/>
    </font>
    <font>
      <sz val="9"/>
      <color indexed="81"/>
      <name val="Tahoma"/>
      <family val="2"/>
    </font>
    <font>
      <b/>
      <sz val="9"/>
      <color indexed="81"/>
      <name val="Tahoma"/>
      <family val="2"/>
    </font>
    <font>
      <sz val="12"/>
      <color theme="1"/>
      <name val="Arial"/>
      <family val="2"/>
    </font>
    <font>
      <b/>
      <sz val="22"/>
      <color theme="4"/>
      <name val="Arial"/>
      <family val="2"/>
    </font>
    <font>
      <sz val="12"/>
      <name val="Arial"/>
      <family val="2"/>
    </font>
    <font>
      <sz val="12"/>
      <color rgb="FFCC9900"/>
      <name val="Arial"/>
      <family val="2"/>
    </font>
    <font>
      <u/>
      <sz val="11"/>
      <color theme="10"/>
      <name val="Calibri"/>
      <family val="2"/>
      <scheme val="minor"/>
    </font>
    <font>
      <u/>
      <sz val="10"/>
      <color theme="10"/>
      <name val="Arial"/>
      <family val="2"/>
    </font>
    <font>
      <b/>
      <sz val="9"/>
      <color indexed="10"/>
      <name val="Tahoma"/>
      <family val="2"/>
    </font>
    <font>
      <u/>
      <sz val="12"/>
      <color theme="10"/>
      <name val="Arial"/>
      <family val="2"/>
    </font>
    <font>
      <sz val="10"/>
      <name val="Arial"/>
      <family val="2"/>
    </font>
    <font>
      <u/>
      <sz val="10"/>
      <color indexed="12"/>
      <name val="Arial"/>
      <family val="2"/>
    </font>
    <font>
      <u/>
      <sz val="12"/>
      <color theme="10"/>
      <name val="Calibri"/>
      <family val="2"/>
      <scheme val="minor"/>
    </font>
    <font>
      <b/>
      <sz val="14"/>
      <color theme="0"/>
      <name val="Arial"/>
      <family val="2"/>
    </font>
    <font>
      <b/>
      <sz val="12"/>
      <color theme="0"/>
      <name val="Arial"/>
      <family val="2"/>
    </font>
    <font>
      <b/>
      <sz val="12"/>
      <name val="Arial"/>
      <family val="2"/>
    </font>
    <font>
      <sz val="10"/>
      <color rgb="FF000000"/>
      <name val="Times New Roman"/>
      <family val="1"/>
    </font>
    <font>
      <sz val="12"/>
      <name val="Arial Narrow"/>
      <family val="2"/>
    </font>
    <font>
      <sz val="9"/>
      <color indexed="17"/>
      <name val="Tahoma"/>
      <family val="2"/>
    </font>
    <font>
      <i/>
      <sz val="9"/>
      <color indexed="17"/>
      <name val="Tahoma"/>
      <family val="2"/>
    </font>
    <font>
      <b/>
      <i/>
      <sz val="9"/>
      <color indexed="81"/>
      <name val="Tahoma"/>
      <family val="2"/>
    </font>
    <font>
      <b/>
      <sz val="22"/>
      <color rgb="FF2954DF"/>
      <name val="Arial"/>
      <family val="2"/>
    </font>
    <font>
      <sz val="10"/>
      <color rgb="FFFF0000"/>
      <name val="Arial"/>
      <family val="2"/>
    </font>
    <font>
      <b/>
      <sz val="16"/>
      <color rgb="FF2954DF"/>
      <name val="Arial"/>
      <family val="2"/>
    </font>
    <font>
      <i/>
      <sz val="9"/>
      <color indexed="57"/>
      <name val="Tahoma"/>
      <family val="2"/>
    </font>
    <font>
      <b/>
      <sz val="12"/>
      <color rgb="FF000000"/>
      <name val="Arial"/>
      <family val="2"/>
    </font>
    <font>
      <b/>
      <u/>
      <sz val="12"/>
      <color theme="10"/>
      <name val="Arial"/>
      <family val="2"/>
    </font>
    <font>
      <b/>
      <sz val="12"/>
      <color rgb="FFFF0000"/>
      <name val="Arial"/>
      <family val="2"/>
    </font>
    <font>
      <sz val="12"/>
      <color rgb="FFFF0000"/>
      <name val="Arial"/>
      <family val="2"/>
    </font>
    <font>
      <i/>
      <sz val="12"/>
      <name val="Arial"/>
      <family val="2"/>
    </font>
    <font>
      <b/>
      <sz val="14"/>
      <name val="Arial"/>
      <family val="2"/>
    </font>
    <font>
      <b/>
      <sz val="20"/>
      <color rgb="FF2954DF"/>
      <name val="Arial"/>
      <family val="2"/>
    </font>
    <font>
      <b/>
      <sz val="9"/>
      <color rgb="FF112CF7"/>
      <name val="Arial"/>
      <family val="2"/>
    </font>
    <font>
      <b/>
      <sz val="12"/>
      <color rgb="FFCC9900"/>
      <name val="Arial"/>
      <family val="2"/>
    </font>
    <font>
      <b/>
      <sz val="16"/>
      <color rgb="FFFF0000"/>
      <name val="Arial"/>
      <family val="2"/>
    </font>
  </fonts>
  <fills count="16">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3CFFD"/>
        <bgColor indexed="64"/>
      </patternFill>
    </fill>
    <fill>
      <patternFill patternType="solid">
        <fgColor indexed="65"/>
        <bgColor theme="0"/>
      </patternFill>
    </fill>
    <fill>
      <patternFill patternType="solid">
        <fgColor rgb="FF2954DF"/>
        <bgColor indexed="64"/>
      </patternFill>
    </fill>
    <fill>
      <patternFill patternType="solid">
        <fgColor rgb="FF9DF878"/>
        <bgColor indexed="64"/>
      </patternFill>
    </fill>
    <fill>
      <patternFill patternType="solid">
        <fgColor rgb="FFFFFF00"/>
        <bgColor indexed="64"/>
      </patternFill>
    </fill>
    <fill>
      <patternFill patternType="solid">
        <fgColor rgb="FF0A48F6"/>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style="medium">
        <color indexed="64"/>
      </top>
      <bottom style="thin">
        <color indexed="64"/>
      </bottom>
      <diagonal/>
    </border>
  </borders>
  <cellStyleXfs count="32">
    <xf numFmtId="0" fontId="0" fillId="0" borderId="0"/>
    <xf numFmtId="164" fontId="10" fillId="0" borderId="0" applyFont="0" applyFill="0" applyBorder="0" applyAlignment="0" applyProtection="0"/>
    <xf numFmtId="0" fontId="12" fillId="0" borderId="0"/>
    <xf numFmtId="0" fontId="19" fillId="0" borderId="0" applyNumberFormat="0" applyFill="0" applyBorder="0" applyAlignment="0" applyProtection="0"/>
    <xf numFmtId="0" fontId="12" fillId="0" borderId="0"/>
    <xf numFmtId="0" fontId="20" fillId="0" borderId="0" applyNumberFormat="0" applyFill="0" applyBorder="0" applyAlignment="0" applyProtection="0"/>
    <xf numFmtId="0" fontId="9" fillId="0" borderId="0"/>
    <xf numFmtId="0" fontId="23" fillId="0" borderId="0"/>
    <xf numFmtId="0" fontId="12" fillId="0" borderId="0"/>
    <xf numFmtId="0" fontId="24" fillId="0" borderId="0" applyNumberFormat="0" applyFill="0" applyBorder="0" applyAlignment="0" applyProtection="0">
      <alignment vertical="top"/>
      <protection locked="0"/>
    </xf>
    <xf numFmtId="0" fontId="19" fillId="0" borderId="0" applyNumberFormat="0" applyFill="0" applyBorder="0" applyAlignment="0" applyProtection="0"/>
    <xf numFmtId="0" fontId="8" fillId="0" borderId="0"/>
    <xf numFmtId="0" fontId="25" fillId="0" borderId="0" applyNumberFormat="0" applyFill="0" applyBorder="0" applyAlignment="0" applyProtection="0"/>
    <xf numFmtId="0" fontId="7" fillId="0" borderId="0"/>
    <xf numFmtId="0" fontId="7" fillId="0" borderId="0"/>
    <xf numFmtId="44" fontId="10" fillId="0" borderId="0" applyFont="0" applyFill="0" applyBorder="0" applyAlignment="0" applyProtection="0"/>
    <xf numFmtId="9" fontId="10" fillId="0" borderId="0" applyFont="0" applyFill="0" applyBorder="0" applyAlignment="0" applyProtection="0"/>
    <xf numFmtId="0" fontId="6" fillId="0" borderId="0"/>
    <xf numFmtId="0" fontId="29" fillId="0" borderId="0"/>
    <xf numFmtId="41" fontId="6" fillId="0" borderId="0" applyFont="0" applyFill="0" applyBorder="0" applyAlignment="0" applyProtection="0"/>
    <xf numFmtId="9" fontId="6" fillId="0" borderId="0" applyFont="0" applyFill="0" applyBorder="0" applyAlignment="0" applyProtection="0"/>
    <xf numFmtId="0" fontId="12" fillId="0" borderId="0"/>
    <xf numFmtId="0" fontId="25" fillId="0" borderId="0" applyNumberFormat="0" applyFill="0" applyBorder="0" applyAlignment="0" applyProtection="0"/>
    <xf numFmtId="0" fontId="20" fillId="0" borderId="0" applyNumberFormat="0" applyFill="0" applyBorder="0" applyAlignment="0" applyProtection="0"/>
    <xf numFmtId="0" fontId="10" fillId="0" borderId="0"/>
    <xf numFmtId="0" fontId="6" fillId="0" borderId="0"/>
    <xf numFmtId="0" fontId="5" fillId="0" borderId="0"/>
    <xf numFmtId="0" fontId="4" fillId="0" borderId="0"/>
    <xf numFmtId="0" fontId="23" fillId="0" borderId="0"/>
    <xf numFmtId="0" fontId="3" fillId="0" borderId="0"/>
    <xf numFmtId="0" fontId="2" fillId="0" borderId="0"/>
    <xf numFmtId="0" fontId="1" fillId="0" borderId="0"/>
  </cellStyleXfs>
  <cellXfs count="293">
    <xf numFmtId="0" fontId="0" fillId="0" borderId="0" xfId="0"/>
    <xf numFmtId="0" fontId="15" fillId="2" borderId="0" xfId="0" applyFont="1" applyFill="1"/>
    <xf numFmtId="0" fontId="0" fillId="2" borderId="0" xfId="0" applyFill="1"/>
    <xf numFmtId="164" fontId="15" fillId="4" borderId="9" xfId="1" applyFont="1" applyFill="1" applyBorder="1"/>
    <xf numFmtId="164" fontId="0" fillId="2" borderId="0" xfId="0" applyNumberFormat="1" applyFill="1"/>
    <xf numFmtId="0" fontId="17" fillId="2" borderId="0" xfId="0" applyFont="1" applyFill="1" applyAlignment="1">
      <alignment horizontal="justify" vertical="center" wrapText="1"/>
    </xf>
    <xf numFmtId="164" fontId="11" fillId="2" borderId="0" xfId="0" applyNumberFormat="1" applyFont="1" applyFill="1" applyAlignment="1">
      <alignment horizontal="center" vertical="center" wrapText="1"/>
    </xf>
    <xf numFmtId="0" fontId="15" fillId="2" borderId="0" xfId="0" applyFont="1" applyFill="1" applyAlignment="1">
      <alignment horizontal="center" vertical="center"/>
    </xf>
    <xf numFmtId="164" fontId="11" fillId="0" borderId="1" xfId="0" applyNumberFormat="1" applyFont="1" applyBorder="1" applyAlignment="1">
      <alignment horizontal="center" vertical="center" wrapText="1"/>
    </xf>
    <xf numFmtId="0" fontId="11" fillId="0" borderId="8" xfId="0" applyFont="1" applyBorder="1" applyAlignment="1">
      <alignment horizontal="left" vertical="center" wrapText="1"/>
    </xf>
    <xf numFmtId="0" fontId="11" fillId="0" borderId="10" xfId="0" applyFont="1" applyBorder="1" applyAlignment="1">
      <alignment horizontal="left" vertical="center" wrapText="1"/>
    </xf>
    <xf numFmtId="164" fontId="11" fillId="0" borderId="11" xfId="0" applyNumberFormat="1" applyFont="1" applyBorder="1" applyAlignment="1">
      <alignment horizontal="center" vertical="center" wrapText="1"/>
    </xf>
    <xf numFmtId="0" fontId="11" fillId="0" borderId="13" xfId="0" applyFont="1" applyBorder="1" applyAlignment="1">
      <alignment horizontal="left" vertical="center" wrapText="1"/>
    </xf>
    <xf numFmtId="164" fontId="11" fillId="0" borderId="4" xfId="0" applyNumberFormat="1" applyFont="1" applyBorder="1" applyAlignment="1">
      <alignment horizontal="center" vertical="center" wrapText="1"/>
    </xf>
    <xf numFmtId="1" fontId="15" fillId="2" borderId="14" xfId="0" applyNumberFormat="1" applyFont="1" applyFill="1" applyBorder="1" applyAlignment="1">
      <alignment horizontal="center" vertical="center"/>
    </xf>
    <xf numFmtId="0" fontId="11" fillId="2" borderId="0" xfId="0" applyFont="1" applyFill="1" applyAlignment="1">
      <alignment horizontal="left" vertical="center" wrapText="1"/>
    </xf>
    <xf numFmtId="6" fontId="11" fillId="2" borderId="0" xfId="0" applyNumberFormat="1" applyFont="1" applyFill="1" applyAlignment="1">
      <alignment horizontal="center" vertical="center" wrapText="1"/>
    </xf>
    <xf numFmtId="165" fontId="15" fillId="4" borderId="9" xfId="0" applyNumberFormat="1" applyFont="1" applyFill="1" applyBorder="1" applyAlignment="1">
      <alignment horizontal="center"/>
    </xf>
    <xf numFmtId="165" fontId="15" fillId="4" borderId="12" xfId="0" applyNumberFormat="1" applyFont="1" applyFill="1" applyBorder="1" applyAlignment="1">
      <alignment horizontal="center"/>
    </xf>
    <xf numFmtId="165" fontId="15" fillId="4" borderId="14" xfId="0" applyNumberFormat="1" applyFont="1" applyFill="1" applyBorder="1" applyAlignment="1">
      <alignment horizontal="center"/>
    </xf>
    <xf numFmtId="14" fontId="15" fillId="4" borderId="12" xfId="0" applyNumberFormat="1" applyFont="1" applyFill="1" applyBorder="1" applyAlignment="1">
      <alignment horizontal="center"/>
    </xf>
    <xf numFmtId="0" fontId="11" fillId="0" borderId="5" xfId="0" applyFont="1" applyBorder="1" applyAlignment="1">
      <alignment horizontal="left" vertical="center" wrapText="1"/>
    </xf>
    <xf numFmtId="164" fontId="11" fillId="0" borderId="6" xfId="0" applyNumberFormat="1" applyFont="1" applyBorder="1" applyAlignment="1">
      <alignment horizontal="center" vertical="center" wrapText="1"/>
    </xf>
    <xf numFmtId="0" fontId="15" fillId="2" borderId="8" xfId="0" applyFont="1" applyFill="1" applyBorder="1" applyAlignment="1">
      <alignment vertical="center"/>
    </xf>
    <xf numFmtId="0" fontId="15" fillId="2" borderId="10" xfId="0" applyFont="1" applyFill="1" applyBorder="1" applyAlignment="1">
      <alignment vertical="center"/>
    </xf>
    <xf numFmtId="0" fontId="0" fillId="2" borderId="40" xfId="0" applyFill="1" applyBorder="1"/>
    <xf numFmtId="0" fontId="0" fillId="2" borderId="41" xfId="0" applyFill="1" applyBorder="1"/>
    <xf numFmtId="0" fontId="0" fillId="2" borderId="43" xfId="0" applyFill="1" applyBorder="1"/>
    <xf numFmtId="0" fontId="28" fillId="2" borderId="29" xfId="0" applyFont="1" applyFill="1" applyBorder="1" applyAlignment="1">
      <alignment vertical="center" wrapText="1"/>
    </xf>
    <xf numFmtId="0" fontId="17" fillId="2" borderId="28" xfId="0" applyFont="1" applyFill="1" applyBorder="1"/>
    <xf numFmtId="0" fontId="17" fillId="2" borderId="9" xfId="15" applyNumberFormat="1" applyFont="1" applyFill="1" applyBorder="1" applyAlignment="1">
      <alignment horizontal="center" vertical="center" wrapText="1"/>
    </xf>
    <xf numFmtId="0" fontId="30" fillId="2" borderId="25" xfId="0" applyFont="1" applyFill="1" applyBorder="1" applyAlignment="1">
      <alignment vertical="center" wrapText="1"/>
    </xf>
    <xf numFmtId="0" fontId="30" fillId="2" borderId="39" xfId="0" applyFont="1" applyFill="1" applyBorder="1" applyAlignment="1">
      <alignment vertical="center" wrapText="1"/>
    </xf>
    <xf numFmtId="0" fontId="30" fillId="2" borderId="48" xfId="0" applyFont="1" applyFill="1" applyBorder="1" applyAlignment="1">
      <alignment vertical="center" wrapText="1"/>
    </xf>
    <xf numFmtId="0" fontId="17" fillId="2" borderId="45" xfId="0" applyFont="1" applyFill="1" applyBorder="1" applyAlignment="1">
      <alignment horizontal="left" vertical="center" wrapText="1"/>
    </xf>
    <xf numFmtId="0" fontId="17" fillId="2" borderId="46" xfId="0" applyFont="1" applyFill="1" applyBorder="1" applyAlignment="1">
      <alignment horizontal="left" vertical="center" wrapText="1"/>
    </xf>
    <xf numFmtId="164" fontId="11" fillId="0" borderId="6" xfId="0" applyNumberFormat="1" applyFont="1" applyBorder="1" applyAlignment="1">
      <alignment horizontal="right" vertical="center" wrapText="1"/>
    </xf>
    <xf numFmtId="6" fontId="11" fillId="3" borderId="6" xfId="0" applyNumberFormat="1" applyFont="1" applyFill="1" applyBorder="1" applyAlignment="1">
      <alignment horizontal="right" vertical="center" wrapText="1"/>
    </xf>
    <xf numFmtId="164" fontId="11" fillId="0" borderId="1" xfId="0" applyNumberFormat="1" applyFont="1" applyBorder="1" applyAlignment="1">
      <alignment horizontal="right" vertical="center" wrapText="1"/>
    </xf>
    <xf numFmtId="6" fontId="11" fillId="3" borderId="1" xfId="0" applyNumberFormat="1" applyFont="1" applyFill="1" applyBorder="1" applyAlignment="1">
      <alignment horizontal="right" vertical="center" wrapText="1"/>
    </xf>
    <xf numFmtId="164" fontId="11" fillId="4" borderId="1" xfId="0" applyNumberFormat="1" applyFont="1" applyFill="1" applyBorder="1" applyAlignment="1">
      <alignment horizontal="right" vertical="center" wrapText="1"/>
    </xf>
    <xf numFmtId="164" fontId="11" fillId="3" borderId="1" xfId="0" applyNumberFormat="1" applyFont="1" applyFill="1" applyBorder="1" applyAlignment="1">
      <alignment horizontal="right" vertical="center" wrapText="1"/>
    </xf>
    <xf numFmtId="164" fontId="11" fillId="4" borderId="11" xfId="0" applyNumberFormat="1" applyFont="1" applyFill="1" applyBorder="1" applyAlignment="1">
      <alignment horizontal="right" vertical="center" wrapText="1"/>
    </xf>
    <xf numFmtId="164" fontId="11" fillId="3" borderId="11" xfId="0" applyNumberFormat="1" applyFont="1" applyFill="1" applyBorder="1" applyAlignment="1">
      <alignment horizontal="right" vertical="center" wrapText="1"/>
    </xf>
    <xf numFmtId="6" fontId="11" fillId="3" borderId="9" xfId="0" applyNumberFormat="1" applyFont="1" applyFill="1" applyBorder="1" applyAlignment="1">
      <alignment horizontal="right" vertical="center" wrapText="1"/>
    </xf>
    <xf numFmtId="6" fontId="11" fillId="3" borderId="11" xfId="0" applyNumberFormat="1" applyFont="1" applyFill="1" applyBorder="1" applyAlignment="1">
      <alignment horizontal="right" vertical="center" wrapText="1"/>
    </xf>
    <xf numFmtId="166" fontId="11" fillId="0" borderId="1" xfId="16" applyNumberFormat="1" applyFont="1" applyBorder="1" applyAlignment="1">
      <alignment horizontal="right" vertical="center" wrapText="1"/>
    </xf>
    <xf numFmtId="9" fontId="11" fillId="0" borderId="1" xfId="16" applyFont="1" applyBorder="1" applyAlignment="1">
      <alignment horizontal="right" vertical="center" wrapText="1"/>
    </xf>
    <xf numFmtId="164" fontId="15" fillId="3" borderId="9" xfId="1" applyFont="1" applyFill="1" applyBorder="1"/>
    <xf numFmtId="169" fontId="0" fillId="2" borderId="0" xfId="15" applyNumberFormat="1" applyFont="1" applyFill="1"/>
    <xf numFmtId="1" fontId="15" fillId="2" borderId="21" xfId="0" applyNumberFormat="1" applyFont="1" applyFill="1" applyBorder="1" applyAlignment="1">
      <alignment horizontal="center" vertical="center"/>
    </xf>
    <xf numFmtId="0" fontId="0" fillId="0" borderId="0" xfId="0" applyAlignment="1">
      <alignment horizontal="left"/>
    </xf>
    <xf numFmtId="169" fontId="15" fillId="4" borderId="28" xfId="15" applyNumberFormat="1" applyFont="1" applyFill="1" applyBorder="1" applyAlignment="1">
      <alignment horizontal="right"/>
    </xf>
    <xf numFmtId="169" fontId="15" fillId="4" borderId="30" xfId="15" applyNumberFormat="1" applyFont="1" applyFill="1" applyBorder="1" applyAlignment="1">
      <alignment horizontal="right"/>
    </xf>
    <xf numFmtId="164" fontId="15" fillId="2" borderId="0" xfId="1" applyFont="1" applyFill="1"/>
    <xf numFmtId="0" fontId="15" fillId="2" borderId="0" xfId="0" quotePrefix="1" applyFont="1" applyFill="1" applyAlignment="1">
      <alignment horizontal="left"/>
    </xf>
    <xf numFmtId="0" fontId="15" fillId="2" borderId="0" xfId="0" applyFont="1" applyFill="1" applyAlignment="1">
      <alignment horizontal="left"/>
    </xf>
    <xf numFmtId="9" fontId="15" fillId="2" borderId="0" xfId="0" applyNumberFormat="1" applyFont="1" applyFill="1"/>
    <xf numFmtId="2" fontId="15" fillId="2" borderId="0" xfId="0" applyNumberFormat="1" applyFont="1" applyFill="1"/>
    <xf numFmtId="1" fontId="15" fillId="2" borderId="0" xfId="0" applyNumberFormat="1" applyFont="1" applyFill="1" applyAlignment="1">
      <alignment horizontal="center" vertical="center"/>
    </xf>
    <xf numFmtId="6" fontId="11" fillId="2" borderId="0" xfId="0" applyNumberFormat="1" applyFont="1" applyFill="1" applyAlignment="1">
      <alignment horizontal="right" vertical="center" wrapText="1"/>
    </xf>
    <xf numFmtId="164" fontId="11" fillId="3" borderId="4" xfId="0" applyNumberFormat="1" applyFont="1" applyFill="1" applyBorder="1" applyAlignment="1">
      <alignment horizontal="right" vertical="center" wrapText="1"/>
    </xf>
    <xf numFmtId="169" fontId="17" fillId="2" borderId="6" xfId="15" applyNumberFormat="1" applyFont="1" applyFill="1" applyBorder="1" applyAlignment="1">
      <alignment horizontal="justify" vertical="center" wrapText="1"/>
    </xf>
    <xf numFmtId="169" fontId="17" fillId="2" borderId="1" xfId="15" applyNumberFormat="1" applyFont="1" applyFill="1" applyBorder="1" applyAlignment="1">
      <alignment horizontal="justify" vertical="center" wrapText="1"/>
    </xf>
    <xf numFmtId="169" fontId="0" fillId="0" borderId="7" xfId="0" applyNumberFormat="1" applyBorder="1" applyAlignment="1">
      <alignment horizontal="justify"/>
    </xf>
    <xf numFmtId="169" fontId="15" fillId="0" borderId="9" xfId="0" applyNumberFormat="1" applyFont="1" applyBorder="1" applyAlignment="1">
      <alignment horizontal="justify"/>
    </xf>
    <xf numFmtId="169" fontId="17" fillId="2" borderId="9" xfId="15" applyNumberFormat="1" applyFont="1" applyFill="1" applyBorder="1" applyAlignment="1">
      <alignment horizontal="justify" vertical="center" wrapText="1"/>
    </xf>
    <xf numFmtId="0" fontId="17" fillId="2" borderId="0" xfId="0" applyFont="1" applyFill="1" applyAlignment="1">
      <alignment vertical="center" wrapText="1"/>
    </xf>
    <xf numFmtId="0" fontId="16" fillId="2" borderId="0" xfId="0" applyFont="1" applyFill="1" applyAlignment="1">
      <alignment vertical="center"/>
    </xf>
    <xf numFmtId="0" fontId="28" fillId="2" borderId="29" xfId="0" applyFont="1" applyFill="1" applyBorder="1" applyAlignment="1">
      <alignment horizontal="center" vertical="center"/>
    </xf>
    <xf numFmtId="0" fontId="28" fillId="2" borderId="0" xfId="0" applyFont="1" applyFill="1" applyAlignment="1">
      <alignment horizontal="center" vertical="center"/>
    </xf>
    <xf numFmtId="0" fontId="28" fillId="2" borderId="44" xfId="0" applyFont="1" applyFill="1" applyBorder="1" applyAlignment="1">
      <alignment horizontal="center" vertical="center"/>
    </xf>
    <xf numFmtId="164" fontId="15" fillId="3" borderId="7" xfId="1" applyFont="1" applyFill="1" applyBorder="1"/>
    <xf numFmtId="0" fontId="28" fillId="2" borderId="29" xfId="0" applyFont="1" applyFill="1" applyBorder="1" applyAlignment="1">
      <alignment horizontal="left" vertical="center"/>
    </xf>
    <xf numFmtId="0" fontId="28" fillId="2" borderId="49" xfId="0" applyFont="1" applyFill="1" applyBorder="1" applyAlignment="1">
      <alignment horizontal="center" vertical="center"/>
    </xf>
    <xf numFmtId="0" fontId="17" fillId="2" borderId="19" xfId="0" applyFont="1" applyFill="1" applyBorder="1" applyAlignment="1">
      <alignment horizontal="left" vertical="center" wrapText="1"/>
    </xf>
    <xf numFmtId="0" fontId="16" fillId="2" borderId="0" xfId="0" applyFont="1" applyFill="1" applyAlignment="1">
      <alignment horizontal="center" vertical="center"/>
    </xf>
    <xf numFmtId="0" fontId="17" fillId="11" borderId="0" xfId="0" applyFont="1" applyFill="1" applyAlignment="1">
      <alignment vertical="center" wrapText="1"/>
    </xf>
    <xf numFmtId="6" fontId="11" fillId="3" borderId="7" xfId="0" applyNumberFormat="1" applyFont="1" applyFill="1" applyBorder="1" applyAlignment="1">
      <alignment horizontal="right" vertical="center" wrapText="1"/>
    </xf>
    <xf numFmtId="0" fontId="28" fillId="13" borderId="26" xfId="0" applyFont="1" applyFill="1" applyBorder="1" applyAlignment="1">
      <alignment horizontal="center" vertical="center" wrapText="1"/>
    </xf>
    <xf numFmtId="0" fontId="28" fillId="13" borderId="25" xfId="0" applyFont="1" applyFill="1" applyBorder="1" applyAlignment="1">
      <alignment horizontal="center" vertical="center" wrapText="1"/>
    </xf>
    <xf numFmtId="0" fontId="28" fillId="13" borderId="18" xfId="0" applyFont="1" applyFill="1" applyBorder="1" applyAlignment="1">
      <alignment horizontal="center" vertical="center"/>
    </xf>
    <xf numFmtId="0" fontId="27" fillId="12" borderId="17" xfId="0" applyFont="1" applyFill="1" applyBorder="1" applyAlignment="1">
      <alignment horizontal="center" vertical="center" wrapText="1"/>
    </xf>
    <xf numFmtId="0" fontId="28" fillId="13" borderId="51" xfId="0" applyFont="1" applyFill="1" applyBorder="1" applyAlignment="1">
      <alignment horizontal="center" vertical="center" wrapText="1"/>
    </xf>
    <xf numFmtId="6" fontId="11" fillId="3" borderId="14" xfId="0" applyNumberFormat="1" applyFont="1" applyFill="1" applyBorder="1" applyAlignment="1">
      <alignment horizontal="right" vertical="center" wrapText="1"/>
    </xf>
    <xf numFmtId="6" fontId="15" fillId="2" borderId="0" xfId="0" applyNumberFormat="1" applyFont="1" applyFill="1"/>
    <xf numFmtId="6" fontId="38" fillId="3" borderId="12" xfId="0" applyNumberFormat="1" applyFont="1" applyFill="1" applyBorder="1" applyAlignment="1">
      <alignment horizontal="right" vertical="center" wrapText="1"/>
    </xf>
    <xf numFmtId="164" fontId="11" fillId="6" borderId="1" xfId="0" applyNumberFormat="1" applyFont="1" applyFill="1" applyBorder="1" applyAlignment="1">
      <alignment horizontal="right" vertical="center" wrapText="1"/>
    </xf>
    <xf numFmtId="164" fontId="11" fillId="6" borderId="11" xfId="0" applyNumberFormat="1" applyFont="1" applyFill="1" applyBorder="1" applyAlignment="1">
      <alignment horizontal="right" vertical="center" wrapText="1"/>
    </xf>
    <xf numFmtId="0" fontId="35" fillId="2" borderId="0" xfId="0" applyFont="1" applyFill="1" applyAlignment="1">
      <alignment horizontal="center" vertical="center" wrapText="1"/>
    </xf>
    <xf numFmtId="0" fontId="15" fillId="0" borderId="0" xfId="0" applyFont="1"/>
    <xf numFmtId="0" fontId="15" fillId="0" borderId="1" xfId="0" applyFont="1" applyBorder="1"/>
    <xf numFmtId="170" fontId="15" fillId="2" borderId="1" xfId="0" applyNumberFormat="1" applyFont="1" applyFill="1" applyBorder="1"/>
    <xf numFmtId="0" fontId="28" fillId="2" borderId="52" xfId="0" applyFont="1" applyFill="1" applyBorder="1" applyAlignment="1">
      <alignment horizontal="center" vertical="center"/>
    </xf>
    <xf numFmtId="0" fontId="28" fillId="2" borderId="0" xfId="0" applyFont="1" applyFill="1" applyAlignment="1">
      <alignment horizontal="right" vertical="center"/>
    </xf>
    <xf numFmtId="164" fontId="22" fillId="0" borderId="8" xfId="12" applyNumberFormat="1" applyFont="1" applyBorder="1" applyAlignment="1">
      <alignment horizontal="left" vertical="center" wrapText="1"/>
    </xf>
    <xf numFmtId="0" fontId="34" fillId="2" borderId="0" xfId="0" applyFont="1" applyFill="1" applyAlignment="1">
      <alignment horizontal="center" vertical="center"/>
    </xf>
    <xf numFmtId="0" fontId="35" fillId="2" borderId="0" xfId="0" applyFont="1" applyFill="1" applyAlignment="1">
      <alignment horizontal="left" vertical="top"/>
    </xf>
    <xf numFmtId="0" fontId="17" fillId="2" borderId="0" xfId="0" applyFont="1" applyFill="1" applyAlignment="1">
      <alignment horizontal="center" vertical="center" wrapText="1"/>
    </xf>
    <xf numFmtId="0" fontId="44" fillId="2" borderId="0" xfId="0" applyFont="1" applyFill="1" applyAlignment="1">
      <alignment horizontal="center" vertical="center"/>
    </xf>
    <xf numFmtId="0" fontId="15" fillId="2" borderId="1" xfId="0" applyFont="1" applyFill="1" applyBorder="1" applyAlignment="1">
      <alignment wrapText="1"/>
    </xf>
    <xf numFmtId="0" fontId="23" fillId="3" borderId="28" xfId="31" applyFont="1" applyFill="1" applyBorder="1" applyAlignment="1">
      <alignment horizontal="center" vertical="center" wrapText="1"/>
    </xf>
    <xf numFmtId="0" fontId="27" fillId="12" borderId="3" xfId="0" applyFont="1" applyFill="1" applyBorder="1" applyAlignment="1">
      <alignment horizontal="center" vertical="center" wrapText="1"/>
    </xf>
    <xf numFmtId="0" fontId="27" fillId="12" borderId="22" xfId="0" applyFont="1" applyFill="1" applyBorder="1" applyAlignment="1">
      <alignment horizontal="center" vertical="center" wrapText="1"/>
    </xf>
    <xf numFmtId="0" fontId="17" fillId="2" borderId="54" xfId="0" applyFont="1" applyFill="1" applyBorder="1" applyAlignment="1">
      <alignment vertical="center" wrapText="1"/>
    </xf>
    <xf numFmtId="0" fontId="17" fillId="2" borderId="45" xfId="0" applyFont="1" applyFill="1" applyBorder="1" applyAlignment="1">
      <alignment vertical="center" wrapText="1"/>
    </xf>
    <xf numFmtId="0" fontId="17" fillId="2" borderId="33" xfId="0" applyFont="1" applyFill="1" applyBorder="1" applyAlignment="1">
      <alignment vertical="center" wrapText="1"/>
    </xf>
    <xf numFmtId="0" fontId="27" fillId="12" borderId="51" xfId="0" applyFont="1" applyFill="1" applyBorder="1" applyAlignment="1">
      <alignment horizontal="center" vertical="center" wrapText="1"/>
    </xf>
    <xf numFmtId="0" fontId="17" fillId="2" borderId="53" xfId="0" applyFont="1" applyFill="1" applyBorder="1" applyAlignment="1">
      <alignment horizontal="left" vertical="center" wrapText="1"/>
    </xf>
    <xf numFmtId="0" fontId="17" fillId="2" borderId="53" xfId="0" applyFont="1" applyFill="1" applyBorder="1" applyAlignment="1">
      <alignment vertical="center" wrapText="1"/>
    </xf>
    <xf numFmtId="169" fontId="15" fillId="0" borderId="53" xfId="15" applyNumberFormat="1" applyFont="1" applyFill="1" applyBorder="1" applyAlignment="1"/>
    <xf numFmtId="169" fontId="15" fillId="0" borderId="32" xfId="15" applyNumberFormat="1" applyFont="1" applyFill="1" applyBorder="1" applyAlignment="1"/>
    <xf numFmtId="169" fontId="28" fillId="2" borderId="23" xfId="0" applyNumberFormat="1" applyFont="1" applyFill="1" applyBorder="1" applyAlignment="1">
      <alignment horizontal="justify" vertical="center" wrapText="1"/>
    </xf>
    <xf numFmtId="0" fontId="45" fillId="2" borderId="0" xfId="0" applyFont="1" applyFill="1" applyAlignment="1">
      <alignment horizontal="left" vertical="center" wrapText="1"/>
    </xf>
    <xf numFmtId="164" fontId="17" fillId="14" borderId="1" xfId="12" applyNumberFormat="1" applyFont="1" applyFill="1" applyBorder="1" applyAlignment="1">
      <alignment horizontal="center" vertical="center" wrapText="1"/>
    </xf>
    <xf numFmtId="6" fontId="0" fillId="2" borderId="0" xfId="0" applyNumberFormat="1" applyFill="1" applyAlignment="1">
      <alignment horizontal="left"/>
    </xf>
    <xf numFmtId="0" fontId="34" fillId="2" borderId="0" xfId="0" applyFont="1" applyFill="1" applyAlignment="1">
      <alignment vertical="center"/>
    </xf>
    <xf numFmtId="0" fontId="22" fillId="2" borderId="0" xfId="12" applyFont="1" applyFill="1" applyAlignment="1">
      <alignment vertical="center" wrapText="1"/>
    </xf>
    <xf numFmtId="6" fontId="0" fillId="2" borderId="0" xfId="0" applyNumberFormat="1" applyFill="1"/>
    <xf numFmtId="0" fontId="22" fillId="0" borderId="1" xfId="12" applyFont="1" applyBorder="1" applyAlignment="1">
      <alignment horizontal="left" vertical="center" wrapText="1"/>
    </xf>
    <xf numFmtId="164" fontId="11" fillId="2" borderId="1" xfId="0" applyNumberFormat="1" applyFont="1" applyFill="1" applyBorder="1" applyAlignment="1">
      <alignment horizontal="center" vertical="center" wrapText="1"/>
    </xf>
    <xf numFmtId="9" fontId="11" fillId="2" borderId="1" xfId="16" applyFont="1" applyFill="1" applyBorder="1" applyAlignment="1">
      <alignment horizontal="right" vertical="center" wrapText="1"/>
    </xf>
    <xf numFmtId="0" fontId="11" fillId="0" borderId="1" xfId="0" applyFont="1" applyBorder="1" applyAlignment="1">
      <alignment horizontal="left" vertical="center" wrapText="1"/>
    </xf>
    <xf numFmtId="10" fontId="15" fillId="4" borderId="1" xfId="16" applyNumberFormat="1" applyFont="1" applyFill="1" applyBorder="1" applyAlignment="1">
      <alignment horizontal="center"/>
    </xf>
    <xf numFmtId="170" fontId="17" fillId="3" borderId="1" xfId="16" applyNumberFormat="1" applyFont="1" applyFill="1" applyBorder="1" applyAlignment="1">
      <alignment horizontal="right"/>
    </xf>
    <xf numFmtId="0" fontId="15" fillId="0" borderId="1" xfId="0" applyFont="1" applyBorder="1" applyAlignment="1">
      <alignment horizontal="left" vertical="center" wrapText="1"/>
    </xf>
    <xf numFmtId="164" fontId="15" fillId="4" borderId="1" xfId="1" applyFont="1" applyFill="1" applyBorder="1" applyAlignment="1">
      <alignment horizontal="center" vertical="center" wrapText="1"/>
    </xf>
    <xf numFmtId="0" fontId="15" fillId="2" borderId="1" xfId="0" applyFont="1" applyFill="1" applyBorder="1" applyAlignment="1">
      <alignment horizontal="left" vertical="center" wrapText="1"/>
    </xf>
    <xf numFmtId="0" fontId="15" fillId="5" borderId="1" xfId="0" applyFont="1" applyFill="1" applyBorder="1" applyAlignment="1">
      <alignment horizontal="left" vertical="center" wrapText="1"/>
    </xf>
    <xf numFmtId="0" fontId="15" fillId="5" borderId="1" xfId="0" applyFont="1" applyFill="1" applyBorder="1" applyAlignment="1">
      <alignment horizontal="center" vertical="center" wrapText="1"/>
    </xf>
    <xf numFmtId="164" fontId="15" fillId="5" borderId="1" xfId="1" applyFont="1" applyFill="1" applyBorder="1" applyAlignment="1">
      <alignment horizontal="center" vertical="center" wrapText="1"/>
    </xf>
    <xf numFmtId="14" fontId="15" fillId="4" borderId="1" xfId="0" applyNumberFormat="1" applyFont="1" applyFill="1" applyBorder="1" applyAlignment="1">
      <alignment horizontal="center" vertical="center" wrapText="1"/>
    </xf>
    <xf numFmtId="1" fontId="15" fillId="5" borderId="1" xfId="0" applyNumberFormat="1" applyFont="1" applyFill="1" applyBorder="1" applyAlignment="1">
      <alignment horizontal="center" vertical="center" wrapText="1"/>
    </xf>
    <xf numFmtId="0" fontId="28" fillId="13" borderId="1" xfId="0" applyFont="1" applyFill="1" applyBorder="1" applyAlignment="1">
      <alignment horizontal="left" vertical="center" wrapText="1"/>
    </xf>
    <xf numFmtId="164" fontId="28" fillId="13" borderId="1" xfId="0" applyNumberFormat="1" applyFont="1" applyFill="1" applyBorder="1" applyAlignment="1">
      <alignment horizontal="center" vertical="center" wrapText="1"/>
    </xf>
    <xf numFmtId="1" fontId="15" fillId="5" borderId="1" xfId="1" applyNumberFormat="1" applyFont="1" applyFill="1" applyBorder="1" applyAlignment="1">
      <alignment horizontal="center" vertical="center" wrapText="1"/>
    </xf>
    <xf numFmtId="0" fontId="43" fillId="13" borderId="1" xfId="0" applyFont="1" applyFill="1" applyBorder="1" applyAlignment="1">
      <alignment horizontal="left" vertical="center" wrapText="1"/>
    </xf>
    <xf numFmtId="164" fontId="43" fillId="13" borderId="1" xfId="0" applyNumberFormat="1" applyFont="1" applyFill="1" applyBorder="1" applyAlignment="1">
      <alignment horizontal="center" vertical="center" wrapText="1"/>
    </xf>
    <xf numFmtId="0" fontId="36" fillId="2" borderId="0" xfId="0" applyFont="1" applyFill="1" applyAlignment="1">
      <alignment horizontal="left" wrapText="1"/>
    </xf>
    <xf numFmtId="0" fontId="22" fillId="2" borderId="0" xfId="12" applyFont="1" applyFill="1" applyAlignment="1">
      <alignment horizontal="left" wrapText="1"/>
    </xf>
    <xf numFmtId="0" fontId="44" fillId="2" borderId="0" xfId="0" applyFont="1" applyFill="1" applyAlignment="1">
      <alignment horizontal="center" vertical="center"/>
    </xf>
    <xf numFmtId="0" fontId="22" fillId="2" borderId="0" xfId="12" applyFont="1" applyFill="1" applyAlignment="1">
      <alignment horizontal="justify" wrapText="1"/>
    </xf>
    <xf numFmtId="0" fontId="22" fillId="2" borderId="37" xfId="12" applyFont="1" applyFill="1" applyBorder="1" applyAlignment="1">
      <alignment horizontal="left" vertical="center" wrapText="1"/>
    </xf>
    <xf numFmtId="0" fontId="15" fillId="2" borderId="4" xfId="17" applyFont="1" applyFill="1" applyBorder="1" applyAlignment="1">
      <alignment horizontal="justify" vertical="center" wrapText="1"/>
    </xf>
    <xf numFmtId="0" fontId="17" fillId="11" borderId="0" xfId="0" applyFont="1" applyFill="1" applyAlignment="1">
      <alignment horizontal="justify" vertical="center" wrapText="1"/>
    </xf>
    <xf numFmtId="0" fontId="35" fillId="2" borderId="0" xfId="0" applyFont="1" applyFill="1" applyAlignment="1">
      <alignment horizontal="left" vertical="center"/>
    </xf>
    <xf numFmtId="0" fontId="26" fillId="15" borderId="28" xfId="0" applyFont="1" applyFill="1" applyBorder="1" applyAlignment="1">
      <alignment horizontal="left"/>
    </xf>
    <xf numFmtId="0" fontId="26" fillId="15" borderId="46" xfId="0" applyFont="1" applyFill="1" applyBorder="1" applyAlignment="1">
      <alignment horizontal="left"/>
    </xf>
    <xf numFmtId="0" fontId="26" fillId="15" borderId="19" xfId="0" applyFont="1" applyFill="1" applyBorder="1" applyAlignment="1">
      <alignment horizontal="left"/>
    </xf>
    <xf numFmtId="0" fontId="22" fillId="0" borderId="36" xfId="12" applyFont="1" applyBorder="1" applyAlignment="1">
      <alignment horizontal="justify" vertical="center" wrapText="1"/>
    </xf>
    <xf numFmtId="0" fontId="22" fillId="0" borderId="13" xfId="12" applyFont="1" applyBorder="1" applyAlignment="1">
      <alignment horizontal="justify" vertical="center" wrapText="1"/>
    </xf>
    <xf numFmtId="0" fontId="26" fillId="12" borderId="22" xfId="0" applyFont="1" applyFill="1" applyBorder="1" applyAlignment="1">
      <alignment horizontal="center" vertical="center"/>
    </xf>
    <xf numFmtId="0" fontId="26" fillId="12" borderId="2" xfId="0" applyFont="1" applyFill="1" applyBorder="1" applyAlignment="1">
      <alignment horizontal="center" vertical="center"/>
    </xf>
    <xf numFmtId="0" fontId="26" fillId="12" borderId="23" xfId="0" applyFont="1" applyFill="1" applyBorder="1" applyAlignment="1">
      <alignment horizontal="center" vertical="center"/>
    </xf>
    <xf numFmtId="0" fontId="28" fillId="13" borderId="34" xfId="0" applyFont="1" applyFill="1" applyBorder="1" applyAlignment="1">
      <alignment horizontal="center" vertical="center" wrapText="1"/>
    </xf>
    <xf numFmtId="0" fontId="28" fillId="13" borderId="35" xfId="0" applyFont="1" applyFill="1" applyBorder="1" applyAlignment="1">
      <alignment horizontal="center" vertical="center" wrapText="1"/>
    </xf>
    <xf numFmtId="0" fontId="28" fillId="13" borderId="26" xfId="0" applyFont="1" applyFill="1" applyBorder="1" applyAlignment="1">
      <alignment horizontal="center" vertical="center" wrapText="1"/>
    </xf>
    <xf numFmtId="0" fontId="28" fillId="13" borderId="33" xfId="0" applyFont="1" applyFill="1" applyBorder="1" applyAlignment="1">
      <alignment horizontal="center" vertical="center" wrapText="1"/>
    </xf>
    <xf numFmtId="1" fontId="15" fillId="2" borderId="7" xfId="0" applyNumberFormat="1" applyFont="1" applyFill="1" applyBorder="1" applyAlignment="1">
      <alignment horizontal="center" vertical="center"/>
    </xf>
    <xf numFmtId="1" fontId="15" fillId="2" borderId="9" xfId="0" applyNumberFormat="1" applyFont="1" applyFill="1" applyBorder="1" applyAlignment="1">
      <alignment horizontal="center" vertical="center"/>
    </xf>
    <xf numFmtId="1" fontId="15" fillId="2" borderId="12" xfId="0" applyNumberFormat="1" applyFont="1" applyFill="1" applyBorder="1" applyAlignment="1">
      <alignment horizontal="center" vertical="center"/>
    </xf>
    <xf numFmtId="0" fontId="28" fillId="13" borderId="3" xfId="0" applyFont="1" applyFill="1" applyBorder="1" applyAlignment="1">
      <alignment horizontal="center" vertical="center" wrapText="1"/>
    </xf>
    <xf numFmtId="0" fontId="28" fillId="13" borderId="32" xfId="0" applyFont="1" applyFill="1" applyBorder="1" applyAlignment="1">
      <alignment horizontal="center" vertical="center" wrapText="1"/>
    </xf>
    <xf numFmtId="0" fontId="28" fillId="13" borderId="38" xfId="0" applyFont="1" applyFill="1" applyBorder="1" applyAlignment="1">
      <alignment horizontal="center" vertical="center" wrapText="1"/>
    </xf>
    <xf numFmtId="0" fontId="28" fillId="13" borderId="17" xfId="0" applyFont="1" applyFill="1" applyBorder="1" applyAlignment="1">
      <alignment horizontal="center" vertical="center" wrapText="1"/>
    </xf>
    <xf numFmtId="0" fontId="28" fillId="13" borderId="18" xfId="0" applyFont="1" applyFill="1" applyBorder="1" applyAlignment="1">
      <alignment horizontal="center" vertical="center" wrapText="1"/>
    </xf>
    <xf numFmtId="0" fontId="15" fillId="2" borderId="20" xfId="0" applyFont="1" applyFill="1" applyBorder="1" applyAlignment="1">
      <alignment horizontal="center" vertical="center"/>
    </xf>
    <xf numFmtId="0" fontId="15" fillId="2" borderId="24" xfId="0" applyFont="1" applyFill="1" applyBorder="1" applyAlignment="1">
      <alignment horizontal="center" vertical="center"/>
    </xf>
    <xf numFmtId="0" fontId="15" fillId="2" borderId="21" xfId="0" applyFont="1" applyFill="1" applyBorder="1" applyAlignment="1">
      <alignment horizontal="center" vertical="center"/>
    </xf>
    <xf numFmtId="0" fontId="26" fillId="12" borderId="40" xfId="0" applyFont="1" applyFill="1" applyBorder="1" applyAlignment="1">
      <alignment horizontal="center" vertical="center"/>
    </xf>
    <xf numFmtId="0" fontId="26" fillId="12" borderId="41" xfId="0" applyFont="1" applyFill="1" applyBorder="1" applyAlignment="1">
      <alignment horizontal="center" vertical="center"/>
    </xf>
    <xf numFmtId="0" fontId="26" fillId="12" borderId="43" xfId="0" applyFont="1" applyFill="1" applyBorder="1" applyAlignment="1">
      <alignment horizontal="center" vertical="center"/>
    </xf>
    <xf numFmtId="0" fontId="15" fillId="2" borderId="26" xfId="0" applyFont="1" applyFill="1" applyBorder="1" applyAlignment="1">
      <alignment horizontal="left"/>
    </xf>
    <xf numFmtId="0" fontId="15" fillId="2" borderId="27" xfId="0" applyFont="1" applyFill="1" applyBorder="1" applyAlignment="1">
      <alignment horizontal="left"/>
    </xf>
    <xf numFmtId="0" fontId="15" fillId="2" borderId="0" xfId="0" quotePrefix="1" applyFont="1" applyFill="1" applyAlignment="1">
      <alignment horizontal="left"/>
    </xf>
    <xf numFmtId="0" fontId="15" fillId="2" borderId="0" xfId="0" applyFont="1" applyFill="1" applyAlignment="1">
      <alignment horizontal="left"/>
    </xf>
    <xf numFmtId="0" fontId="15" fillId="2" borderId="8" xfId="0" applyFont="1" applyFill="1" applyBorder="1" applyAlignment="1">
      <alignment horizontal="left"/>
    </xf>
    <xf numFmtId="0" fontId="15" fillId="2" borderId="1" xfId="0" applyFont="1" applyFill="1" applyBorder="1" applyAlignment="1">
      <alignment horizontal="left"/>
    </xf>
    <xf numFmtId="0" fontId="15" fillId="2" borderId="10" xfId="0" applyFont="1" applyFill="1" applyBorder="1" applyAlignment="1">
      <alignment horizontal="left" wrapText="1"/>
    </xf>
    <xf numFmtId="0" fontId="15" fillId="2" borderId="11" xfId="0" applyFont="1" applyFill="1" applyBorder="1" applyAlignment="1">
      <alignment horizontal="left" wrapText="1"/>
    </xf>
    <xf numFmtId="0" fontId="15" fillId="2" borderId="8" xfId="0" applyFont="1" applyFill="1" applyBorder="1" applyAlignment="1">
      <alignment horizontal="left" wrapText="1"/>
    </xf>
    <xf numFmtId="0" fontId="15" fillId="2" borderId="1" xfId="0" applyFont="1" applyFill="1" applyBorder="1" applyAlignment="1">
      <alignment horizontal="left" wrapText="1"/>
    </xf>
    <xf numFmtId="0" fontId="35" fillId="2" borderId="0" xfId="0" applyFont="1" applyFill="1" applyAlignment="1">
      <alignment horizontal="left" vertical="top"/>
    </xf>
    <xf numFmtId="0" fontId="15" fillId="4" borderId="9" xfId="0" applyFont="1" applyFill="1" applyBorder="1" applyAlignment="1">
      <alignment horizontal="center"/>
    </xf>
    <xf numFmtId="0" fontId="26" fillId="12" borderId="5" xfId="0" applyFont="1" applyFill="1" applyBorder="1" applyAlignment="1">
      <alignment horizontal="center" vertical="center"/>
    </xf>
    <xf numFmtId="0" fontId="26" fillId="12" borderId="6" xfId="0" applyFont="1" applyFill="1" applyBorder="1" applyAlignment="1">
      <alignment horizontal="center" vertical="center"/>
    </xf>
    <xf numFmtId="0" fontId="26" fillId="12" borderId="7" xfId="0" applyFont="1" applyFill="1" applyBorder="1" applyAlignment="1">
      <alignment horizontal="center" vertical="center"/>
    </xf>
    <xf numFmtId="0" fontId="26" fillId="12" borderId="10"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6" fillId="12" borderId="36" xfId="0" applyFont="1" applyFill="1" applyBorder="1" applyAlignment="1">
      <alignment horizontal="center" vertical="center"/>
    </xf>
    <xf numFmtId="0" fontId="26" fillId="12" borderId="37" xfId="0" applyFont="1" applyFill="1" applyBorder="1" applyAlignment="1">
      <alignment horizontal="center" vertical="center"/>
    </xf>
    <xf numFmtId="0" fontId="26" fillId="12" borderId="42" xfId="0" applyFont="1" applyFill="1" applyBorder="1" applyAlignment="1">
      <alignment horizontal="center" vertical="center"/>
    </xf>
    <xf numFmtId="0" fontId="22" fillId="2" borderId="33" xfId="12" applyFont="1" applyFill="1" applyBorder="1" applyAlignment="1">
      <alignment horizontal="left" wrapText="1"/>
    </xf>
    <xf numFmtId="0" fontId="22" fillId="2" borderId="31" xfId="12" applyFont="1" applyFill="1" applyBorder="1" applyAlignment="1">
      <alignment horizontal="left" wrapText="1"/>
    </xf>
    <xf numFmtId="0" fontId="17" fillId="2" borderId="0" xfId="0" applyFont="1" applyFill="1" applyAlignment="1">
      <alignment horizontal="justify" vertical="top" wrapText="1"/>
    </xf>
    <xf numFmtId="0" fontId="22" fillId="0" borderId="5" xfId="12" applyFont="1" applyFill="1" applyBorder="1" applyAlignment="1">
      <alignment horizontal="left"/>
    </xf>
    <xf numFmtId="0" fontId="22" fillId="0" borderId="6" xfId="12" applyFont="1" applyFill="1" applyBorder="1" applyAlignment="1">
      <alignment horizontal="left"/>
    </xf>
    <xf numFmtId="0" fontId="15" fillId="0" borderId="45" xfId="0" applyFont="1" applyBorder="1" applyAlignment="1">
      <alignment horizontal="left"/>
    </xf>
    <xf numFmtId="0" fontId="15" fillId="0" borderId="19" xfId="0" applyFont="1" applyBorder="1" applyAlignment="1">
      <alignment horizontal="left"/>
    </xf>
    <xf numFmtId="0" fontId="15" fillId="0" borderId="8" xfId="0" applyFont="1" applyBorder="1" applyAlignment="1">
      <alignment horizontal="left"/>
    </xf>
    <xf numFmtId="0" fontId="15" fillId="0" borderId="1" xfId="0" applyFont="1" applyBorder="1" applyAlignment="1">
      <alignment horizontal="left"/>
    </xf>
    <xf numFmtId="0" fontId="22" fillId="0" borderId="8" xfId="12" applyFont="1" applyFill="1" applyBorder="1" applyAlignment="1">
      <alignment horizontal="left"/>
    </xf>
    <xf numFmtId="0" fontId="22" fillId="0" borderId="1" xfId="12" applyFont="1" applyFill="1" applyBorder="1" applyAlignment="1">
      <alignment horizontal="left"/>
    </xf>
    <xf numFmtId="164" fontId="28" fillId="13" borderId="22" xfId="0" applyNumberFormat="1" applyFont="1" applyFill="1" applyBorder="1" applyAlignment="1">
      <alignment horizontal="center" vertical="center" wrapText="1"/>
    </xf>
    <xf numFmtId="164" fontId="28" fillId="13" borderId="23" xfId="0" applyNumberFormat="1" applyFont="1" applyFill="1" applyBorder="1" applyAlignment="1">
      <alignment horizontal="center" vertical="center" wrapText="1"/>
    </xf>
    <xf numFmtId="169" fontId="15" fillId="4" borderId="28" xfId="15" applyNumberFormat="1" applyFont="1" applyFill="1" applyBorder="1" applyAlignment="1">
      <alignment horizontal="right"/>
    </xf>
    <xf numFmtId="169" fontId="15" fillId="4" borderId="19" xfId="15" applyNumberFormat="1" applyFont="1" applyFill="1" applyBorder="1" applyAlignment="1">
      <alignment horizontal="right"/>
    </xf>
    <xf numFmtId="0" fontId="15" fillId="2" borderId="5" xfId="0" applyFont="1" applyFill="1" applyBorder="1" applyAlignment="1">
      <alignment horizontal="left" wrapText="1"/>
    </xf>
    <xf numFmtId="0" fontId="15" fillId="2" borderId="6" xfId="0" applyFont="1" applyFill="1" applyBorder="1" applyAlignment="1">
      <alignment horizontal="left" wrapText="1"/>
    </xf>
    <xf numFmtId="0" fontId="39" fillId="2" borderId="10" xfId="12" applyFont="1" applyFill="1" applyBorder="1" applyAlignment="1">
      <alignment horizontal="left" wrapText="1"/>
    </xf>
    <xf numFmtId="0" fontId="39" fillId="2" borderId="11" xfId="12" applyFont="1" applyFill="1" applyBorder="1" applyAlignment="1">
      <alignment horizontal="left" wrapText="1"/>
    </xf>
    <xf numFmtId="169" fontId="15" fillId="3" borderId="28" xfId="15" applyNumberFormat="1" applyFont="1" applyFill="1" applyBorder="1" applyAlignment="1">
      <alignment horizontal="right"/>
    </xf>
    <xf numFmtId="169" fontId="15" fillId="3" borderId="19" xfId="15" applyNumberFormat="1" applyFont="1" applyFill="1" applyBorder="1" applyAlignment="1">
      <alignment horizontal="right"/>
    </xf>
    <xf numFmtId="169" fontId="15" fillId="4" borderId="30" xfId="15" applyNumberFormat="1" applyFont="1" applyFill="1" applyBorder="1" applyAlignment="1">
      <alignment horizontal="right"/>
    </xf>
    <xf numFmtId="169" fontId="15" fillId="4" borderId="31" xfId="15" applyNumberFormat="1" applyFont="1" applyFill="1" applyBorder="1" applyAlignment="1">
      <alignment horizontal="right"/>
    </xf>
    <xf numFmtId="0" fontId="22" fillId="2" borderId="0" xfId="12" applyFont="1" applyFill="1" applyAlignment="1">
      <alignment horizontal="justify" vertical="center" wrapText="1"/>
    </xf>
    <xf numFmtId="0" fontId="28" fillId="13" borderId="1" xfId="0" applyFont="1" applyFill="1" applyBorder="1" applyAlignment="1">
      <alignment horizontal="center" vertical="center" wrapText="1"/>
    </xf>
    <xf numFmtId="1" fontId="15" fillId="2" borderId="1" xfId="0" applyNumberFormat="1" applyFont="1" applyFill="1" applyBorder="1" applyAlignment="1">
      <alignment horizontal="center" vertical="center"/>
    </xf>
    <xf numFmtId="0" fontId="26" fillId="12" borderId="1" xfId="0" applyFont="1" applyFill="1" applyBorder="1" applyAlignment="1">
      <alignment horizontal="center" vertical="center"/>
    </xf>
    <xf numFmtId="0" fontId="34" fillId="2" borderId="0" xfId="0" applyFont="1" applyFill="1" applyAlignment="1">
      <alignment horizontal="center" vertical="center"/>
    </xf>
    <xf numFmtId="0" fontId="17" fillId="2" borderId="0" xfId="0" applyFont="1" applyFill="1" applyAlignment="1">
      <alignment horizontal="justify" vertical="center" wrapText="1"/>
    </xf>
    <xf numFmtId="0" fontId="26" fillId="12" borderId="1" xfId="0" applyFont="1" applyFill="1" applyBorder="1" applyAlignment="1">
      <alignment horizontal="center" vertical="center" wrapText="1"/>
    </xf>
    <xf numFmtId="0" fontId="35" fillId="2" borderId="0" xfId="0" applyFont="1" applyFill="1" applyAlignment="1">
      <alignment horizontal="left"/>
    </xf>
    <xf numFmtId="0" fontId="28" fillId="2" borderId="29" xfId="0" applyFont="1" applyFill="1" applyBorder="1" applyAlignment="1">
      <alignment horizontal="center" vertical="center"/>
    </xf>
    <xf numFmtId="0" fontId="28" fillId="2" borderId="0" xfId="0" applyFont="1" applyFill="1" applyAlignment="1">
      <alignment horizontal="center" vertical="center"/>
    </xf>
    <xf numFmtId="0" fontId="28" fillId="2" borderId="44" xfId="0" applyFont="1" applyFill="1" applyBorder="1" applyAlignment="1">
      <alignment horizontal="center" vertical="center"/>
    </xf>
    <xf numFmtId="167" fontId="15" fillId="2" borderId="0" xfId="0" applyNumberFormat="1" applyFont="1" applyFill="1" applyAlignment="1">
      <alignment horizontal="left"/>
    </xf>
    <xf numFmtId="0" fontId="17" fillId="2" borderId="0" xfId="0" applyFont="1" applyFill="1" applyAlignment="1">
      <alignment horizontal="left" vertical="center" wrapText="1"/>
    </xf>
    <xf numFmtId="0" fontId="27" fillId="12" borderId="17" xfId="0" applyFont="1" applyFill="1" applyBorder="1" applyAlignment="1">
      <alignment horizontal="center" vertical="center" wrapText="1"/>
    </xf>
    <xf numFmtId="0" fontId="17" fillId="3" borderId="5" xfId="0" applyFont="1" applyFill="1" applyBorder="1" applyAlignment="1">
      <alignment horizontal="left" vertical="center" wrapText="1"/>
    </xf>
    <xf numFmtId="0" fontId="17" fillId="3" borderId="6" xfId="0" applyFont="1" applyFill="1" applyBorder="1" applyAlignment="1">
      <alignment horizontal="left" vertical="center" wrapText="1"/>
    </xf>
    <xf numFmtId="0" fontId="17" fillId="3" borderId="45" xfId="0" applyFont="1" applyFill="1" applyBorder="1" applyAlignment="1">
      <alignment horizontal="left" vertical="center" wrapText="1"/>
    </xf>
    <xf numFmtId="0" fontId="17" fillId="3" borderId="46" xfId="0" applyFont="1" applyFill="1" applyBorder="1" applyAlignment="1">
      <alignment horizontal="left" vertical="center" wrapText="1"/>
    </xf>
    <xf numFmtId="0" fontId="17" fillId="3" borderId="19" xfId="0" applyFont="1" applyFill="1" applyBorder="1" applyAlignment="1">
      <alignment horizontal="left" vertical="center" wrapText="1"/>
    </xf>
    <xf numFmtId="0" fontId="17" fillId="3" borderId="45" xfId="0" applyFont="1" applyFill="1" applyBorder="1" applyAlignment="1">
      <alignment vertical="center" wrapText="1"/>
    </xf>
    <xf numFmtId="0" fontId="17" fillId="3" borderId="46" xfId="0" applyFont="1" applyFill="1" applyBorder="1" applyAlignment="1">
      <alignment vertical="center" wrapText="1"/>
    </xf>
    <xf numFmtId="0" fontId="17" fillId="3" borderId="19" xfId="0" applyFont="1" applyFill="1" applyBorder="1" applyAlignment="1">
      <alignment vertical="center" wrapText="1"/>
    </xf>
    <xf numFmtId="0" fontId="17" fillId="7" borderId="45" xfId="0" applyFont="1" applyFill="1" applyBorder="1" applyAlignment="1">
      <alignment horizontal="left" vertical="center" wrapText="1"/>
    </xf>
    <xf numFmtId="0" fontId="17" fillId="7" borderId="46"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9" borderId="8" xfId="0" applyFont="1" applyFill="1" applyBorder="1" applyAlignment="1">
      <alignment horizontal="left" vertical="center" wrapText="1"/>
    </xf>
    <xf numFmtId="0" fontId="17" fillId="9" borderId="1" xfId="0" applyFont="1" applyFill="1" applyBorder="1" applyAlignment="1">
      <alignment horizontal="left" vertical="center" wrapText="1"/>
    </xf>
    <xf numFmtId="0" fontId="17" fillId="8" borderId="45" xfId="0" applyFont="1" applyFill="1" applyBorder="1" applyAlignment="1">
      <alignment horizontal="left" vertical="center" wrapText="1"/>
    </xf>
    <xf numFmtId="0" fontId="17" fillId="8" borderId="46" xfId="0" applyFont="1" applyFill="1" applyBorder="1" applyAlignment="1">
      <alignment horizontal="left" vertical="center" wrapText="1"/>
    </xf>
    <xf numFmtId="0" fontId="17" fillId="8" borderId="19" xfId="0" applyFont="1" applyFill="1" applyBorder="1" applyAlignment="1">
      <alignment horizontal="left" vertical="center" wrapText="1"/>
    </xf>
    <xf numFmtId="0" fontId="17" fillId="10" borderId="45" xfId="0" applyFont="1" applyFill="1" applyBorder="1" applyAlignment="1">
      <alignment vertical="center" wrapText="1"/>
    </xf>
    <xf numFmtId="0" fontId="17" fillId="10" borderId="46" xfId="0" applyFont="1" applyFill="1" applyBorder="1" applyAlignment="1">
      <alignment vertical="center" wrapText="1"/>
    </xf>
    <xf numFmtId="0" fontId="17" fillId="10" borderId="19" xfId="0" applyFont="1" applyFill="1" applyBorder="1" applyAlignment="1">
      <alignment vertical="center" wrapText="1"/>
    </xf>
    <xf numFmtId="0" fontId="17" fillId="9" borderId="45" xfId="0" applyFont="1" applyFill="1" applyBorder="1" applyAlignment="1">
      <alignment horizontal="left" vertical="center" wrapText="1"/>
    </xf>
    <xf numFmtId="0" fontId="17" fillId="9" borderId="46" xfId="0" applyFont="1" applyFill="1" applyBorder="1" applyAlignment="1">
      <alignment horizontal="left" vertical="center" wrapText="1"/>
    </xf>
    <xf numFmtId="0" fontId="17" fillId="9" borderId="19" xfId="0" applyFont="1" applyFill="1" applyBorder="1" applyAlignment="1">
      <alignment horizontal="left" vertical="center" wrapText="1"/>
    </xf>
    <xf numFmtId="0" fontId="28" fillId="2" borderId="8" xfId="0" applyFont="1" applyFill="1" applyBorder="1" applyAlignment="1">
      <alignment horizontal="right" vertical="center" wrapText="1"/>
    </xf>
    <xf numFmtId="0" fontId="28" fillId="2" borderId="1" xfId="0" applyFont="1" applyFill="1" applyBorder="1" applyAlignment="1">
      <alignment horizontal="right" vertical="center" wrapText="1"/>
    </xf>
    <xf numFmtId="0" fontId="27" fillId="12" borderId="8" xfId="0" applyFont="1" applyFill="1" applyBorder="1" applyAlignment="1">
      <alignment horizontal="right" vertical="center" wrapText="1"/>
    </xf>
    <xf numFmtId="0" fontId="27" fillId="12" borderId="1" xfId="0" applyFont="1" applyFill="1" applyBorder="1" applyAlignment="1">
      <alignment horizontal="right" vertical="center" wrapText="1"/>
    </xf>
    <xf numFmtId="168" fontId="27" fillId="12" borderId="1" xfId="15" applyNumberFormat="1" applyFont="1" applyFill="1" applyBorder="1" applyAlignment="1">
      <alignment horizontal="justify" vertical="center" wrapText="1"/>
    </xf>
    <xf numFmtId="168" fontId="27" fillId="12" borderId="9" xfId="15" applyNumberFormat="1" applyFont="1" applyFill="1" applyBorder="1" applyAlignment="1">
      <alignment horizontal="justify" vertical="center" wrapText="1"/>
    </xf>
    <xf numFmtId="0" fontId="17" fillId="4" borderId="45" xfId="0" applyFont="1" applyFill="1" applyBorder="1" applyAlignment="1">
      <alignment vertical="center" wrapText="1"/>
    </xf>
    <xf numFmtId="0" fontId="17" fillId="4" borderId="46" xfId="0" applyFont="1" applyFill="1" applyBorder="1" applyAlignment="1">
      <alignment vertical="center" wrapText="1"/>
    </xf>
    <xf numFmtId="0" fontId="17" fillId="4" borderId="19" xfId="0" applyFont="1" applyFill="1" applyBorder="1" applyAlignment="1">
      <alignment vertical="center" wrapText="1"/>
    </xf>
    <xf numFmtId="0" fontId="17" fillId="2" borderId="28" xfId="0" applyFont="1" applyFill="1" applyBorder="1" applyAlignment="1">
      <alignment horizontal="center" vertical="center" wrapText="1"/>
    </xf>
    <xf numFmtId="0" fontId="17" fillId="2" borderId="46" xfId="0" applyFont="1" applyFill="1" applyBorder="1" applyAlignment="1">
      <alignment horizontal="center" vertical="center" wrapText="1"/>
    </xf>
    <xf numFmtId="0" fontId="17" fillId="2" borderId="47" xfId="0" applyFont="1" applyFill="1" applyBorder="1" applyAlignment="1">
      <alignment horizontal="center" vertical="center" wrapText="1"/>
    </xf>
    <xf numFmtId="0" fontId="17" fillId="2" borderId="30" xfId="0" applyFont="1" applyFill="1" applyBorder="1" applyAlignment="1">
      <alignment horizontal="center" vertical="center" wrapText="1"/>
    </xf>
    <xf numFmtId="0" fontId="17" fillId="2" borderId="35" xfId="0" applyFont="1" applyFill="1" applyBorder="1" applyAlignment="1">
      <alignment horizontal="center" vertical="center" wrapText="1"/>
    </xf>
    <xf numFmtId="0" fontId="17" fillId="2" borderId="50" xfId="0" applyFont="1" applyFill="1" applyBorder="1" applyAlignment="1">
      <alignment horizontal="center" vertical="center" wrapText="1"/>
    </xf>
    <xf numFmtId="0" fontId="17" fillId="2" borderId="45" xfId="0" applyFont="1" applyFill="1" applyBorder="1" applyAlignment="1">
      <alignment horizontal="left" vertical="center"/>
    </xf>
    <xf numFmtId="0" fontId="17" fillId="2" borderId="46" xfId="0" applyFont="1" applyFill="1" applyBorder="1" applyAlignment="1">
      <alignment horizontal="left" vertical="center"/>
    </xf>
    <xf numFmtId="0" fontId="17" fillId="2" borderId="33" xfId="0" applyFont="1" applyFill="1" applyBorder="1" applyAlignment="1">
      <alignment horizontal="left" vertical="center"/>
    </xf>
    <xf numFmtId="0" fontId="17" fillId="2" borderId="35" xfId="0" applyFont="1" applyFill="1" applyBorder="1" applyAlignment="1">
      <alignment horizontal="left" vertical="center"/>
    </xf>
    <xf numFmtId="0" fontId="28" fillId="2" borderId="22" xfId="0" applyFont="1" applyFill="1" applyBorder="1" applyAlignment="1">
      <alignment horizontal="center" vertical="center" wrapText="1"/>
    </xf>
    <xf numFmtId="0" fontId="28" fillId="2" borderId="2" xfId="0" applyFont="1" applyFill="1" applyBorder="1" applyAlignment="1">
      <alignment horizontal="center" vertical="center" wrapText="1"/>
    </xf>
    <xf numFmtId="0" fontId="28" fillId="2" borderId="23" xfId="0" applyFont="1" applyFill="1" applyBorder="1" applyAlignment="1">
      <alignment horizontal="center" vertical="center" wrapText="1"/>
    </xf>
    <xf numFmtId="0" fontId="17" fillId="2" borderId="0" xfId="0" applyFont="1" applyFill="1" applyAlignment="1">
      <alignment horizontal="center" vertical="center" wrapText="1"/>
    </xf>
    <xf numFmtId="10" fontId="17" fillId="2" borderId="45" xfId="0" applyNumberFormat="1" applyFont="1" applyFill="1" applyBorder="1" applyAlignment="1">
      <alignment horizontal="center" vertical="center" wrapText="1"/>
    </xf>
    <xf numFmtId="10" fontId="17" fillId="2" borderId="47" xfId="0" applyNumberFormat="1" applyFont="1" applyFill="1" applyBorder="1" applyAlignment="1">
      <alignment horizontal="center" vertical="center" wrapText="1"/>
    </xf>
    <xf numFmtId="10" fontId="17" fillId="2" borderId="8" xfId="0" applyNumberFormat="1" applyFont="1" applyFill="1" applyBorder="1" applyAlignment="1">
      <alignment horizontal="center" vertical="center" wrapText="1"/>
    </xf>
    <xf numFmtId="0" fontId="17" fillId="2" borderId="9" xfId="0" applyFont="1" applyFill="1" applyBorder="1" applyAlignment="1">
      <alignment horizontal="center" vertical="center" wrapText="1"/>
    </xf>
    <xf numFmtId="10" fontId="17" fillId="2" borderId="10" xfId="0" applyNumberFormat="1" applyFont="1" applyFill="1" applyBorder="1" applyAlignment="1">
      <alignment horizontal="center" vertical="center" wrapText="1"/>
    </xf>
    <xf numFmtId="0" fontId="17" fillId="2" borderId="12" xfId="0" applyFont="1" applyFill="1" applyBorder="1" applyAlignment="1">
      <alignment horizontal="center" vertical="center" wrapText="1"/>
    </xf>
    <xf numFmtId="0" fontId="27" fillId="12" borderId="15" xfId="0" applyFont="1" applyFill="1" applyBorder="1" applyAlignment="1">
      <alignment horizontal="center" vertical="center" wrapText="1"/>
    </xf>
    <xf numFmtId="0" fontId="27" fillId="12" borderId="16" xfId="0" applyFont="1" applyFill="1" applyBorder="1" applyAlignment="1">
      <alignment horizontal="center" vertical="center" wrapText="1"/>
    </xf>
    <xf numFmtId="10" fontId="17" fillId="2" borderId="13" xfId="0" applyNumberFormat="1" applyFont="1" applyFill="1" applyBorder="1" applyAlignment="1">
      <alignment horizontal="center" vertical="center" wrapText="1"/>
    </xf>
    <xf numFmtId="10" fontId="17" fillId="2" borderId="14" xfId="0" applyNumberFormat="1" applyFont="1" applyFill="1" applyBorder="1" applyAlignment="1">
      <alignment horizontal="center" vertical="center" wrapText="1"/>
    </xf>
    <xf numFmtId="10" fontId="17" fillId="2" borderId="26" xfId="0" applyNumberFormat="1" applyFont="1" applyFill="1" applyBorder="1" applyAlignment="1">
      <alignment horizontal="center" vertical="center" wrapText="1"/>
    </xf>
    <xf numFmtId="10" fontId="17" fillId="2" borderId="55" xfId="0" applyNumberFormat="1" applyFont="1" applyFill="1" applyBorder="1" applyAlignment="1">
      <alignment horizontal="center" vertical="center" wrapText="1"/>
    </xf>
    <xf numFmtId="0" fontId="47" fillId="2" borderId="0" xfId="0" applyFont="1" applyFill="1" applyAlignment="1">
      <alignment horizontal="center" vertical="center" wrapText="1"/>
    </xf>
    <xf numFmtId="169" fontId="15" fillId="2" borderId="1" xfId="15" applyNumberFormat="1" applyFont="1" applyFill="1" applyBorder="1" applyAlignment="1">
      <alignment horizontal="center"/>
    </xf>
    <xf numFmtId="2" fontId="15" fillId="2" borderId="1" xfId="15" applyNumberFormat="1" applyFont="1" applyFill="1" applyBorder="1" applyAlignment="1">
      <alignment horizontal="right"/>
    </xf>
    <xf numFmtId="0" fontId="35" fillId="2" borderId="0" xfId="0" applyFont="1" applyFill="1" applyAlignment="1">
      <alignment horizontal="center" vertical="center" wrapText="1"/>
    </xf>
    <xf numFmtId="0" fontId="36" fillId="2" borderId="0" xfId="0" applyFont="1" applyFill="1" applyAlignment="1">
      <alignment horizontal="center" vertical="center" wrapText="1"/>
    </xf>
    <xf numFmtId="0" fontId="15" fillId="0" borderId="49" xfId="0" applyFont="1" applyBorder="1" applyAlignment="1">
      <alignment horizontal="center"/>
    </xf>
  </cellXfs>
  <cellStyles count="32">
    <cellStyle name="Hipervínculo" xfId="12" builtinId="8"/>
    <cellStyle name="Hipervínculo 2" xfId="3" xr:uid="{C7CA6E8B-E854-4259-B1A9-29854D13F6C2}"/>
    <cellStyle name="Hipervínculo 2 2" xfId="10" xr:uid="{59CC2766-8491-443D-BD45-187E23387C93}"/>
    <cellStyle name="Hipervínculo 3" xfId="5" xr:uid="{3717E50E-4C2F-4010-B4DD-3A14F09CE795}"/>
    <cellStyle name="Hipervínculo 3 2" xfId="23" xr:uid="{7D1BF699-486E-482B-9A3D-186785D24256}"/>
    <cellStyle name="Hipervínculo 3 3" xfId="22" xr:uid="{463C8DDE-9982-41DC-AC8A-0CBF63D6AE89}"/>
    <cellStyle name="Hipervínculo 4" xfId="9" xr:uid="{E361910D-A098-41EA-AE99-FA6B2F86FDD6}"/>
    <cellStyle name="Millares [0] 2" xfId="19" xr:uid="{636CEFE0-5A71-4087-AFBF-CEA99ABD1446}"/>
    <cellStyle name="Moneda" xfId="15" builtinId="4"/>
    <cellStyle name="Moneda [0]" xfId="1" builtinId="7"/>
    <cellStyle name="Normal" xfId="0" builtinId="0"/>
    <cellStyle name="Normal 11" xfId="31" xr:uid="{CA164BB5-5F58-4192-A249-16999831FBB5}"/>
    <cellStyle name="Normal 15 2" xfId="30" xr:uid="{9CC68D9C-9156-4FD0-8286-18E00CF01142}"/>
    <cellStyle name="Normal 2" xfId="2" xr:uid="{EFBCA2B7-EEB3-42FF-9DCA-D891C2584D62}"/>
    <cellStyle name="Normal 2 2" xfId="21" xr:uid="{971FDFEB-3492-43E0-99D1-3818A91BE59B}"/>
    <cellStyle name="Normal 2 3" xfId="18" xr:uid="{F3FEAF9D-F4BE-455F-8B3F-033C1169DD14}"/>
    <cellStyle name="Normal 3" xfId="4" xr:uid="{1632D378-B330-4312-BD54-A7A099AA9847}"/>
    <cellStyle name="Normal 3 2" xfId="8" xr:uid="{3793BD86-802A-4D47-8A52-AB3D6D5D2331}"/>
    <cellStyle name="Normal 4" xfId="6" xr:uid="{94E1B3F6-9103-4D6E-AA21-6740AA876313}"/>
    <cellStyle name="Normal 4 2" xfId="7" xr:uid="{093F816F-C78C-48D6-BE8F-7D67C09C40A6}"/>
    <cellStyle name="Normal 4 2 2" xfId="28" xr:uid="{A3065109-C999-43DB-8180-3B0E68C8D489}"/>
    <cellStyle name="Normal 4 3" xfId="13" xr:uid="{7242C95A-FB1D-49F7-BB50-5F1894BAFA17}"/>
    <cellStyle name="Normal 5" xfId="11" xr:uid="{83ABB690-930F-4B6F-B79E-7C9B5FD72AD4}"/>
    <cellStyle name="Normal 5 2" xfId="14" xr:uid="{1749EFB5-645D-4904-B72F-94361C1A612E}"/>
    <cellStyle name="Normal 5 3" xfId="24" xr:uid="{3C0CCC3D-6A33-48A3-A2BB-9EA859254D52}"/>
    <cellStyle name="Normal 5 4" xfId="25" xr:uid="{CC27C2EE-E48A-46B0-A1F0-469350C8AB7E}"/>
    <cellStyle name="Normal 6" xfId="17" xr:uid="{C56534A2-0B53-404A-AD82-EE1F9A80170A}"/>
    <cellStyle name="Normal 6 3" xfId="29" xr:uid="{2729A5D4-191D-40CA-8AD6-9880510FFEAE}"/>
    <cellStyle name="Normal 7" xfId="26" xr:uid="{95504868-3F6B-4097-A280-0F310C65F699}"/>
    <cellStyle name="Normal 8" xfId="27" xr:uid="{BD27E84A-5707-4EC1-B1A4-589C388503A2}"/>
    <cellStyle name="Porcentaje" xfId="16" builtinId="5"/>
    <cellStyle name="Porcentaje 2" xfId="20" xr:uid="{C7564DAB-B57F-47B1-B0C9-DB7200CBADA0}"/>
  </cellStyles>
  <dxfs count="0"/>
  <tableStyles count="0" defaultTableStyle="TableStyleMedium2" defaultPivotStyle="PivotStyleLight16"/>
  <colors>
    <mruColors>
      <color rgb="FF9DF878"/>
      <color rgb="FF2954DF"/>
      <color rgb="FF2E5FC2"/>
      <color rgb="FFCC99FF"/>
      <color rgb="FFFFFFCC"/>
      <color rgb="FFF3CFFD"/>
      <color rgb="FFFFFF66"/>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Resumen!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Resumen!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Resumen!A1"/><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792000</xdr:colOff>
      <xdr:row>2</xdr:row>
      <xdr:rowOff>477675</xdr:rowOff>
    </xdr:to>
    <xdr:pic>
      <xdr:nvPicPr>
        <xdr:cNvPr id="3" name="Imagen 2">
          <a:extLst>
            <a:ext uri="{FF2B5EF4-FFF2-40B4-BE49-F238E27FC236}">
              <a16:creationId xmlns:a16="http://schemas.microsoft.com/office/drawing/2014/main" id="{A1880EF6-6FDF-4D11-9256-FA9BF8A05A6E}"/>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792000</xdr:colOff>
      <xdr:row>2</xdr:row>
      <xdr:rowOff>477675</xdr:rowOff>
    </xdr:to>
    <xdr:pic>
      <xdr:nvPicPr>
        <xdr:cNvPr id="3" name="Imagen 2">
          <a:extLst>
            <a:ext uri="{FF2B5EF4-FFF2-40B4-BE49-F238E27FC236}">
              <a16:creationId xmlns:a16="http://schemas.microsoft.com/office/drawing/2014/main" id="{2CB8CD46-CB37-4B33-A0B6-891854658AFA}"/>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twoCellAnchor>
    <xdr:from>
      <xdr:col>2</xdr:col>
      <xdr:colOff>847725</xdr:colOff>
      <xdr:row>72</xdr:row>
      <xdr:rowOff>95250</xdr:rowOff>
    </xdr:from>
    <xdr:to>
      <xdr:col>5</xdr:col>
      <xdr:colOff>447675</xdr:colOff>
      <xdr:row>74</xdr:row>
      <xdr:rowOff>66975</xdr:rowOff>
    </xdr:to>
    <xdr:sp macro="" textlink="">
      <xdr:nvSpPr>
        <xdr:cNvPr id="2" name="Rectángulo: esquinas redondeadas 1">
          <a:hlinkClick xmlns:r="http://schemas.openxmlformats.org/officeDocument/2006/relationships" r:id="rId2"/>
          <a:extLst>
            <a:ext uri="{FF2B5EF4-FFF2-40B4-BE49-F238E27FC236}">
              <a16:creationId xmlns:a16="http://schemas.microsoft.com/office/drawing/2014/main" id="{439F11CF-DE11-A604-6914-C9AE88A8C8D4}"/>
            </a:ext>
          </a:extLst>
        </xdr:cNvPr>
        <xdr:cNvSpPr/>
      </xdr:nvSpPr>
      <xdr:spPr>
        <a:xfrm>
          <a:off x="1781175" y="30289500"/>
          <a:ext cx="7315200" cy="648000"/>
        </a:xfrm>
        <a:prstGeom prst="roundRect">
          <a:avLst/>
        </a:prstGeom>
        <a:solidFill>
          <a:srgbClr val="2954D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000" b="1">
              <a:latin typeface="Arial" panose="020B0604020202020204" pitchFamily="34" charset="0"/>
              <a:cs typeface="Arial" panose="020B0604020202020204" pitchFamily="34" charset="0"/>
            </a:rPr>
            <a:t>IR AL RESUMEN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792000</xdr:colOff>
      <xdr:row>2</xdr:row>
      <xdr:rowOff>477675</xdr:rowOff>
    </xdr:to>
    <xdr:pic>
      <xdr:nvPicPr>
        <xdr:cNvPr id="3" name="Imagen 2">
          <a:extLst>
            <a:ext uri="{FF2B5EF4-FFF2-40B4-BE49-F238E27FC236}">
              <a16:creationId xmlns:a16="http://schemas.microsoft.com/office/drawing/2014/main" id="{FD86AFB7-A571-49C7-9B03-DEFA1483156F}"/>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twoCellAnchor>
    <xdr:from>
      <xdr:col>0</xdr:col>
      <xdr:colOff>838199</xdr:colOff>
      <xdr:row>25</xdr:row>
      <xdr:rowOff>0</xdr:rowOff>
    </xdr:from>
    <xdr:to>
      <xdr:col>10</xdr:col>
      <xdr:colOff>723899</xdr:colOff>
      <xdr:row>28</xdr:row>
      <xdr:rowOff>47925</xdr:rowOff>
    </xdr:to>
    <xdr:sp macro="" textlink="">
      <xdr:nvSpPr>
        <xdr:cNvPr id="2" name="Rectángulo: esquinas redondeadas 1">
          <a:hlinkClick xmlns:r="http://schemas.openxmlformats.org/officeDocument/2006/relationships" r:id="rId2"/>
          <a:extLst>
            <a:ext uri="{FF2B5EF4-FFF2-40B4-BE49-F238E27FC236}">
              <a16:creationId xmlns:a16="http://schemas.microsoft.com/office/drawing/2014/main" id="{6983AA39-D038-4D52-ADD9-FD25561B3834}"/>
            </a:ext>
          </a:extLst>
        </xdr:cNvPr>
        <xdr:cNvSpPr/>
      </xdr:nvSpPr>
      <xdr:spPr>
        <a:xfrm>
          <a:off x="838199" y="8763000"/>
          <a:ext cx="10182225" cy="648000"/>
        </a:xfrm>
        <a:prstGeom prst="roundRect">
          <a:avLst/>
        </a:prstGeom>
        <a:solidFill>
          <a:srgbClr val="2954D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000" b="1">
              <a:latin typeface="Arial" panose="020B0604020202020204" pitchFamily="34" charset="0"/>
              <a:cs typeface="Arial" panose="020B0604020202020204" pitchFamily="34" charset="0"/>
            </a:rPr>
            <a:t>IR AL RESUMEN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788825</xdr:colOff>
      <xdr:row>3</xdr:row>
      <xdr:rowOff>20475</xdr:rowOff>
    </xdr:to>
    <xdr:pic>
      <xdr:nvPicPr>
        <xdr:cNvPr id="3" name="Imagen 2">
          <a:extLst>
            <a:ext uri="{FF2B5EF4-FFF2-40B4-BE49-F238E27FC236}">
              <a16:creationId xmlns:a16="http://schemas.microsoft.com/office/drawing/2014/main" id="{A03F2C9B-9530-481E-977E-185F20F374A5}"/>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twoCellAnchor>
    <xdr:from>
      <xdr:col>1</xdr:col>
      <xdr:colOff>0</xdr:colOff>
      <xdr:row>38</xdr:row>
      <xdr:rowOff>0</xdr:rowOff>
    </xdr:from>
    <xdr:to>
      <xdr:col>2</xdr:col>
      <xdr:colOff>2562225</xdr:colOff>
      <xdr:row>39</xdr:row>
      <xdr:rowOff>38400</xdr:rowOff>
    </xdr:to>
    <xdr:sp macro="" textlink="">
      <xdr:nvSpPr>
        <xdr:cNvPr id="2" name="Rectángulo: esquinas redondeadas 1">
          <a:hlinkClick xmlns:r="http://schemas.openxmlformats.org/officeDocument/2006/relationships" r:id="rId2"/>
          <a:extLst>
            <a:ext uri="{FF2B5EF4-FFF2-40B4-BE49-F238E27FC236}">
              <a16:creationId xmlns:a16="http://schemas.microsoft.com/office/drawing/2014/main" id="{6E209634-A6E6-4F2C-97B8-892F9B95AC87}"/>
            </a:ext>
          </a:extLst>
        </xdr:cNvPr>
        <xdr:cNvSpPr/>
      </xdr:nvSpPr>
      <xdr:spPr>
        <a:xfrm>
          <a:off x="838200" y="10467975"/>
          <a:ext cx="7010400" cy="648000"/>
        </a:xfrm>
        <a:prstGeom prst="roundRect">
          <a:avLst/>
        </a:prstGeom>
        <a:solidFill>
          <a:srgbClr val="2954D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2000" b="1">
              <a:latin typeface="Arial" panose="020B0604020202020204" pitchFamily="34" charset="0"/>
              <a:cs typeface="Arial" panose="020B0604020202020204" pitchFamily="34" charset="0"/>
            </a:rPr>
            <a:t>IR AL RESUMEN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407190</xdr:colOff>
      <xdr:row>6</xdr:row>
      <xdr:rowOff>26193</xdr:rowOff>
    </xdr:from>
    <xdr:to>
      <xdr:col>7</xdr:col>
      <xdr:colOff>581281</xdr:colOff>
      <xdr:row>11</xdr:row>
      <xdr:rowOff>102893</xdr:rowOff>
    </xdr:to>
    <xdr:pic macro="[0]!ExportarPDF">
      <xdr:nvPicPr>
        <xdr:cNvPr id="3" name="Imagen 2">
          <a:extLst>
            <a:ext uri="{FF2B5EF4-FFF2-40B4-BE49-F238E27FC236}">
              <a16:creationId xmlns:a16="http://schemas.microsoft.com/office/drawing/2014/main" id="{481CD858-6E9C-42F4-96A7-C20C1FEEF051}"/>
            </a:ext>
          </a:extLst>
        </xdr:cNvPr>
        <xdr:cNvPicPr>
          <a:picLocks noChangeAspect="1"/>
        </xdr:cNvPicPr>
      </xdr:nvPicPr>
      <xdr:blipFill>
        <a:blip xmlns:r="http://schemas.openxmlformats.org/officeDocument/2006/relationships" r:embed="rId1" cstate="print">
          <a:duotone>
            <a:prstClr val="black"/>
            <a:srgbClr val="396395">
              <a:tint val="45000"/>
              <a:satMod val="400000"/>
            </a:srgbClr>
          </a:duotone>
          <a:extLst>
            <a:ext uri="{28A0092B-C50C-407E-A947-70E740481C1C}">
              <a14:useLocalDpi xmlns:a14="http://schemas.microsoft.com/office/drawing/2010/main" val="0"/>
            </a:ext>
          </a:extLst>
        </a:blip>
        <a:stretch>
          <a:fillRect/>
        </a:stretch>
      </xdr:blipFill>
      <xdr:spPr>
        <a:xfrm>
          <a:off x="9208290" y="2388393"/>
          <a:ext cx="1015466" cy="1080000"/>
        </a:xfrm>
        <a:prstGeom prst="rect">
          <a:avLst/>
        </a:prstGeom>
      </xdr:spPr>
    </xdr:pic>
    <xdr:clientData/>
  </xdr:twoCellAnchor>
  <xdr:twoCellAnchor editAs="oneCell">
    <xdr:from>
      <xdr:col>0</xdr:col>
      <xdr:colOff>0</xdr:colOff>
      <xdr:row>0</xdr:row>
      <xdr:rowOff>0</xdr:rowOff>
    </xdr:from>
    <xdr:to>
      <xdr:col>0</xdr:col>
      <xdr:colOff>788825</xdr:colOff>
      <xdr:row>2</xdr:row>
      <xdr:rowOff>387981</xdr:rowOff>
    </xdr:to>
    <xdr:pic>
      <xdr:nvPicPr>
        <xdr:cNvPr id="4" name="Imagen 3">
          <a:extLst>
            <a:ext uri="{FF2B5EF4-FFF2-40B4-BE49-F238E27FC236}">
              <a16:creationId xmlns:a16="http://schemas.microsoft.com/office/drawing/2014/main" id="{46E7D659-9967-4F84-B472-1D8B9B2F8408}"/>
            </a:ext>
          </a:extLst>
        </xdr:cNvPr>
        <xdr:cNvPicPr>
          <a:picLocks noChangeAspect="1"/>
        </xdr:cNvPicPr>
      </xdr:nvPicPr>
      <xdr:blipFill>
        <a:blip xmlns:r="http://schemas.openxmlformats.org/officeDocument/2006/relationships" r:embed="rId2"/>
        <a:stretch>
          <a:fillRect/>
        </a:stretch>
      </xdr:blipFill>
      <xdr:spPr>
        <a:xfrm>
          <a:off x="0" y="0"/>
          <a:ext cx="792000" cy="79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792000</xdr:colOff>
      <xdr:row>2</xdr:row>
      <xdr:rowOff>477675</xdr:rowOff>
    </xdr:to>
    <xdr:pic>
      <xdr:nvPicPr>
        <xdr:cNvPr id="3" name="Imagen 2">
          <a:extLst>
            <a:ext uri="{FF2B5EF4-FFF2-40B4-BE49-F238E27FC236}">
              <a16:creationId xmlns:a16="http://schemas.microsoft.com/office/drawing/2014/main" id="{68A7E127-02B7-499B-A56D-7B2B8DD1CC3A}"/>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vea-my.sharepoint.com/Users/Monica%20Arias/Dropbox/PC/Downloads/MF_SMA_Seguridad%20social%20independientes_publicar%20en%20dic%2019%20y%2026%20de%20202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JAIME%20FERNANDO%20DIAZ/AppData/Local/Temp/Temp1_ECC&#174;%20Indices%20Financieros.zip/ECC&#174;%20Indices%20Financieros.xls" TargetMode="External"/><Relationship Id="rId1" Type="http://schemas.openxmlformats.org/officeDocument/2006/relationships/externalLinkPath" Target="/Users/JAIME%20FERNANDO%20DIAZ/AppData/Local/Temp/Temp1_ECC&#174;%20Indices%20Financieros.zip/ECC&#174;%20Indices%20Financiero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vea-my.sharepoint.com/Users/cadavid/Desktop/VA21-Calendario-tributario-2021-avanzado.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Users/montagas/Dropbox/Analisis%20Financiero/Matriz_Excel_para_el_Desarrollo_de_An&#225;lisis_Financiero%20V4.xlsm" TargetMode="External"/><Relationship Id="rId1" Type="http://schemas.openxmlformats.org/officeDocument/2006/relationships/externalLinkPath" Target="/Users/montagas/Dropbox/Analisis%20Financiero/Matriz_Excel_para_el_Desarrollo_de_An&#225;lisis_Financiero%20V4.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Users/montagas/Downloads/Dashboard%20-%20Financiero.xlsx" TargetMode="External"/><Relationship Id="rId1" Type="http://schemas.openxmlformats.org/officeDocument/2006/relationships/externalLinkPath" Target="/Users/montagas/Downloads/Dashboard%20-%20Financie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J1  Prest. servicios"/>
      <sheetName val="EJ2  Prest. servicios"/>
      <sheetName val="EJ3  Prest. servicios"/>
      <sheetName val="ok hecho 2"/>
      <sheetName val="EJ4 Otros independientes"/>
      <sheetName val="EJ5 Otros independientes"/>
      <sheetName val="EJ6 Otros independientes"/>
      <sheetName val="ok hecho MA "/>
      <sheetName val="Tablas"/>
    </sheetNames>
    <sheetDataSet>
      <sheetData sheetId="0">
        <row r="8">
          <cell r="D8">
            <v>1000000</v>
          </cell>
        </row>
        <row r="14">
          <cell r="D14">
            <v>4000000</v>
          </cell>
        </row>
      </sheetData>
      <sheetData sheetId="1">
        <row r="8">
          <cell r="D8">
            <v>1000000</v>
          </cell>
        </row>
        <row r="14">
          <cell r="D14">
            <v>1000000</v>
          </cell>
        </row>
      </sheetData>
      <sheetData sheetId="2">
        <row r="10">
          <cell r="D10">
            <v>1000000</v>
          </cell>
        </row>
        <row r="16">
          <cell r="D16">
            <v>4964000</v>
          </cell>
        </row>
      </sheetData>
      <sheetData sheetId="3" refreshError="1"/>
      <sheetData sheetId="4">
        <row r="5">
          <cell r="D5">
            <v>1000000</v>
          </cell>
        </row>
        <row r="13">
          <cell r="D13">
            <v>1200000</v>
          </cell>
          <cell r="G13">
            <v>3000000</v>
          </cell>
        </row>
      </sheetData>
      <sheetData sheetId="5">
        <row r="9">
          <cell r="D9">
            <v>1000000</v>
          </cell>
        </row>
        <row r="17">
          <cell r="D17">
            <v>1000000</v>
          </cell>
          <cell r="G17">
            <v>2410000</v>
          </cell>
        </row>
      </sheetData>
      <sheetData sheetId="6" refreshError="1"/>
      <sheetData sheetId="7" refreshError="1"/>
      <sheetData sheetId="8">
        <row r="12">
          <cell r="A12" t="str">
            <v>N/A</v>
          </cell>
          <cell r="B12">
            <v>0</v>
          </cell>
        </row>
        <row r="13">
          <cell r="A13" t="str">
            <v>I</v>
          </cell>
          <cell r="B13">
            <v>5.2199999999999998E-3</v>
          </cell>
        </row>
        <row r="14">
          <cell r="A14" t="str">
            <v>II</v>
          </cell>
          <cell r="B14">
            <v>1.044E-2</v>
          </cell>
        </row>
        <row r="15">
          <cell r="A15" t="str">
            <v>III</v>
          </cell>
          <cell r="B15">
            <v>2.436E-2</v>
          </cell>
        </row>
        <row r="16">
          <cell r="A16" t="str">
            <v>IV</v>
          </cell>
          <cell r="B16">
            <v>4.3499999999999997E-2</v>
          </cell>
        </row>
        <row r="17">
          <cell r="A17" t="str">
            <v>V</v>
          </cell>
          <cell r="B17">
            <v>6.9599999999999995E-2</v>
          </cell>
        </row>
        <row r="27">
          <cell r="F27">
            <v>1</v>
          </cell>
          <cell r="G27">
            <v>2</v>
          </cell>
          <cell r="H27">
            <v>3</v>
          </cell>
          <cell r="I27">
            <v>4</v>
          </cell>
          <cell r="J27">
            <v>5</v>
          </cell>
          <cell r="K27">
            <v>6</v>
          </cell>
        </row>
        <row r="28">
          <cell r="F28">
            <v>0.83599999999999997</v>
          </cell>
        </row>
        <row r="29">
          <cell r="F29">
            <v>0.75600000000000001</v>
          </cell>
          <cell r="G29">
            <v>0.82199999999999995</v>
          </cell>
        </row>
        <row r="30">
          <cell r="F30">
            <v>0.752</v>
          </cell>
          <cell r="G30">
            <v>0.77300000000000002</v>
          </cell>
          <cell r="H30">
            <v>0.82199999999999995</v>
          </cell>
        </row>
        <row r="31">
          <cell r="F31">
            <v>0.751</v>
          </cell>
          <cell r="G31">
            <v>0.76600000000000001</v>
          </cell>
          <cell r="H31">
            <v>0.78600000000000003</v>
          </cell>
          <cell r="I31">
            <v>0.82199999999999995</v>
          </cell>
        </row>
        <row r="32">
          <cell r="F32">
            <v>0.749</v>
          </cell>
          <cell r="G32">
            <v>0.76200000000000001</v>
          </cell>
          <cell r="H32">
            <v>0.77700000000000002</v>
          </cell>
          <cell r="I32">
            <v>0.79300000000000004</v>
          </cell>
          <cell r="J32">
            <v>0.82199999999999995</v>
          </cell>
        </row>
        <row r="33">
          <cell r="F33">
            <v>0.749</v>
          </cell>
          <cell r="G33">
            <v>0.75900000000000001</v>
          </cell>
          <cell r="H33">
            <v>0.77200000000000002</v>
          </cell>
          <cell r="I33">
            <v>0.78500000000000003</v>
          </cell>
          <cell r="J33">
            <v>0.79800000000000004</v>
          </cell>
          <cell r="K33">
            <v>0.82199999999999995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ño_1"/>
      <sheetName val="Parámetros"/>
      <sheetName val="Indices Financier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Cuentas (2)"/>
      <sheetName val="Cuentas"/>
      <sheetName val="Analisis Gerencial"/>
      <sheetName val="Hoja1"/>
    </sheetNames>
    <sheetDataSet>
      <sheetData sheetId="0">
        <row r="1">
          <cell r="F1" t="str">
            <v>Enero Año_1</v>
          </cell>
        </row>
        <row r="2">
          <cell r="A2" t="str">
            <v>CODIGO</v>
          </cell>
          <cell r="F2" t="str">
            <v>SalActual</v>
          </cell>
        </row>
        <row r="3">
          <cell r="A3">
            <v>110505</v>
          </cell>
          <cell r="F3">
            <v>16500</v>
          </cell>
        </row>
        <row r="4">
          <cell r="A4">
            <v>220505</v>
          </cell>
          <cell r="F4">
            <v>-250560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Empieza aquí"/>
      <sheetName val="Introducción"/>
      <sheetName val="Calendario 2021"/>
      <sheetName val="Material relacionado"/>
      <sheetName val="Normativa"/>
      <sheetName val="Calendario"/>
      <sheetName val="Listado completo de archivo"/>
      <sheetName val="Hoja2"/>
      <sheetName val="Hoja1"/>
    </sheetNames>
    <sheetDataSet>
      <sheetData sheetId="0" refreshError="1"/>
      <sheetData sheetId="1" refreshError="1"/>
      <sheetData sheetId="2" refreshError="1"/>
      <sheetData sheetId="3" refreshError="1"/>
      <sheetData sheetId="4" refreshError="1"/>
      <sheetData sheetId="5">
        <row r="7">
          <cell r="E7">
            <v>1</v>
          </cell>
          <cell r="F7">
            <v>44236</v>
          </cell>
          <cell r="G7">
            <v>44264</v>
          </cell>
          <cell r="H7">
            <v>44298</v>
          </cell>
          <cell r="I7">
            <v>44326</v>
          </cell>
          <cell r="J7">
            <v>44356</v>
          </cell>
          <cell r="K7">
            <v>44385</v>
          </cell>
          <cell r="L7">
            <v>44418</v>
          </cell>
          <cell r="M7">
            <v>44447</v>
          </cell>
          <cell r="N7">
            <v>44476</v>
          </cell>
          <cell r="O7">
            <v>44509</v>
          </cell>
          <cell r="P7">
            <v>44540</v>
          </cell>
          <cell r="Q7">
            <v>44573</v>
          </cell>
        </row>
        <row r="8">
          <cell r="E8">
            <v>2</v>
          </cell>
          <cell r="F8">
            <v>44237</v>
          </cell>
          <cell r="G8">
            <v>44265</v>
          </cell>
          <cell r="H8">
            <v>44299</v>
          </cell>
          <cell r="I8">
            <v>44327</v>
          </cell>
          <cell r="J8">
            <v>44357</v>
          </cell>
          <cell r="K8">
            <v>44386</v>
          </cell>
          <cell r="L8">
            <v>44419</v>
          </cell>
          <cell r="M8">
            <v>44448</v>
          </cell>
          <cell r="N8">
            <v>44477</v>
          </cell>
          <cell r="O8">
            <v>44510</v>
          </cell>
          <cell r="P8">
            <v>44543</v>
          </cell>
          <cell r="Q8">
            <v>44574</v>
          </cell>
        </row>
        <row r="9">
          <cell r="E9">
            <v>3</v>
          </cell>
          <cell r="F9">
            <v>44238</v>
          </cell>
          <cell r="G9">
            <v>44266</v>
          </cell>
          <cell r="H9">
            <v>44300</v>
          </cell>
          <cell r="I9">
            <v>44328</v>
          </cell>
          <cell r="J9">
            <v>44358</v>
          </cell>
          <cell r="K9">
            <v>44389</v>
          </cell>
          <cell r="L9">
            <v>44420</v>
          </cell>
          <cell r="M9">
            <v>44449</v>
          </cell>
          <cell r="N9">
            <v>44480</v>
          </cell>
          <cell r="O9">
            <v>44511</v>
          </cell>
          <cell r="P9">
            <v>44544</v>
          </cell>
          <cell r="Q9">
            <v>44575</v>
          </cell>
        </row>
        <row r="10">
          <cell r="E10">
            <v>4</v>
          </cell>
          <cell r="F10">
            <v>44239</v>
          </cell>
          <cell r="G10">
            <v>44267</v>
          </cell>
          <cell r="H10">
            <v>44301</v>
          </cell>
          <cell r="I10">
            <v>44329</v>
          </cell>
          <cell r="J10">
            <v>44362</v>
          </cell>
          <cell r="K10">
            <v>44390</v>
          </cell>
          <cell r="L10">
            <v>44421</v>
          </cell>
          <cell r="M10">
            <v>44452</v>
          </cell>
          <cell r="N10">
            <v>44481</v>
          </cell>
          <cell r="O10">
            <v>44512</v>
          </cell>
          <cell r="P10">
            <v>44545</v>
          </cell>
          <cell r="Q10">
            <v>44578</v>
          </cell>
        </row>
        <row r="11">
          <cell r="E11">
            <v>5</v>
          </cell>
          <cell r="F11">
            <v>44242</v>
          </cell>
          <cell r="G11">
            <v>44270</v>
          </cell>
          <cell r="H11">
            <v>44302</v>
          </cell>
          <cell r="I11">
            <v>44330</v>
          </cell>
          <cell r="J11">
            <v>44363</v>
          </cell>
          <cell r="K11">
            <v>44391</v>
          </cell>
          <cell r="L11">
            <v>44425</v>
          </cell>
          <cell r="M11">
            <v>44453</v>
          </cell>
          <cell r="N11">
            <v>44482</v>
          </cell>
          <cell r="O11">
            <v>44516</v>
          </cell>
          <cell r="P11">
            <v>44546</v>
          </cell>
          <cell r="Q11">
            <v>44579</v>
          </cell>
        </row>
        <row r="12">
          <cell r="E12">
            <v>6</v>
          </cell>
          <cell r="F12">
            <v>44243</v>
          </cell>
          <cell r="G12">
            <v>44271</v>
          </cell>
          <cell r="H12">
            <v>44305</v>
          </cell>
          <cell r="I12">
            <v>44334</v>
          </cell>
          <cell r="J12">
            <v>44364</v>
          </cell>
          <cell r="K12">
            <v>44392</v>
          </cell>
          <cell r="L12">
            <v>44426</v>
          </cell>
          <cell r="M12">
            <v>44454</v>
          </cell>
          <cell r="N12">
            <v>44483</v>
          </cell>
          <cell r="O12">
            <v>44517</v>
          </cell>
          <cell r="P12">
            <v>44547</v>
          </cell>
          <cell r="Q12">
            <v>44580</v>
          </cell>
        </row>
        <row r="13">
          <cell r="E13">
            <v>7</v>
          </cell>
          <cell r="F13">
            <v>44244</v>
          </cell>
          <cell r="G13">
            <v>44272</v>
          </cell>
          <cell r="H13">
            <v>44306</v>
          </cell>
          <cell r="I13">
            <v>44335</v>
          </cell>
          <cell r="J13">
            <v>44365</v>
          </cell>
          <cell r="K13">
            <v>44393</v>
          </cell>
          <cell r="L13">
            <v>44427</v>
          </cell>
          <cell r="M13">
            <v>44455</v>
          </cell>
          <cell r="N13">
            <v>44484</v>
          </cell>
          <cell r="O13">
            <v>44518</v>
          </cell>
          <cell r="P13">
            <v>44550</v>
          </cell>
          <cell r="Q13">
            <v>44581</v>
          </cell>
        </row>
        <row r="14">
          <cell r="E14">
            <v>8</v>
          </cell>
          <cell r="F14">
            <v>44245</v>
          </cell>
          <cell r="G14">
            <v>44273</v>
          </cell>
          <cell r="H14">
            <v>44307</v>
          </cell>
          <cell r="I14">
            <v>44336</v>
          </cell>
          <cell r="J14">
            <v>44368</v>
          </cell>
          <cell r="K14">
            <v>44396</v>
          </cell>
          <cell r="L14">
            <v>44428</v>
          </cell>
          <cell r="M14">
            <v>44456</v>
          </cell>
          <cell r="N14">
            <v>44488</v>
          </cell>
          <cell r="O14">
            <v>44519</v>
          </cell>
          <cell r="P14">
            <v>44551</v>
          </cell>
          <cell r="Q14">
            <v>44582</v>
          </cell>
        </row>
        <row r="15">
          <cell r="E15">
            <v>9</v>
          </cell>
          <cell r="F15">
            <v>44246</v>
          </cell>
          <cell r="G15">
            <v>44274</v>
          </cell>
          <cell r="H15">
            <v>44308</v>
          </cell>
          <cell r="I15">
            <v>44337</v>
          </cell>
          <cell r="J15">
            <v>44369</v>
          </cell>
          <cell r="K15">
            <v>44398</v>
          </cell>
          <cell r="L15">
            <v>44431</v>
          </cell>
          <cell r="M15">
            <v>44459</v>
          </cell>
          <cell r="N15">
            <v>44489</v>
          </cell>
          <cell r="O15">
            <v>44522</v>
          </cell>
          <cell r="P15">
            <v>44552</v>
          </cell>
          <cell r="Q15">
            <v>44585</v>
          </cell>
        </row>
        <row r="16">
          <cell r="E16">
            <v>0</v>
          </cell>
          <cell r="F16">
            <v>44249</v>
          </cell>
          <cell r="G16">
            <v>44278</v>
          </cell>
          <cell r="H16">
            <v>44309</v>
          </cell>
          <cell r="I16">
            <v>44340</v>
          </cell>
          <cell r="J16">
            <v>44370</v>
          </cell>
          <cell r="K16">
            <v>44399</v>
          </cell>
          <cell r="L16">
            <v>44432</v>
          </cell>
          <cell r="M16">
            <v>44460</v>
          </cell>
          <cell r="N16">
            <v>44490</v>
          </cell>
          <cell r="O16">
            <v>44523</v>
          </cell>
          <cell r="P16">
            <v>44553</v>
          </cell>
          <cell r="Q16">
            <v>44586</v>
          </cell>
        </row>
        <row r="20">
          <cell r="E20">
            <v>1</v>
          </cell>
          <cell r="F20">
            <v>44264</v>
          </cell>
          <cell r="G20">
            <v>44326</v>
          </cell>
          <cell r="H20">
            <v>44385</v>
          </cell>
          <cell r="I20">
            <v>44447</v>
          </cell>
          <cell r="J20">
            <v>44509</v>
          </cell>
          <cell r="K20">
            <v>44573</v>
          </cell>
          <cell r="M20">
            <v>1</v>
          </cell>
          <cell r="N20">
            <v>44494</v>
          </cell>
          <cell r="P20">
            <v>1</v>
          </cell>
          <cell r="Q20">
            <v>44298</v>
          </cell>
          <cell r="R20">
            <v>44326</v>
          </cell>
          <cell r="S20">
            <v>44385</v>
          </cell>
          <cell r="T20">
            <v>44447</v>
          </cell>
          <cell r="U20">
            <v>44509</v>
          </cell>
          <cell r="V20">
            <v>44573</v>
          </cell>
        </row>
        <row r="21">
          <cell r="E21">
            <v>2</v>
          </cell>
          <cell r="F21">
            <v>44265</v>
          </cell>
          <cell r="G21">
            <v>44327</v>
          </cell>
          <cell r="H21">
            <v>44386</v>
          </cell>
          <cell r="I21">
            <v>44448</v>
          </cell>
          <cell r="J21">
            <v>44510</v>
          </cell>
          <cell r="K21">
            <v>44574</v>
          </cell>
          <cell r="M21">
            <v>2</v>
          </cell>
          <cell r="N21">
            <v>44494</v>
          </cell>
          <cell r="P21">
            <v>2</v>
          </cell>
          <cell r="Q21">
            <v>44299</v>
          </cell>
          <cell r="R21">
            <v>44327</v>
          </cell>
          <cell r="S21">
            <v>44386</v>
          </cell>
          <cell r="T21">
            <v>44448</v>
          </cell>
          <cell r="U21">
            <v>44510</v>
          </cell>
          <cell r="V21">
            <v>44574</v>
          </cell>
        </row>
        <row r="22">
          <cell r="E22">
            <v>3</v>
          </cell>
          <cell r="F22">
            <v>44266</v>
          </cell>
          <cell r="G22">
            <v>44328</v>
          </cell>
          <cell r="H22">
            <v>44389</v>
          </cell>
          <cell r="I22">
            <v>44449</v>
          </cell>
          <cell r="J22">
            <v>44511</v>
          </cell>
          <cell r="K22">
            <v>44575</v>
          </cell>
          <cell r="M22">
            <v>3</v>
          </cell>
          <cell r="N22">
            <v>44495</v>
          </cell>
          <cell r="P22">
            <v>3</v>
          </cell>
          <cell r="Q22">
            <v>44300</v>
          </cell>
          <cell r="R22">
            <v>44328</v>
          </cell>
          <cell r="S22">
            <v>44389</v>
          </cell>
          <cell r="T22">
            <v>44449</v>
          </cell>
          <cell r="U22">
            <v>44511</v>
          </cell>
          <cell r="V22">
            <v>44575</v>
          </cell>
        </row>
        <row r="23">
          <cell r="E23">
            <v>4</v>
          </cell>
          <cell r="F23">
            <v>44267</v>
          </cell>
          <cell r="G23">
            <v>44329</v>
          </cell>
          <cell r="H23">
            <v>44390</v>
          </cell>
          <cell r="I23">
            <v>44452</v>
          </cell>
          <cell r="J23">
            <v>44512</v>
          </cell>
          <cell r="K23">
            <v>44578</v>
          </cell>
          <cell r="M23">
            <v>4</v>
          </cell>
          <cell r="N23">
            <v>44495</v>
          </cell>
          <cell r="P23">
            <v>4</v>
          </cell>
          <cell r="Q23">
            <v>44301</v>
          </cell>
          <cell r="R23">
            <v>44329</v>
          </cell>
          <cell r="S23">
            <v>44390</v>
          </cell>
          <cell r="T23">
            <v>44452</v>
          </cell>
          <cell r="U23">
            <v>44512</v>
          </cell>
          <cell r="V23">
            <v>44578</v>
          </cell>
        </row>
        <row r="24">
          <cell r="E24">
            <v>5</v>
          </cell>
          <cell r="F24">
            <v>44270</v>
          </cell>
          <cell r="G24">
            <v>44330</v>
          </cell>
          <cell r="H24">
            <v>44391</v>
          </cell>
          <cell r="I24">
            <v>44453</v>
          </cell>
          <cell r="J24">
            <v>44516</v>
          </cell>
          <cell r="K24">
            <v>44579</v>
          </cell>
          <cell r="M24">
            <v>5</v>
          </cell>
          <cell r="N24">
            <v>44496</v>
          </cell>
          <cell r="P24">
            <v>5</v>
          </cell>
          <cell r="Q24">
            <v>44302</v>
          </cell>
          <cell r="R24">
            <v>44330</v>
          </cell>
          <cell r="S24">
            <v>44391</v>
          </cell>
          <cell r="T24">
            <v>44453</v>
          </cell>
          <cell r="U24">
            <v>44516</v>
          </cell>
          <cell r="V24">
            <v>44579</v>
          </cell>
        </row>
        <row r="25">
          <cell r="E25">
            <v>6</v>
          </cell>
          <cell r="F25">
            <v>44271</v>
          </cell>
          <cell r="G25">
            <v>44334</v>
          </cell>
          <cell r="H25">
            <v>44392</v>
          </cell>
          <cell r="I25">
            <v>44454</v>
          </cell>
          <cell r="J25">
            <v>44517</v>
          </cell>
          <cell r="K25">
            <v>44580</v>
          </cell>
          <cell r="M25">
            <v>6</v>
          </cell>
          <cell r="N25">
            <v>44496</v>
          </cell>
          <cell r="P25">
            <v>6</v>
          </cell>
          <cell r="Q25">
            <v>44305</v>
          </cell>
          <cell r="R25">
            <v>44334</v>
          </cell>
          <cell r="S25">
            <v>44392</v>
          </cell>
          <cell r="T25">
            <v>44454</v>
          </cell>
          <cell r="U25">
            <v>44517</v>
          </cell>
          <cell r="V25">
            <v>44580</v>
          </cell>
        </row>
        <row r="26">
          <cell r="E26">
            <v>7</v>
          </cell>
          <cell r="F26">
            <v>44272</v>
          </cell>
          <cell r="G26">
            <v>44335</v>
          </cell>
          <cell r="H26">
            <v>44393</v>
          </cell>
          <cell r="I26">
            <v>44455</v>
          </cell>
          <cell r="J26">
            <v>44518</v>
          </cell>
          <cell r="K26">
            <v>44581</v>
          </cell>
          <cell r="M26">
            <v>7</v>
          </cell>
          <cell r="N26">
            <v>44497</v>
          </cell>
          <cell r="P26">
            <v>7</v>
          </cell>
          <cell r="Q26">
            <v>44306</v>
          </cell>
          <cell r="R26">
            <v>44335</v>
          </cell>
          <cell r="S26">
            <v>44393</v>
          </cell>
          <cell r="T26">
            <v>44455</v>
          </cell>
          <cell r="U26">
            <v>44518</v>
          </cell>
          <cell r="V26">
            <v>44581</v>
          </cell>
        </row>
        <row r="27">
          <cell r="E27">
            <v>8</v>
          </cell>
          <cell r="F27">
            <v>44273</v>
          </cell>
          <cell r="G27">
            <v>44336</v>
          </cell>
          <cell r="H27">
            <v>44396</v>
          </cell>
          <cell r="I27">
            <v>44456</v>
          </cell>
          <cell r="J27">
            <v>44519</v>
          </cell>
          <cell r="K27">
            <v>44582</v>
          </cell>
          <cell r="M27">
            <v>8</v>
          </cell>
          <cell r="N27">
            <v>44497</v>
          </cell>
          <cell r="P27">
            <v>8</v>
          </cell>
          <cell r="Q27">
            <v>44307</v>
          </cell>
          <cell r="R27">
            <v>44336</v>
          </cell>
          <cell r="S27">
            <v>44396</v>
          </cell>
          <cell r="T27">
            <v>44456</v>
          </cell>
          <cell r="U27">
            <v>44519</v>
          </cell>
          <cell r="V27">
            <v>44582</v>
          </cell>
        </row>
        <row r="28">
          <cell r="E28">
            <v>9</v>
          </cell>
          <cell r="F28">
            <v>44274</v>
          </cell>
          <cell r="G28">
            <v>44337</v>
          </cell>
          <cell r="H28">
            <v>44398</v>
          </cell>
          <cell r="I28">
            <v>44459</v>
          </cell>
          <cell r="J28">
            <v>44522</v>
          </cell>
          <cell r="K28">
            <v>44585</v>
          </cell>
          <cell r="M28">
            <v>9</v>
          </cell>
          <cell r="N28">
            <v>44498</v>
          </cell>
          <cell r="P28">
            <v>9</v>
          </cell>
          <cell r="Q28">
            <v>44308</v>
          </cell>
          <cell r="R28">
            <v>44337</v>
          </cell>
          <cell r="S28">
            <v>44398</v>
          </cell>
          <cell r="T28">
            <v>44459</v>
          </cell>
          <cell r="U28">
            <v>44522</v>
          </cell>
          <cell r="V28">
            <v>44585</v>
          </cell>
        </row>
        <row r="29">
          <cell r="E29">
            <v>0</v>
          </cell>
          <cell r="F29">
            <v>44278</v>
          </cell>
          <cell r="G29">
            <v>44340</v>
          </cell>
          <cell r="H29">
            <v>44399</v>
          </cell>
          <cell r="I29">
            <v>44460</v>
          </cell>
          <cell r="J29">
            <v>44523</v>
          </cell>
          <cell r="K29">
            <v>44586</v>
          </cell>
          <cell r="M29">
            <v>0</v>
          </cell>
          <cell r="N29">
            <v>44498</v>
          </cell>
          <cell r="P29">
            <v>0</v>
          </cell>
          <cell r="Q29">
            <v>44309</v>
          </cell>
          <cell r="R29">
            <v>44340</v>
          </cell>
          <cell r="S29">
            <v>44399</v>
          </cell>
          <cell r="T29">
            <v>44460</v>
          </cell>
          <cell r="U29">
            <v>44523</v>
          </cell>
          <cell r="V29">
            <v>44586</v>
          </cell>
        </row>
        <row r="33">
          <cell r="E33">
            <v>1</v>
          </cell>
          <cell r="F33">
            <v>44236</v>
          </cell>
          <cell r="I33">
            <v>1</v>
          </cell>
          <cell r="J33">
            <v>44298</v>
          </cell>
          <cell r="M33">
            <v>1</v>
          </cell>
          <cell r="N33">
            <v>44356</v>
          </cell>
        </row>
        <row r="34">
          <cell r="E34">
            <v>2</v>
          </cell>
          <cell r="F34">
            <v>44237</v>
          </cell>
          <cell r="I34">
            <v>2</v>
          </cell>
          <cell r="J34">
            <v>44299</v>
          </cell>
          <cell r="M34">
            <v>2</v>
          </cell>
          <cell r="N34">
            <v>44357</v>
          </cell>
        </row>
        <row r="35">
          <cell r="E35">
            <v>3</v>
          </cell>
          <cell r="F35">
            <v>44238</v>
          </cell>
          <cell r="I35">
            <v>3</v>
          </cell>
          <cell r="J35">
            <v>44300</v>
          </cell>
          <cell r="M35">
            <v>3</v>
          </cell>
          <cell r="N35">
            <v>44358</v>
          </cell>
        </row>
        <row r="36">
          <cell r="E36">
            <v>4</v>
          </cell>
          <cell r="F36">
            <v>44239</v>
          </cell>
          <cell r="I36">
            <v>4</v>
          </cell>
          <cell r="J36">
            <v>44301</v>
          </cell>
          <cell r="M36">
            <v>4</v>
          </cell>
          <cell r="N36">
            <v>44362</v>
          </cell>
        </row>
        <row r="37">
          <cell r="E37">
            <v>5</v>
          </cell>
          <cell r="F37">
            <v>44242</v>
          </cell>
          <cell r="I37">
            <v>5</v>
          </cell>
          <cell r="J37">
            <v>44302</v>
          </cell>
          <cell r="M37">
            <v>5</v>
          </cell>
          <cell r="N37">
            <v>44363</v>
          </cell>
        </row>
        <row r="38">
          <cell r="E38">
            <v>6</v>
          </cell>
          <cell r="F38">
            <v>44243</v>
          </cell>
          <cell r="I38">
            <v>6</v>
          </cell>
          <cell r="J38">
            <v>44305</v>
          </cell>
          <cell r="M38">
            <v>6</v>
          </cell>
          <cell r="N38">
            <v>44364</v>
          </cell>
        </row>
        <row r="39">
          <cell r="E39">
            <v>7</v>
          </cell>
          <cell r="F39">
            <v>44244</v>
          </cell>
          <cell r="I39">
            <v>7</v>
          </cell>
          <cell r="J39">
            <v>44306</v>
          </cell>
          <cell r="M39">
            <v>7</v>
          </cell>
          <cell r="N39">
            <v>44365</v>
          </cell>
        </row>
        <row r="40">
          <cell r="E40">
            <v>8</v>
          </cell>
          <cell r="F40">
            <v>44245</v>
          </cell>
          <cell r="I40">
            <v>8</v>
          </cell>
          <cell r="J40">
            <v>44307</v>
          </cell>
          <cell r="M40">
            <v>8</v>
          </cell>
          <cell r="N40">
            <v>44368</v>
          </cell>
        </row>
        <row r="41">
          <cell r="E41">
            <v>9</v>
          </cell>
          <cell r="F41">
            <v>44246</v>
          </cell>
          <cell r="I41">
            <v>9</v>
          </cell>
          <cell r="J41">
            <v>44308</v>
          </cell>
          <cell r="M41">
            <v>9</v>
          </cell>
          <cell r="N41">
            <v>44369</v>
          </cell>
        </row>
        <row r="42">
          <cell r="E42">
            <v>0</v>
          </cell>
          <cell r="F42">
            <v>44249</v>
          </cell>
          <cell r="I42">
            <v>0</v>
          </cell>
          <cell r="J42">
            <v>44309</v>
          </cell>
          <cell r="M42">
            <v>0</v>
          </cell>
          <cell r="N42">
            <v>44370</v>
          </cell>
        </row>
        <row r="46">
          <cell r="E46">
            <v>1</v>
          </cell>
          <cell r="F46">
            <v>44446</v>
          </cell>
          <cell r="I46">
            <v>1</v>
          </cell>
          <cell r="J46">
            <v>44540</v>
          </cell>
          <cell r="M46">
            <v>1</v>
          </cell>
          <cell r="N46">
            <v>44249</v>
          </cell>
        </row>
        <row r="47">
          <cell r="E47">
            <v>2</v>
          </cell>
          <cell r="F47">
            <v>44447</v>
          </cell>
          <cell r="I47">
            <v>2</v>
          </cell>
          <cell r="J47">
            <v>44543</v>
          </cell>
          <cell r="M47">
            <v>2</v>
          </cell>
          <cell r="N47">
            <v>44249</v>
          </cell>
        </row>
        <row r="48">
          <cell r="E48">
            <v>3</v>
          </cell>
          <cell r="F48">
            <v>44448</v>
          </cell>
          <cell r="I48">
            <v>3</v>
          </cell>
          <cell r="J48">
            <v>44544</v>
          </cell>
          <cell r="M48">
            <v>3</v>
          </cell>
          <cell r="N48">
            <v>44250</v>
          </cell>
        </row>
        <row r="49">
          <cell r="E49">
            <v>4</v>
          </cell>
          <cell r="F49">
            <v>44449</v>
          </cell>
          <cell r="I49">
            <v>4</v>
          </cell>
          <cell r="J49">
            <v>44545</v>
          </cell>
          <cell r="M49">
            <v>4</v>
          </cell>
          <cell r="N49">
            <v>44250</v>
          </cell>
        </row>
        <row r="50">
          <cell r="E50">
            <v>5</v>
          </cell>
          <cell r="F50">
            <v>44452</v>
          </cell>
          <cell r="I50">
            <v>5</v>
          </cell>
          <cell r="J50">
            <v>44546</v>
          </cell>
          <cell r="M50">
            <v>5</v>
          </cell>
          <cell r="N50">
            <v>44251</v>
          </cell>
        </row>
        <row r="51">
          <cell r="E51">
            <v>6</v>
          </cell>
          <cell r="F51">
            <v>44453</v>
          </cell>
          <cell r="I51">
            <v>6</v>
          </cell>
          <cell r="J51">
            <v>44547</v>
          </cell>
          <cell r="M51">
            <v>6</v>
          </cell>
          <cell r="N51">
            <v>44251</v>
          </cell>
        </row>
        <row r="52">
          <cell r="E52">
            <v>7</v>
          </cell>
          <cell r="F52">
            <v>44454</v>
          </cell>
          <cell r="I52">
            <v>7</v>
          </cell>
          <cell r="J52">
            <v>44550</v>
          </cell>
          <cell r="M52">
            <v>7</v>
          </cell>
          <cell r="N52">
            <v>44252</v>
          </cell>
        </row>
        <row r="53">
          <cell r="E53">
            <v>8</v>
          </cell>
          <cell r="F53">
            <v>44455</v>
          </cell>
          <cell r="I53">
            <v>8</v>
          </cell>
          <cell r="J53">
            <v>44551</v>
          </cell>
          <cell r="M53">
            <v>8</v>
          </cell>
          <cell r="N53">
            <v>44252</v>
          </cell>
        </row>
        <row r="54">
          <cell r="E54">
            <v>9</v>
          </cell>
          <cell r="F54">
            <v>44456</v>
          </cell>
          <cell r="I54">
            <v>9</v>
          </cell>
          <cell r="J54">
            <v>44552</v>
          </cell>
          <cell r="M54">
            <v>9</v>
          </cell>
          <cell r="N54">
            <v>44253</v>
          </cell>
        </row>
        <row r="55">
          <cell r="E55">
            <v>0</v>
          </cell>
          <cell r="F55">
            <v>44459</v>
          </cell>
          <cell r="I55">
            <v>0</v>
          </cell>
          <cell r="J55">
            <v>44553</v>
          </cell>
          <cell r="M55">
            <v>0</v>
          </cell>
          <cell r="N55">
            <v>44253</v>
          </cell>
        </row>
        <row r="59">
          <cell r="E59" t="str">
            <v>01</v>
          </cell>
          <cell r="F59">
            <v>44298</v>
          </cell>
          <cell r="J59">
            <v>1</v>
          </cell>
          <cell r="K59">
            <v>44198</v>
          </cell>
          <cell r="L59">
            <v>44204</v>
          </cell>
          <cell r="M59">
            <v>44209</v>
          </cell>
        </row>
        <row r="60">
          <cell r="E60" t="str">
            <v>02</v>
          </cell>
          <cell r="F60">
            <v>44298</v>
          </cell>
          <cell r="J60">
            <v>2</v>
          </cell>
          <cell r="K60">
            <v>44205</v>
          </cell>
          <cell r="L60">
            <v>44211</v>
          </cell>
          <cell r="M60">
            <v>44215</v>
          </cell>
        </row>
        <row r="61">
          <cell r="E61" t="str">
            <v>03</v>
          </cell>
          <cell r="F61">
            <v>44298</v>
          </cell>
          <cell r="J61">
            <v>3</v>
          </cell>
          <cell r="K61">
            <v>44212</v>
          </cell>
          <cell r="L61">
            <v>44218</v>
          </cell>
          <cell r="M61">
            <v>44222</v>
          </cell>
        </row>
        <row r="62">
          <cell r="E62" t="str">
            <v>04</v>
          </cell>
          <cell r="F62">
            <v>44298</v>
          </cell>
          <cell r="J62">
            <v>4</v>
          </cell>
          <cell r="K62">
            <v>44219</v>
          </cell>
          <cell r="L62">
            <v>44225</v>
          </cell>
          <cell r="M62">
            <v>44229</v>
          </cell>
        </row>
        <row r="63">
          <cell r="E63" t="str">
            <v>05</v>
          </cell>
          <cell r="F63">
            <v>44298</v>
          </cell>
          <cell r="J63">
            <v>5</v>
          </cell>
          <cell r="K63">
            <v>44226</v>
          </cell>
          <cell r="L63">
            <v>44232</v>
          </cell>
          <cell r="M63">
            <v>44236</v>
          </cell>
        </row>
        <row r="64">
          <cell r="E64" t="str">
            <v>06</v>
          </cell>
          <cell r="F64">
            <v>44299</v>
          </cell>
          <cell r="J64">
            <v>6</v>
          </cell>
          <cell r="K64">
            <v>44233</v>
          </cell>
          <cell r="L64">
            <v>44239</v>
          </cell>
          <cell r="M64">
            <v>44243</v>
          </cell>
        </row>
        <row r="65">
          <cell r="E65" t="str">
            <v>07</v>
          </cell>
          <cell r="F65">
            <v>44299</v>
          </cell>
          <cell r="J65">
            <v>7</v>
          </cell>
          <cell r="K65">
            <v>44240</v>
          </cell>
          <cell r="L65">
            <v>44246</v>
          </cell>
          <cell r="M65">
            <v>44250</v>
          </cell>
        </row>
        <row r="66">
          <cell r="E66" t="str">
            <v>08</v>
          </cell>
          <cell r="F66">
            <v>44299</v>
          </cell>
          <cell r="J66">
            <v>8</v>
          </cell>
          <cell r="K66">
            <v>44247</v>
          </cell>
          <cell r="L66">
            <v>44253</v>
          </cell>
          <cell r="M66">
            <v>44257</v>
          </cell>
        </row>
        <row r="67">
          <cell r="E67" t="str">
            <v>09</v>
          </cell>
          <cell r="F67">
            <v>44299</v>
          </cell>
          <cell r="J67">
            <v>9</v>
          </cell>
          <cell r="K67">
            <v>44254</v>
          </cell>
          <cell r="L67">
            <v>44260</v>
          </cell>
          <cell r="M67">
            <v>44264</v>
          </cell>
        </row>
        <row r="68">
          <cell r="E68" t="str">
            <v>10</v>
          </cell>
          <cell r="F68">
            <v>44299</v>
          </cell>
          <cell r="J68">
            <v>10</v>
          </cell>
          <cell r="K68">
            <v>44261</v>
          </cell>
          <cell r="L68">
            <v>44267</v>
          </cell>
          <cell r="M68">
            <v>44271</v>
          </cell>
        </row>
        <row r="69">
          <cell r="E69" t="str">
            <v>11</v>
          </cell>
          <cell r="F69">
            <v>44300</v>
          </cell>
          <cell r="J69">
            <v>11</v>
          </cell>
          <cell r="K69">
            <v>44268</v>
          </cell>
          <cell r="L69">
            <v>44274</v>
          </cell>
          <cell r="M69">
            <v>44279</v>
          </cell>
        </row>
        <row r="70">
          <cell r="E70" t="str">
            <v>12</v>
          </cell>
          <cell r="F70">
            <v>44300</v>
          </cell>
          <cell r="J70">
            <v>12</v>
          </cell>
          <cell r="K70">
            <v>44275</v>
          </cell>
          <cell r="L70">
            <v>44281</v>
          </cell>
          <cell r="M70">
            <v>44285</v>
          </cell>
        </row>
        <row r="71">
          <cell r="E71" t="str">
            <v>13</v>
          </cell>
          <cell r="F71">
            <v>44300</v>
          </cell>
          <cell r="J71">
            <v>13</v>
          </cell>
          <cell r="K71">
            <v>44282</v>
          </cell>
          <cell r="L71">
            <v>44288</v>
          </cell>
          <cell r="M71">
            <v>44292</v>
          </cell>
        </row>
        <row r="72">
          <cell r="E72" t="str">
            <v>14</v>
          </cell>
          <cell r="F72">
            <v>44300</v>
          </cell>
          <cell r="J72">
            <v>14</v>
          </cell>
          <cell r="K72">
            <v>44289</v>
          </cell>
          <cell r="L72">
            <v>44295</v>
          </cell>
          <cell r="M72">
            <v>44299</v>
          </cell>
        </row>
        <row r="73">
          <cell r="E73" t="str">
            <v>15</v>
          </cell>
          <cell r="F73">
            <v>44300</v>
          </cell>
          <cell r="J73">
            <v>15</v>
          </cell>
          <cell r="K73">
            <v>44296</v>
          </cell>
          <cell r="L73">
            <v>44302</v>
          </cell>
          <cell r="M73">
            <v>44306</v>
          </cell>
        </row>
        <row r="74">
          <cell r="E74" t="str">
            <v>16</v>
          </cell>
          <cell r="F74">
            <v>44301</v>
          </cell>
          <cell r="J74">
            <v>16</v>
          </cell>
          <cell r="K74">
            <v>44303</v>
          </cell>
          <cell r="L74">
            <v>44309</v>
          </cell>
          <cell r="M74">
            <v>44313</v>
          </cell>
        </row>
        <row r="75">
          <cell r="E75" t="str">
            <v>17</v>
          </cell>
          <cell r="F75">
            <v>44301</v>
          </cell>
          <cell r="J75">
            <v>17</v>
          </cell>
          <cell r="K75">
            <v>44310</v>
          </cell>
          <cell r="L75">
            <v>44316</v>
          </cell>
          <cell r="M75">
            <v>44320</v>
          </cell>
        </row>
        <row r="76">
          <cell r="E76" t="str">
            <v>18</v>
          </cell>
          <cell r="F76">
            <v>44301</v>
          </cell>
          <cell r="J76">
            <v>18</v>
          </cell>
          <cell r="K76">
            <v>44317</v>
          </cell>
          <cell r="L76">
            <v>44323</v>
          </cell>
          <cell r="M76">
            <v>44327</v>
          </cell>
        </row>
        <row r="77">
          <cell r="E77" t="str">
            <v>19</v>
          </cell>
          <cell r="F77">
            <v>44301</v>
          </cell>
          <cell r="J77">
            <v>19</v>
          </cell>
          <cell r="K77">
            <v>44324</v>
          </cell>
          <cell r="L77">
            <v>44330</v>
          </cell>
          <cell r="M77">
            <v>44335</v>
          </cell>
        </row>
        <row r="78">
          <cell r="E78" t="str">
            <v>20</v>
          </cell>
          <cell r="F78">
            <v>44301</v>
          </cell>
          <cell r="J78">
            <v>20</v>
          </cell>
          <cell r="K78">
            <v>44331</v>
          </cell>
          <cell r="L78">
            <v>44337</v>
          </cell>
          <cell r="M78">
            <v>44341</v>
          </cell>
        </row>
        <row r="79">
          <cell r="E79" t="str">
            <v>21</v>
          </cell>
          <cell r="F79">
            <v>44302</v>
          </cell>
          <cell r="J79">
            <v>21</v>
          </cell>
          <cell r="K79">
            <v>44338</v>
          </cell>
          <cell r="L79">
            <v>44344</v>
          </cell>
          <cell r="M79">
            <v>44348</v>
          </cell>
        </row>
        <row r="80">
          <cell r="E80" t="str">
            <v>22</v>
          </cell>
          <cell r="F80">
            <v>44302</v>
          </cell>
          <cell r="J80">
            <v>22</v>
          </cell>
          <cell r="K80">
            <v>44345</v>
          </cell>
          <cell r="L80">
            <v>44351</v>
          </cell>
          <cell r="M80">
            <v>44356</v>
          </cell>
        </row>
        <row r="81">
          <cell r="E81" t="str">
            <v>23</v>
          </cell>
          <cell r="F81">
            <v>44302</v>
          </cell>
          <cell r="J81">
            <v>23</v>
          </cell>
          <cell r="K81">
            <v>44352</v>
          </cell>
          <cell r="L81">
            <v>44358</v>
          </cell>
          <cell r="M81">
            <v>44363</v>
          </cell>
        </row>
        <row r="82">
          <cell r="E82" t="str">
            <v>24</v>
          </cell>
          <cell r="F82">
            <v>44302</v>
          </cell>
          <cell r="J82">
            <v>24</v>
          </cell>
          <cell r="K82">
            <v>44359</v>
          </cell>
          <cell r="L82">
            <v>44365</v>
          </cell>
          <cell r="M82">
            <v>44369</v>
          </cell>
        </row>
        <row r="83">
          <cell r="E83" t="str">
            <v>25</v>
          </cell>
          <cell r="F83">
            <v>44302</v>
          </cell>
          <cell r="J83">
            <v>25</v>
          </cell>
          <cell r="K83">
            <v>44366</v>
          </cell>
          <cell r="L83">
            <v>44372</v>
          </cell>
          <cell r="M83">
            <v>44376</v>
          </cell>
        </row>
        <row r="84">
          <cell r="E84" t="str">
            <v>26</v>
          </cell>
          <cell r="F84">
            <v>44305</v>
          </cell>
          <cell r="J84">
            <v>26</v>
          </cell>
          <cell r="K84">
            <v>44373</v>
          </cell>
          <cell r="L84">
            <v>44379</v>
          </cell>
          <cell r="M84">
            <v>44384</v>
          </cell>
        </row>
        <row r="85">
          <cell r="E85" t="str">
            <v>27</v>
          </cell>
          <cell r="F85">
            <v>44305</v>
          </cell>
          <cell r="J85">
            <v>27</v>
          </cell>
          <cell r="K85">
            <v>44380</v>
          </cell>
          <cell r="L85">
            <v>44386</v>
          </cell>
          <cell r="M85">
            <v>44390</v>
          </cell>
        </row>
        <row r="86">
          <cell r="E86" t="str">
            <v>28</v>
          </cell>
          <cell r="F86">
            <v>44305</v>
          </cell>
          <cell r="J86">
            <v>28</v>
          </cell>
          <cell r="K86">
            <v>44387</v>
          </cell>
          <cell r="L86">
            <v>44393</v>
          </cell>
          <cell r="M86">
            <v>44399</v>
          </cell>
        </row>
        <row r="87">
          <cell r="E87" t="str">
            <v>29</v>
          </cell>
          <cell r="F87">
            <v>44305</v>
          </cell>
          <cell r="J87">
            <v>29</v>
          </cell>
          <cell r="K87">
            <v>44394</v>
          </cell>
          <cell r="L87">
            <v>44400</v>
          </cell>
          <cell r="M87">
            <v>44404</v>
          </cell>
        </row>
        <row r="88">
          <cell r="E88" t="str">
            <v>30</v>
          </cell>
          <cell r="F88">
            <v>44305</v>
          </cell>
          <cell r="J88">
            <v>30</v>
          </cell>
          <cell r="K88">
            <v>44401</v>
          </cell>
          <cell r="L88">
            <v>44407</v>
          </cell>
          <cell r="M88">
            <v>44411</v>
          </cell>
        </row>
        <row r="89">
          <cell r="E89" t="str">
            <v>31</v>
          </cell>
          <cell r="F89">
            <v>44306</v>
          </cell>
          <cell r="J89">
            <v>31</v>
          </cell>
          <cell r="K89">
            <v>44408</v>
          </cell>
          <cell r="L89">
            <v>44414</v>
          </cell>
          <cell r="M89">
            <v>44418</v>
          </cell>
        </row>
        <row r="90">
          <cell r="E90" t="str">
            <v>32</v>
          </cell>
          <cell r="F90">
            <v>44306</v>
          </cell>
          <cell r="J90">
            <v>32</v>
          </cell>
          <cell r="K90">
            <v>44415</v>
          </cell>
          <cell r="L90">
            <v>44421</v>
          </cell>
          <cell r="M90">
            <v>44426</v>
          </cell>
        </row>
        <row r="91">
          <cell r="E91" t="str">
            <v>33</v>
          </cell>
          <cell r="F91">
            <v>44306</v>
          </cell>
          <cell r="J91">
            <v>33</v>
          </cell>
          <cell r="K91">
            <v>44422</v>
          </cell>
          <cell r="L91">
            <v>44428</v>
          </cell>
          <cell r="M91">
            <v>44432</v>
          </cell>
        </row>
        <row r="92">
          <cell r="E92" t="str">
            <v>34</v>
          </cell>
          <cell r="F92">
            <v>44306</v>
          </cell>
          <cell r="J92">
            <v>34</v>
          </cell>
          <cell r="K92">
            <v>44429</v>
          </cell>
          <cell r="L92">
            <v>44435</v>
          </cell>
          <cell r="M92">
            <v>44439</v>
          </cell>
        </row>
        <row r="93">
          <cell r="E93" t="str">
            <v>35</v>
          </cell>
          <cell r="F93">
            <v>44306</v>
          </cell>
          <cell r="J93">
            <v>35</v>
          </cell>
          <cell r="K93">
            <v>44436</v>
          </cell>
          <cell r="L93">
            <v>44442</v>
          </cell>
          <cell r="M93">
            <v>44446</v>
          </cell>
        </row>
        <row r="94">
          <cell r="E94" t="str">
            <v>36</v>
          </cell>
          <cell r="F94">
            <v>44307</v>
          </cell>
          <cell r="J94">
            <v>36</v>
          </cell>
          <cell r="K94">
            <v>44443</v>
          </cell>
          <cell r="L94">
            <v>44449</v>
          </cell>
          <cell r="M94">
            <v>44453</v>
          </cell>
        </row>
        <row r="95">
          <cell r="E95" t="str">
            <v>37</v>
          </cell>
          <cell r="F95">
            <v>44307</v>
          </cell>
          <cell r="J95">
            <v>37</v>
          </cell>
          <cell r="K95">
            <v>44450</v>
          </cell>
          <cell r="L95">
            <v>44456</v>
          </cell>
          <cell r="M95">
            <v>44460</v>
          </cell>
        </row>
        <row r="96">
          <cell r="E96" t="str">
            <v>38</v>
          </cell>
          <cell r="F96">
            <v>44307</v>
          </cell>
          <cell r="J96">
            <v>38</v>
          </cell>
          <cell r="K96">
            <v>44457</v>
          </cell>
          <cell r="L96">
            <v>44463</v>
          </cell>
          <cell r="M96">
            <v>44467</v>
          </cell>
        </row>
        <row r="97">
          <cell r="E97" t="str">
            <v>39</v>
          </cell>
          <cell r="F97">
            <v>44307</v>
          </cell>
          <cell r="J97">
            <v>39</v>
          </cell>
          <cell r="K97">
            <v>44464</v>
          </cell>
          <cell r="L97">
            <v>44470</v>
          </cell>
          <cell r="M97">
            <v>44474</v>
          </cell>
        </row>
        <row r="98">
          <cell r="E98" t="str">
            <v>40</v>
          </cell>
          <cell r="F98">
            <v>44307</v>
          </cell>
          <cell r="J98">
            <v>40</v>
          </cell>
          <cell r="K98">
            <v>44471</v>
          </cell>
          <cell r="L98">
            <v>44477</v>
          </cell>
          <cell r="M98">
            <v>44481</v>
          </cell>
        </row>
        <row r="99">
          <cell r="E99" t="str">
            <v>41</v>
          </cell>
          <cell r="F99">
            <v>44308</v>
          </cell>
          <cell r="J99">
            <v>41</v>
          </cell>
          <cell r="K99">
            <v>44478</v>
          </cell>
          <cell r="L99">
            <v>44484</v>
          </cell>
          <cell r="M99">
            <v>44488</v>
          </cell>
        </row>
        <row r="100">
          <cell r="E100" t="str">
            <v>42</v>
          </cell>
          <cell r="F100">
            <v>44308</v>
          </cell>
          <cell r="J100">
            <v>42</v>
          </cell>
          <cell r="K100">
            <v>44485</v>
          </cell>
          <cell r="L100">
            <v>44491</v>
          </cell>
          <cell r="M100">
            <v>44495</v>
          </cell>
        </row>
        <row r="101">
          <cell r="E101" t="str">
            <v>43</v>
          </cell>
          <cell r="F101">
            <v>44308</v>
          </cell>
          <cell r="J101">
            <v>43</v>
          </cell>
          <cell r="K101">
            <v>44492</v>
          </cell>
          <cell r="L101">
            <v>44498</v>
          </cell>
          <cell r="M101">
            <v>44503</v>
          </cell>
        </row>
        <row r="102">
          <cell r="E102" t="str">
            <v>44</v>
          </cell>
          <cell r="F102">
            <v>44308</v>
          </cell>
          <cell r="J102">
            <v>44</v>
          </cell>
          <cell r="K102">
            <v>44499</v>
          </cell>
          <cell r="L102">
            <v>44505</v>
          </cell>
          <cell r="M102">
            <v>44509</v>
          </cell>
        </row>
        <row r="103">
          <cell r="E103" t="str">
            <v>45</v>
          </cell>
          <cell r="F103">
            <v>44308</v>
          </cell>
          <cell r="J103">
            <v>45</v>
          </cell>
          <cell r="K103">
            <v>44506</v>
          </cell>
          <cell r="L103">
            <v>44512</v>
          </cell>
          <cell r="M103">
            <v>44517</v>
          </cell>
        </row>
        <row r="104">
          <cell r="E104" t="str">
            <v>46</v>
          </cell>
          <cell r="F104">
            <v>44309</v>
          </cell>
          <cell r="J104">
            <v>46</v>
          </cell>
          <cell r="K104">
            <v>44513</v>
          </cell>
          <cell r="L104">
            <v>44519</v>
          </cell>
          <cell r="M104">
            <v>44523</v>
          </cell>
        </row>
        <row r="105">
          <cell r="E105" t="str">
            <v>47</v>
          </cell>
          <cell r="F105">
            <v>44309</v>
          </cell>
          <cell r="J105">
            <v>47</v>
          </cell>
          <cell r="K105">
            <v>44520</v>
          </cell>
          <cell r="L105">
            <v>44526</v>
          </cell>
          <cell r="M105">
            <v>44530</v>
          </cell>
        </row>
        <row r="106">
          <cell r="E106" t="str">
            <v>48</v>
          </cell>
          <cell r="F106">
            <v>44309</v>
          </cell>
          <cell r="J106">
            <v>48</v>
          </cell>
          <cell r="K106">
            <v>44527</v>
          </cell>
          <cell r="L106">
            <v>44533</v>
          </cell>
          <cell r="M106">
            <v>44537</v>
          </cell>
        </row>
        <row r="107">
          <cell r="E107" t="str">
            <v>49</v>
          </cell>
          <cell r="F107">
            <v>44309</v>
          </cell>
          <cell r="J107">
            <v>49</v>
          </cell>
          <cell r="K107">
            <v>44534</v>
          </cell>
          <cell r="L107">
            <v>44540</v>
          </cell>
          <cell r="M107">
            <v>44544</v>
          </cell>
        </row>
        <row r="108">
          <cell r="E108" t="str">
            <v>50</v>
          </cell>
          <cell r="F108">
            <v>44309</v>
          </cell>
          <cell r="J108">
            <v>50</v>
          </cell>
          <cell r="K108">
            <v>44541</v>
          </cell>
          <cell r="L108">
            <v>44547</v>
          </cell>
          <cell r="M108">
            <v>44551</v>
          </cell>
        </row>
        <row r="109">
          <cell r="E109" t="str">
            <v>51</v>
          </cell>
          <cell r="F109">
            <v>44312</v>
          </cell>
          <cell r="J109">
            <v>51</v>
          </cell>
          <cell r="K109">
            <v>44548</v>
          </cell>
          <cell r="L109">
            <v>44554</v>
          </cell>
          <cell r="M109">
            <v>44558</v>
          </cell>
        </row>
        <row r="110">
          <cell r="E110" t="str">
            <v>52</v>
          </cell>
          <cell r="F110">
            <v>44312</v>
          </cell>
          <cell r="J110">
            <v>52</v>
          </cell>
          <cell r="K110">
            <v>44555</v>
          </cell>
          <cell r="L110">
            <v>44561</v>
          </cell>
          <cell r="M110">
            <v>44565</v>
          </cell>
        </row>
        <row r="111">
          <cell r="E111" t="str">
            <v>53</v>
          </cell>
          <cell r="F111">
            <v>44312</v>
          </cell>
        </row>
        <row r="112">
          <cell r="E112" t="str">
            <v>54</v>
          </cell>
          <cell r="F112">
            <v>44312</v>
          </cell>
        </row>
        <row r="113">
          <cell r="E113" t="str">
            <v>55</v>
          </cell>
          <cell r="F113">
            <v>44312</v>
          </cell>
        </row>
        <row r="114">
          <cell r="E114" t="str">
            <v>56</v>
          </cell>
          <cell r="F114">
            <v>44313</v>
          </cell>
        </row>
        <row r="115">
          <cell r="E115" t="str">
            <v>57</v>
          </cell>
          <cell r="F115">
            <v>44313</v>
          </cell>
        </row>
        <row r="116">
          <cell r="E116" t="str">
            <v>58</v>
          </cell>
          <cell r="F116">
            <v>44313</v>
          </cell>
        </row>
        <row r="117">
          <cell r="E117" t="str">
            <v>59</v>
          </cell>
          <cell r="F117">
            <v>44313</v>
          </cell>
        </row>
        <row r="118">
          <cell r="E118" t="str">
            <v>60</v>
          </cell>
          <cell r="F118">
            <v>44313</v>
          </cell>
        </row>
        <row r="119">
          <cell r="E119" t="str">
            <v>61</v>
          </cell>
          <cell r="F119">
            <v>44314</v>
          </cell>
        </row>
        <row r="120">
          <cell r="E120" t="str">
            <v>62</v>
          </cell>
          <cell r="F120">
            <v>44314</v>
          </cell>
        </row>
        <row r="121">
          <cell r="E121" t="str">
            <v>63</v>
          </cell>
          <cell r="F121">
            <v>44314</v>
          </cell>
        </row>
        <row r="122">
          <cell r="E122" t="str">
            <v>64</v>
          </cell>
          <cell r="F122">
            <v>44314</v>
          </cell>
        </row>
        <row r="123">
          <cell r="E123" t="str">
            <v>65</v>
          </cell>
          <cell r="F123">
            <v>44314</v>
          </cell>
        </row>
        <row r="124">
          <cell r="E124" t="str">
            <v>66</v>
          </cell>
          <cell r="F124">
            <v>44315</v>
          </cell>
        </row>
        <row r="125">
          <cell r="E125" t="str">
            <v>67</v>
          </cell>
          <cell r="F125">
            <v>44315</v>
          </cell>
        </row>
        <row r="126">
          <cell r="E126" t="str">
            <v>68</v>
          </cell>
          <cell r="F126">
            <v>44315</v>
          </cell>
        </row>
        <row r="127">
          <cell r="E127" t="str">
            <v>69</v>
          </cell>
          <cell r="F127">
            <v>44315</v>
          </cell>
        </row>
        <row r="128">
          <cell r="E128" t="str">
            <v>70</v>
          </cell>
          <cell r="F128">
            <v>44315</v>
          </cell>
        </row>
        <row r="129">
          <cell r="E129" t="str">
            <v>71</v>
          </cell>
          <cell r="F129">
            <v>44316</v>
          </cell>
        </row>
        <row r="130">
          <cell r="E130" t="str">
            <v>72</v>
          </cell>
          <cell r="F130">
            <v>44316</v>
          </cell>
        </row>
        <row r="131">
          <cell r="E131" t="str">
            <v>73</v>
          </cell>
          <cell r="F131">
            <v>44316</v>
          </cell>
        </row>
        <row r="132">
          <cell r="E132" t="str">
            <v>74</v>
          </cell>
          <cell r="F132">
            <v>44316</v>
          </cell>
        </row>
        <row r="133">
          <cell r="E133" t="str">
            <v>75</v>
          </cell>
          <cell r="F133">
            <v>44316</v>
          </cell>
        </row>
        <row r="134">
          <cell r="E134" t="str">
            <v>76</v>
          </cell>
          <cell r="F134">
            <v>44319</v>
          </cell>
        </row>
        <row r="135">
          <cell r="E135" t="str">
            <v>77</v>
          </cell>
          <cell r="F135">
            <v>44319</v>
          </cell>
        </row>
        <row r="136">
          <cell r="E136" t="str">
            <v>78</v>
          </cell>
          <cell r="F136">
            <v>44319</v>
          </cell>
        </row>
        <row r="137">
          <cell r="E137" t="str">
            <v>79</v>
          </cell>
          <cell r="F137">
            <v>44319</v>
          </cell>
        </row>
        <row r="138">
          <cell r="E138" t="str">
            <v>80</v>
          </cell>
          <cell r="F138">
            <v>44319</v>
          </cell>
        </row>
        <row r="139">
          <cell r="E139" t="str">
            <v>81</v>
          </cell>
          <cell r="F139">
            <v>44320</v>
          </cell>
        </row>
        <row r="140">
          <cell r="E140" t="str">
            <v>82</v>
          </cell>
          <cell r="F140">
            <v>44320</v>
          </cell>
        </row>
        <row r="141">
          <cell r="E141" t="str">
            <v>83</v>
          </cell>
          <cell r="F141">
            <v>44320</v>
          </cell>
        </row>
        <row r="142">
          <cell r="E142" t="str">
            <v>84</v>
          </cell>
          <cell r="F142">
            <v>44320</v>
          </cell>
        </row>
        <row r="143">
          <cell r="E143" t="str">
            <v>85</v>
          </cell>
          <cell r="F143">
            <v>44320</v>
          </cell>
        </row>
        <row r="144">
          <cell r="E144" t="str">
            <v>86</v>
          </cell>
          <cell r="F144">
            <v>44321</v>
          </cell>
        </row>
        <row r="145">
          <cell r="E145" t="str">
            <v>87</v>
          </cell>
          <cell r="F145">
            <v>44321</v>
          </cell>
        </row>
        <row r="146">
          <cell r="E146" t="str">
            <v>88</v>
          </cell>
          <cell r="F146">
            <v>44321</v>
          </cell>
        </row>
        <row r="147">
          <cell r="E147" t="str">
            <v>89</v>
          </cell>
          <cell r="F147">
            <v>44321</v>
          </cell>
        </row>
        <row r="148">
          <cell r="E148" t="str">
            <v>90</v>
          </cell>
          <cell r="F148">
            <v>44321</v>
          </cell>
        </row>
        <row r="149">
          <cell r="E149" t="str">
            <v>91</v>
          </cell>
          <cell r="F149">
            <v>44322</v>
          </cell>
        </row>
        <row r="150">
          <cell r="E150" t="str">
            <v>92</v>
          </cell>
          <cell r="F150">
            <v>44322</v>
          </cell>
        </row>
        <row r="151">
          <cell r="E151" t="str">
            <v>93</v>
          </cell>
          <cell r="F151">
            <v>44322</v>
          </cell>
        </row>
        <row r="152">
          <cell r="E152" t="str">
            <v>94</v>
          </cell>
          <cell r="F152">
            <v>44322</v>
          </cell>
        </row>
        <row r="153">
          <cell r="E153" t="str">
            <v>95</v>
          </cell>
          <cell r="F153">
            <v>44322</v>
          </cell>
        </row>
        <row r="154">
          <cell r="E154" t="str">
            <v>96</v>
          </cell>
          <cell r="F154">
            <v>44323</v>
          </cell>
        </row>
        <row r="155">
          <cell r="E155" t="str">
            <v>97</v>
          </cell>
          <cell r="F155">
            <v>44323</v>
          </cell>
        </row>
        <row r="156">
          <cell r="E156" t="str">
            <v>98</v>
          </cell>
          <cell r="F156">
            <v>44323</v>
          </cell>
        </row>
        <row r="157">
          <cell r="E157" t="str">
            <v>99</v>
          </cell>
          <cell r="F157">
            <v>44323</v>
          </cell>
        </row>
        <row r="158">
          <cell r="E158" t="str">
            <v>00</v>
          </cell>
          <cell r="F158">
            <v>44323</v>
          </cell>
        </row>
        <row r="162">
          <cell r="E162" t="str">
            <v>01</v>
          </cell>
          <cell r="F162">
            <v>44418</v>
          </cell>
          <cell r="J162" t="str">
            <v>01</v>
          </cell>
          <cell r="K162">
            <v>44341</v>
          </cell>
          <cell r="N162">
            <v>1</v>
          </cell>
          <cell r="O162">
            <v>44313</v>
          </cell>
        </row>
        <row r="163">
          <cell r="E163" t="str">
            <v>02</v>
          </cell>
          <cell r="F163">
            <v>44418</v>
          </cell>
          <cell r="J163" t="str">
            <v>02</v>
          </cell>
          <cell r="K163">
            <v>44341</v>
          </cell>
          <cell r="N163">
            <v>2</v>
          </cell>
          <cell r="O163">
            <v>44314</v>
          </cell>
        </row>
        <row r="164">
          <cell r="E164" t="str">
            <v>03</v>
          </cell>
          <cell r="F164">
            <v>44419</v>
          </cell>
          <cell r="J164" t="str">
            <v>03</v>
          </cell>
          <cell r="K164">
            <v>44341</v>
          </cell>
          <cell r="N164">
            <v>3</v>
          </cell>
          <cell r="O164">
            <v>44315</v>
          </cell>
        </row>
        <row r="165">
          <cell r="E165" t="str">
            <v>04</v>
          </cell>
          <cell r="F165">
            <v>44419</v>
          </cell>
          <cell r="J165" t="str">
            <v>04</v>
          </cell>
          <cell r="K165">
            <v>44341</v>
          </cell>
          <cell r="N165">
            <v>4</v>
          </cell>
          <cell r="O165">
            <v>44316</v>
          </cell>
        </row>
        <row r="166">
          <cell r="E166" t="str">
            <v>05</v>
          </cell>
          <cell r="F166">
            <v>44420</v>
          </cell>
          <cell r="J166" t="str">
            <v>05</v>
          </cell>
          <cell r="K166">
            <v>44341</v>
          </cell>
          <cell r="N166">
            <v>5</v>
          </cell>
          <cell r="O166">
            <v>44319</v>
          </cell>
        </row>
        <row r="167">
          <cell r="E167" t="str">
            <v>06</v>
          </cell>
          <cell r="F167">
            <v>44420</v>
          </cell>
          <cell r="J167" t="str">
            <v>06</v>
          </cell>
          <cell r="K167">
            <v>44341</v>
          </cell>
          <cell r="N167">
            <v>6</v>
          </cell>
          <cell r="O167">
            <v>44320</v>
          </cell>
        </row>
        <row r="168">
          <cell r="E168" t="str">
            <v>07</v>
          </cell>
          <cell r="F168">
            <v>44421</v>
          </cell>
          <cell r="J168" t="str">
            <v>07</v>
          </cell>
          <cell r="K168">
            <v>44342</v>
          </cell>
          <cell r="N168">
            <v>7</v>
          </cell>
          <cell r="O168">
            <v>44321</v>
          </cell>
        </row>
        <row r="169">
          <cell r="E169" t="str">
            <v>08</v>
          </cell>
          <cell r="F169">
            <v>44421</v>
          </cell>
          <cell r="J169" t="str">
            <v>08</v>
          </cell>
          <cell r="K169">
            <v>44342</v>
          </cell>
          <cell r="N169">
            <v>8</v>
          </cell>
          <cell r="O169">
            <v>44322</v>
          </cell>
        </row>
        <row r="170">
          <cell r="E170" t="str">
            <v>09</v>
          </cell>
          <cell r="F170">
            <v>44425</v>
          </cell>
          <cell r="J170" t="str">
            <v>09</v>
          </cell>
          <cell r="K170">
            <v>44342</v>
          </cell>
          <cell r="N170">
            <v>9</v>
          </cell>
          <cell r="O170">
            <v>44323</v>
          </cell>
        </row>
        <row r="171">
          <cell r="E171" t="str">
            <v>10</v>
          </cell>
          <cell r="F171">
            <v>44425</v>
          </cell>
          <cell r="J171" t="str">
            <v>10</v>
          </cell>
          <cell r="K171">
            <v>44342</v>
          </cell>
          <cell r="N171">
            <v>0</v>
          </cell>
          <cell r="O171">
            <v>44326</v>
          </cell>
        </row>
        <row r="172">
          <cell r="E172" t="str">
            <v>11</v>
          </cell>
          <cell r="F172">
            <v>44426</v>
          </cell>
          <cell r="J172" t="str">
            <v>11</v>
          </cell>
          <cell r="K172">
            <v>44342</v>
          </cell>
        </row>
        <row r="173">
          <cell r="E173" t="str">
            <v>12</v>
          </cell>
          <cell r="F173">
            <v>44426</v>
          </cell>
          <cell r="J173" t="str">
            <v>12</v>
          </cell>
          <cell r="K173">
            <v>44342</v>
          </cell>
        </row>
        <row r="174">
          <cell r="E174" t="str">
            <v>13</v>
          </cell>
          <cell r="F174">
            <v>44427</v>
          </cell>
          <cell r="J174" t="str">
            <v>13</v>
          </cell>
          <cell r="K174">
            <v>44343</v>
          </cell>
        </row>
        <row r="175">
          <cell r="E175" t="str">
            <v>14</v>
          </cell>
          <cell r="F175">
            <v>44427</v>
          </cell>
          <cell r="J175" t="str">
            <v>14</v>
          </cell>
          <cell r="K175">
            <v>44343</v>
          </cell>
        </row>
        <row r="176">
          <cell r="E176" t="str">
            <v>15</v>
          </cell>
          <cell r="F176">
            <v>44428</v>
          </cell>
          <cell r="J176" t="str">
            <v>15</v>
          </cell>
          <cell r="K176">
            <v>44343</v>
          </cell>
        </row>
        <row r="177">
          <cell r="E177" t="str">
            <v>16</v>
          </cell>
          <cell r="F177">
            <v>44428</v>
          </cell>
          <cell r="J177" t="str">
            <v>16</v>
          </cell>
          <cell r="K177">
            <v>44343</v>
          </cell>
        </row>
        <row r="178">
          <cell r="E178" t="str">
            <v>17</v>
          </cell>
          <cell r="F178">
            <v>44431</v>
          </cell>
          <cell r="J178" t="str">
            <v>17</v>
          </cell>
          <cell r="K178">
            <v>44343</v>
          </cell>
        </row>
        <row r="179">
          <cell r="E179" t="str">
            <v>18</v>
          </cell>
          <cell r="F179">
            <v>44431</v>
          </cell>
          <cell r="J179" t="str">
            <v>18</v>
          </cell>
          <cell r="K179">
            <v>44343</v>
          </cell>
        </row>
        <row r="180">
          <cell r="E180" t="str">
            <v>19</v>
          </cell>
          <cell r="F180">
            <v>44432</v>
          </cell>
          <cell r="J180" t="str">
            <v>19</v>
          </cell>
          <cell r="K180">
            <v>44344</v>
          </cell>
        </row>
        <row r="181">
          <cell r="E181" t="str">
            <v>20</v>
          </cell>
          <cell r="F181">
            <v>44432</v>
          </cell>
          <cell r="J181" t="str">
            <v>20</v>
          </cell>
          <cell r="K181">
            <v>44344</v>
          </cell>
        </row>
        <row r="182">
          <cell r="E182" t="str">
            <v>21</v>
          </cell>
          <cell r="F182">
            <v>44433</v>
          </cell>
          <cell r="J182" t="str">
            <v>21</v>
          </cell>
          <cell r="K182">
            <v>44344</v>
          </cell>
        </row>
        <row r="183">
          <cell r="E183" t="str">
            <v>22</v>
          </cell>
          <cell r="F183">
            <v>44433</v>
          </cell>
          <cell r="J183" t="str">
            <v>22</v>
          </cell>
          <cell r="K183">
            <v>44344</v>
          </cell>
        </row>
        <row r="184">
          <cell r="E184" t="str">
            <v>23</v>
          </cell>
          <cell r="F184">
            <v>44434</v>
          </cell>
          <cell r="J184" t="str">
            <v>23</v>
          </cell>
          <cell r="K184">
            <v>44344</v>
          </cell>
        </row>
        <row r="185">
          <cell r="E185" t="str">
            <v>24</v>
          </cell>
          <cell r="F185">
            <v>44434</v>
          </cell>
          <cell r="J185" t="str">
            <v>24</v>
          </cell>
          <cell r="K185">
            <v>44344</v>
          </cell>
        </row>
        <row r="186">
          <cell r="E186" t="str">
            <v>25</v>
          </cell>
          <cell r="F186">
            <v>44435</v>
          </cell>
          <cell r="J186" t="str">
            <v>25</v>
          </cell>
          <cell r="K186">
            <v>44347</v>
          </cell>
        </row>
        <row r="187">
          <cell r="E187" t="str">
            <v>26</v>
          </cell>
          <cell r="F187">
            <v>44435</v>
          </cell>
          <cell r="J187" t="str">
            <v>26</v>
          </cell>
          <cell r="K187">
            <v>44347</v>
          </cell>
        </row>
        <row r="188">
          <cell r="E188" t="str">
            <v>27</v>
          </cell>
          <cell r="F188">
            <v>44438</v>
          </cell>
          <cell r="J188" t="str">
            <v>27</v>
          </cell>
          <cell r="K188">
            <v>44347</v>
          </cell>
        </row>
        <row r="189">
          <cell r="E189" t="str">
            <v>28</v>
          </cell>
          <cell r="F189">
            <v>44438</v>
          </cell>
          <cell r="J189" t="str">
            <v>28</v>
          </cell>
          <cell r="K189">
            <v>44347</v>
          </cell>
        </row>
        <row r="190">
          <cell r="E190" t="str">
            <v>29</v>
          </cell>
          <cell r="F190">
            <v>44439</v>
          </cell>
          <cell r="J190" t="str">
            <v>29</v>
          </cell>
          <cell r="K190">
            <v>44347</v>
          </cell>
        </row>
        <row r="191">
          <cell r="E191" t="str">
            <v>30</v>
          </cell>
          <cell r="F191">
            <v>44439</v>
          </cell>
          <cell r="J191" t="str">
            <v>30</v>
          </cell>
          <cell r="K191">
            <v>44347</v>
          </cell>
        </row>
        <row r="192">
          <cell r="E192" t="str">
            <v>31</v>
          </cell>
          <cell r="F192">
            <v>44440</v>
          </cell>
          <cell r="J192" t="str">
            <v>31</v>
          </cell>
          <cell r="K192">
            <v>44348</v>
          </cell>
        </row>
        <row r="193">
          <cell r="E193" t="str">
            <v>32</v>
          </cell>
          <cell r="F193">
            <v>44440</v>
          </cell>
          <cell r="J193" t="str">
            <v>32</v>
          </cell>
          <cell r="K193">
            <v>44348</v>
          </cell>
        </row>
        <row r="194">
          <cell r="E194" t="str">
            <v>33</v>
          </cell>
          <cell r="F194">
            <v>44441</v>
          </cell>
          <cell r="J194" t="str">
            <v>33</v>
          </cell>
          <cell r="K194">
            <v>44348</v>
          </cell>
        </row>
        <row r="195">
          <cell r="E195" t="str">
            <v>34</v>
          </cell>
          <cell r="F195">
            <v>44441</v>
          </cell>
          <cell r="J195" t="str">
            <v>34</v>
          </cell>
          <cell r="K195">
            <v>44348</v>
          </cell>
        </row>
        <row r="196">
          <cell r="E196" t="str">
            <v>35</v>
          </cell>
          <cell r="F196">
            <v>44442</v>
          </cell>
          <cell r="J196" t="str">
            <v>35</v>
          </cell>
          <cell r="K196">
            <v>44348</v>
          </cell>
        </row>
        <row r="197">
          <cell r="E197" t="str">
            <v>36</v>
          </cell>
          <cell r="F197">
            <v>44442</v>
          </cell>
          <cell r="J197" t="str">
            <v>36</v>
          </cell>
          <cell r="K197">
            <v>44348</v>
          </cell>
        </row>
        <row r="198">
          <cell r="E198" t="str">
            <v>37</v>
          </cell>
          <cell r="F198">
            <v>44445</v>
          </cell>
          <cell r="J198" t="str">
            <v>37</v>
          </cell>
          <cell r="K198">
            <v>44348</v>
          </cell>
        </row>
        <row r="199">
          <cell r="E199" t="str">
            <v>38</v>
          </cell>
          <cell r="F199">
            <v>44445</v>
          </cell>
          <cell r="J199" t="str">
            <v>38</v>
          </cell>
          <cell r="K199">
            <v>44349</v>
          </cell>
        </row>
        <row r="200">
          <cell r="E200" t="str">
            <v>39</v>
          </cell>
          <cell r="F200">
            <v>44446</v>
          </cell>
          <cell r="J200" t="str">
            <v>39</v>
          </cell>
          <cell r="K200">
            <v>44349</v>
          </cell>
        </row>
        <row r="201">
          <cell r="E201" t="str">
            <v>40</v>
          </cell>
          <cell r="F201">
            <v>44446</v>
          </cell>
          <cell r="J201" t="str">
            <v>40</v>
          </cell>
          <cell r="K201">
            <v>44349</v>
          </cell>
        </row>
        <row r="202">
          <cell r="E202" t="str">
            <v>41</v>
          </cell>
          <cell r="F202">
            <v>44447</v>
          </cell>
          <cell r="J202" t="str">
            <v>41</v>
          </cell>
          <cell r="K202">
            <v>44349</v>
          </cell>
        </row>
        <row r="203">
          <cell r="E203" t="str">
            <v>42</v>
          </cell>
          <cell r="F203">
            <v>44447</v>
          </cell>
          <cell r="J203" t="str">
            <v>42</v>
          </cell>
          <cell r="K203">
            <v>44349</v>
          </cell>
        </row>
        <row r="204">
          <cell r="E204" t="str">
            <v>43</v>
          </cell>
          <cell r="F204">
            <v>44448</v>
          </cell>
          <cell r="J204" t="str">
            <v>43</v>
          </cell>
          <cell r="K204">
            <v>44349</v>
          </cell>
        </row>
        <row r="205">
          <cell r="E205" t="str">
            <v>44</v>
          </cell>
          <cell r="F205">
            <v>44448</v>
          </cell>
          <cell r="J205" t="str">
            <v>44</v>
          </cell>
          <cell r="K205">
            <v>44349</v>
          </cell>
        </row>
        <row r="206">
          <cell r="E206" t="str">
            <v>45</v>
          </cell>
          <cell r="F206">
            <v>44449</v>
          </cell>
          <cell r="J206" t="str">
            <v>45</v>
          </cell>
          <cell r="K206">
            <v>44350</v>
          </cell>
        </row>
        <row r="207">
          <cell r="E207" t="str">
            <v>46</v>
          </cell>
          <cell r="F207">
            <v>44449</v>
          </cell>
          <cell r="J207" t="str">
            <v>46</v>
          </cell>
          <cell r="K207">
            <v>44350</v>
          </cell>
        </row>
        <row r="208">
          <cell r="E208" t="str">
            <v>47</v>
          </cell>
          <cell r="F208">
            <v>44452</v>
          </cell>
          <cell r="J208" t="str">
            <v>47</v>
          </cell>
          <cell r="K208">
            <v>44350</v>
          </cell>
        </row>
        <row r="209">
          <cell r="E209" t="str">
            <v>48</v>
          </cell>
          <cell r="F209">
            <v>44452</v>
          </cell>
          <cell r="J209" t="str">
            <v>48</v>
          </cell>
          <cell r="K209">
            <v>44350</v>
          </cell>
        </row>
        <row r="210">
          <cell r="E210" t="str">
            <v>49</v>
          </cell>
          <cell r="F210">
            <v>44453</v>
          </cell>
          <cell r="J210" t="str">
            <v>49</v>
          </cell>
          <cell r="K210">
            <v>44350</v>
          </cell>
        </row>
        <row r="211">
          <cell r="E211" t="str">
            <v>50</v>
          </cell>
          <cell r="F211">
            <v>44453</v>
          </cell>
          <cell r="J211" t="str">
            <v>50</v>
          </cell>
          <cell r="K211">
            <v>44350</v>
          </cell>
        </row>
        <row r="212">
          <cell r="E212" t="str">
            <v>51</v>
          </cell>
          <cell r="F212">
            <v>44454</v>
          </cell>
          <cell r="J212" t="str">
            <v>51</v>
          </cell>
          <cell r="K212">
            <v>44350</v>
          </cell>
        </row>
        <row r="213">
          <cell r="E213" t="str">
            <v>52</v>
          </cell>
          <cell r="F213">
            <v>44454</v>
          </cell>
          <cell r="J213" t="str">
            <v>52</v>
          </cell>
          <cell r="K213">
            <v>44351</v>
          </cell>
        </row>
        <row r="214">
          <cell r="E214" t="str">
            <v>53</v>
          </cell>
          <cell r="F214">
            <v>44455</v>
          </cell>
          <cell r="J214" t="str">
            <v>53</v>
          </cell>
          <cell r="K214">
            <v>44351</v>
          </cell>
        </row>
        <row r="215">
          <cell r="E215" t="str">
            <v>54</v>
          </cell>
          <cell r="F215">
            <v>44455</v>
          </cell>
          <cell r="J215" t="str">
            <v>54</v>
          </cell>
          <cell r="K215">
            <v>44351</v>
          </cell>
        </row>
        <row r="216">
          <cell r="E216" t="str">
            <v>55</v>
          </cell>
          <cell r="F216">
            <v>44456</v>
          </cell>
          <cell r="J216" t="str">
            <v>55</v>
          </cell>
          <cell r="K216">
            <v>44351</v>
          </cell>
        </row>
        <row r="217">
          <cell r="E217" t="str">
            <v>56</v>
          </cell>
          <cell r="F217">
            <v>44456</v>
          </cell>
          <cell r="J217" t="str">
            <v>56</v>
          </cell>
          <cell r="K217">
            <v>44351</v>
          </cell>
        </row>
        <row r="218">
          <cell r="E218" t="str">
            <v>57</v>
          </cell>
          <cell r="F218">
            <v>44459</v>
          </cell>
          <cell r="J218" t="str">
            <v>57</v>
          </cell>
          <cell r="K218">
            <v>44351</v>
          </cell>
        </row>
        <row r="219">
          <cell r="E219" t="str">
            <v>58</v>
          </cell>
          <cell r="F219">
            <v>44459</v>
          </cell>
          <cell r="J219" t="str">
            <v>58</v>
          </cell>
          <cell r="K219">
            <v>44351</v>
          </cell>
        </row>
        <row r="220">
          <cell r="E220" t="str">
            <v>59</v>
          </cell>
          <cell r="F220">
            <v>44460</v>
          </cell>
          <cell r="J220" t="str">
            <v>59</v>
          </cell>
          <cell r="K220">
            <v>44355</v>
          </cell>
        </row>
        <row r="221">
          <cell r="E221" t="str">
            <v>60</v>
          </cell>
          <cell r="F221">
            <v>44460</v>
          </cell>
          <cell r="J221" t="str">
            <v>60</v>
          </cell>
          <cell r="K221">
            <v>44355</v>
          </cell>
        </row>
        <row r="222">
          <cell r="E222" t="str">
            <v>61</v>
          </cell>
          <cell r="F222">
            <v>43730</v>
          </cell>
          <cell r="J222" t="str">
            <v>61</v>
          </cell>
          <cell r="K222">
            <v>44355</v>
          </cell>
        </row>
        <row r="223">
          <cell r="E223" t="str">
            <v>62</v>
          </cell>
          <cell r="F223">
            <v>44461</v>
          </cell>
          <cell r="J223" t="str">
            <v>62</v>
          </cell>
          <cell r="K223">
            <v>44355</v>
          </cell>
        </row>
        <row r="224">
          <cell r="E224" t="str">
            <v>63</v>
          </cell>
          <cell r="F224">
            <v>44462</v>
          </cell>
          <cell r="J224" t="str">
            <v>63</v>
          </cell>
          <cell r="K224">
            <v>44355</v>
          </cell>
        </row>
        <row r="225">
          <cell r="E225" t="str">
            <v>64</v>
          </cell>
          <cell r="F225">
            <v>44462</v>
          </cell>
          <cell r="J225" t="str">
            <v>64</v>
          </cell>
          <cell r="K225">
            <v>44355</v>
          </cell>
        </row>
        <row r="226">
          <cell r="E226" t="str">
            <v>65</v>
          </cell>
          <cell r="F226">
            <v>44463</v>
          </cell>
          <cell r="J226" t="str">
            <v>65</v>
          </cell>
          <cell r="K226">
            <v>44355</v>
          </cell>
        </row>
        <row r="227">
          <cell r="E227" t="str">
            <v>66</v>
          </cell>
          <cell r="F227">
            <v>44463</v>
          </cell>
          <cell r="J227" t="str">
            <v>66</v>
          </cell>
          <cell r="K227">
            <v>44356</v>
          </cell>
        </row>
        <row r="228">
          <cell r="E228" t="str">
            <v>67</v>
          </cell>
          <cell r="F228">
            <v>44466</v>
          </cell>
          <cell r="J228" t="str">
            <v>67</v>
          </cell>
          <cell r="K228">
            <v>44356</v>
          </cell>
        </row>
        <row r="229">
          <cell r="E229" t="str">
            <v>68</v>
          </cell>
          <cell r="F229">
            <v>44466</v>
          </cell>
          <cell r="J229" t="str">
            <v>68</v>
          </cell>
          <cell r="K229">
            <v>44356</v>
          </cell>
        </row>
        <row r="230">
          <cell r="E230" t="str">
            <v>69</v>
          </cell>
          <cell r="F230">
            <v>44467</v>
          </cell>
          <cell r="J230" t="str">
            <v>69</v>
          </cell>
          <cell r="K230">
            <v>44356</v>
          </cell>
        </row>
        <row r="231">
          <cell r="E231" t="str">
            <v>70</v>
          </cell>
          <cell r="F231">
            <v>44467</v>
          </cell>
          <cell r="J231" t="str">
            <v>70</v>
          </cell>
          <cell r="K231">
            <v>44356</v>
          </cell>
        </row>
        <row r="232">
          <cell r="E232" t="str">
            <v>71</v>
          </cell>
          <cell r="F232">
            <v>44468</v>
          </cell>
          <cell r="J232" t="str">
            <v>71</v>
          </cell>
          <cell r="K232">
            <v>44356</v>
          </cell>
        </row>
        <row r="233">
          <cell r="E233" t="str">
            <v>72</v>
          </cell>
          <cell r="F233">
            <v>44468</v>
          </cell>
          <cell r="J233" t="str">
            <v>72</v>
          </cell>
          <cell r="K233">
            <v>44356</v>
          </cell>
        </row>
        <row r="234">
          <cell r="E234" t="str">
            <v>73</v>
          </cell>
          <cell r="F234">
            <v>44469</v>
          </cell>
          <cell r="J234" t="str">
            <v>73</v>
          </cell>
          <cell r="K234">
            <v>44357</v>
          </cell>
        </row>
        <row r="235">
          <cell r="E235" t="str">
            <v>74</v>
          </cell>
          <cell r="F235">
            <v>44469</v>
          </cell>
          <cell r="J235" t="str">
            <v>74</v>
          </cell>
          <cell r="K235">
            <v>44357</v>
          </cell>
        </row>
        <row r="236">
          <cell r="E236" t="str">
            <v>75</v>
          </cell>
          <cell r="F236">
            <v>44470</v>
          </cell>
          <cell r="J236" t="str">
            <v>75</v>
          </cell>
          <cell r="K236">
            <v>44357</v>
          </cell>
        </row>
        <row r="237">
          <cell r="E237" t="str">
            <v>76</v>
          </cell>
          <cell r="F237">
            <v>44470</v>
          </cell>
          <cell r="J237" t="str">
            <v>76</v>
          </cell>
          <cell r="K237">
            <v>44357</v>
          </cell>
        </row>
        <row r="238">
          <cell r="E238" t="str">
            <v>77</v>
          </cell>
          <cell r="F238">
            <v>44473</v>
          </cell>
          <cell r="J238" t="str">
            <v>77</v>
          </cell>
          <cell r="K238">
            <v>44357</v>
          </cell>
        </row>
        <row r="239">
          <cell r="E239" t="str">
            <v>78</v>
          </cell>
          <cell r="F239">
            <v>44473</v>
          </cell>
          <cell r="J239" t="str">
            <v>78</v>
          </cell>
          <cell r="K239">
            <v>44357</v>
          </cell>
        </row>
        <row r="240">
          <cell r="E240" t="str">
            <v>79</v>
          </cell>
          <cell r="F240">
            <v>44474</v>
          </cell>
          <cell r="J240" t="str">
            <v>79</v>
          </cell>
          <cell r="K240">
            <v>44357</v>
          </cell>
        </row>
        <row r="241">
          <cell r="E241" t="str">
            <v>80</v>
          </cell>
          <cell r="F241">
            <v>44474</v>
          </cell>
          <cell r="J241" t="str">
            <v>80</v>
          </cell>
          <cell r="K241">
            <v>44358</v>
          </cell>
        </row>
        <row r="242">
          <cell r="E242" t="str">
            <v>81</v>
          </cell>
          <cell r="F242">
            <v>44475</v>
          </cell>
          <cell r="J242" t="str">
            <v>81</v>
          </cell>
          <cell r="K242">
            <v>44358</v>
          </cell>
        </row>
        <row r="243">
          <cell r="E243" t="str">
            <v>82</v>
          </cell>
          <cell r="F243">
            <v>44475</v>
          </cell>
          <cell r="J243" t="str">
            <v>82</v>
          </cell>
          <cell r="K243">
            <v>44358</v>
          </cell>
        </row>
        <row r="244">
          <cell r="E244" t="str">
            <v>83</v>
          </cell>
          <cell r="F244">
            <v>44476</v>
          </cell>
          <cell r="J244" t="str">
            <v>83</v>
          </cell>
          <cell r="K244">
            <v>44358</v>
          </cell>
        </row>
        <row r="245">
          <cell r="E245" t="str">
            <v>84</v>
          </cell>
          <cell r="F245">
            <v>44476</v>
          </cell>
          <cell r="J245" t="str">
            <v>84</v>
          </cell>
          <cell r="K245">
            <v>44358</v>
          </cell>
        </row>
        <row r="246">
          <cell r="E246" t="str">
            <v>85</v>
          </cell>
          <cell r="F246">
            <v>44477</v>
          </cell>
          <cell r="J246" t="str">
            <v>85</v>
          </cell>
          <cell r="K246">
            <v>44358</v>
          </cell>
        </row>
        <row r="247">
          <cell r="E247" t="str">
            <v>86</v>
          </cell>
          <cell r="F247">
            <v>44477</v>
          </cell>
          <cell r="J247" t="str">
            <v>86</v>
          </cell>
          <cell r="K247">
            <v>44358</v>
          </cell>
        </row>
        <row r="248">
          <cell r="E248" t="str">
            <v>87</v>
          </cell>
          <cell r="F248">
            <v>44480</v>
          </cell>
          <cell r="J248" t="str">
            <v>87</v>
          </cell>
          <cell r="K248">
            <v>44362</v>
          </cell>
        </row>
        <row r="249">
          <cell r="E249" t="str">
            <v>88</v>
          </cell>
          <cell r="F249">
            <v>44480</v>
          </cell>
          <cell r="J249" t="str">
            <v>88</v>
          </cell>
          <cell r="K249">
            <v>44362</v>
          </cell>
        </row>
        <row r="250">
          <cell r="E250" t="str">
            <v>89</v>
          </cell>
          <cell r="F250">
            <v>44481</v>
          </cell>
          <cell r="J250" t="str">
            <v>89</v>
          </cell>
          <cell r="K250">
            <v>44362</v>
          </cell>
        </row>
        <row r="251">
          <cell r="E251" t="str">
            <v>90</v>
          </cell>
          <cell r="F251">
            <v>44481</v>
          </cell>
          <cell r="J251" t="str">
            <v>90</v>
          </cell>
          <cell r="K251">
            <v>44362</v>
          </cell>
        </row>
        <row r="252">
          <cell r="E252" t="str">
            <v>91</v>
          </cell>
          <cell r="F252">
            <v>44482</v>
          </cell>
          <cell r="J252" t="str">
            <v>91</v>
          </cell>
          <cell r="K252">
            <v>44362</v>
          </cell>
        </row>
        <row r="253">
          <cell r="E253" t="str">
            <v>92</v>
          </cell>
          <cell r="F253">
            <v>44482</v>
          </cell>
          <cell r="J253" t="str">
            <v>92</v>
          </cell>
          <cell r="K253">
            <v>44362</v>
          </cell>
        </row>
        <row r="254">
          <cell r="E254" t="str">
            <v>93</v>
          </cell>
          <cell r="F254">
            <v>44483</v>
          </cell>
          <cell r="J254" t="str">
            <v>93</v>
          </cell>
          <cell r="K254">
            <v>44362</v>
          </cell>
        </row>
        <row r="255">
          <cell r="E255" t="str">
            <v>94</v>
          </cell>
          <cell r="F255">
            <v>44483</v>
          </cell>
          <cell r="J255" t="str">
            <v>94</v>
          </cell>
          <cell r="K255">
            <v>44363</v>
          </cell>
        </row>
        <row r="256">
          <cell r="E256" t="str">
            <v>95</v>
          </cell>
          <cell r="F256">
            <v>44484</v>
          </cell>
          <cell r="J256" t="str">
            <v>95</v>
          </cell>
          <cell r="K256">
            <v>44363</v>
          </cell>
        </row>
        <row r="257">
          <cell r="E257" t="str">
            <v>96</v>
          </cell>
          <cell r="F257">
            <v>44484</v>
          </cell>
          <cell r="J257" t="str">
            <v>96</v>
          </cell>
          <cell r="K257">
            <v>44363</v>
          </cell>
        </row>
        <row r="258">
          <cell r="E258" t="str">
            <v>97</v>
          </cell>
          <cell r="F258">
            <v>44488</v>
          </cell>
          <cell r="J258" t="str">
            <v>97</v>
          </cell>
          <cell r="K258">
            <v>44363</v>
          </cell>
        </row>
        <row r="259">
          <cell r="E259" t="str">
            <v>98</v>
          </cell>
          <cell r="F259">
            <v>44488</v>
          </cell>
          <cell r="J259" t="str">
            <v>98</v>
          </cell>
          <cell r="K259">
            <v>44363</v>
          </cell>
        </row>
        <row r="260">
          <cell r="E260" t="str">
            <v>99</v>
          </cell>
          <cell r="F260">
            <v>44489</v>
          </cell>
          <cell r="J260" t="str">
            <v>99</v>
          </cell>
          <cell r="K260">
            <v>44363</v>
          </cell>
        </row>
        <row r="261">
          <cell r="E261" t="str">
            <v>00</v>
          </cell>
          <cell r="F261">
            <v>44489</v>
          </cell>
          <cell r="J261" t="str">
            <v>00</v>
          </cell>
          <cell r="K261">
            <v>44363</v>
          </cell>
        </row>
        <row r="265">
          <cell r="E265" t="str">
            <v>01</v>
          </cell>
          <cell r="F265">
            <v>44298</v>
          </cell>
          <cell r="J265" t="str">
            <v>01</v>
          </cell>
          <cell r="K265">
            <v>44334</v>
          </cell>
        </row>
        <row r="266">
          <cell r="E266" t="str">
            <v>02</v>
          </cell>
          <cell r="F266">
            <v>44298</v>
          </cell>
          <cell r="J266" t="str">
            <v>02</v>
          </cell>
          <cell r="K266">
            <v>44334</v>
          </cell>
        </row>
        <row r="267">
          <cell r="E267" t="str">
            <v>03</v>
          </cell>
          <cell r="F267">
            <v>44298</v>
          </cell>
          <cell r="J267" t="str">
            <v>03</v>
          </cell>
          <cell r="K267">
            <v>44334</v>
          </cell>
        </row>
        <row r="268">
          <cell r="E268" t="str">
            <v>04</v>
          </cell>
          <cell r="F268">
            <v>44298</v>
          </cell>
          <cell r="J268" t="str">
            <v>04</v>
          </cell>
          <cell r="K268">
            <v>44334</v>
          </cell>
        </row>
        <row r="269">
          <cell r="E269" t="str">
            <v>05</v>
          </cell>
          <cell r="F269">
            <v>44298</v>
          </cell>
          <cell r="J269" t="str">
            <v>05</v>
          </cell>
          <cell r="K269">
            <v>44334</v>
          </cell>
        </row>
        <row r="270">
          <cell r="E270" t="str">
            <v>06</v>
          </cell>
          <cell r="F270">
            <v>44299</v>
          </cell>
          <cell r="J270" t="str">
            <v>06</v>
          </cell>
          <cell r="K270">
            <v>44334</v>
          </cell>
        </row>
        <row r="271">
          <cell r="E271" t="str">
            <v>07</v>
          </cell>
          <cell r="F271">
            <v>44299</v>
          </cell>
          <cell r="J271" t="str">
            <v>07</v>
          </cell>
          <cell r="K271">
            <v>44334</v>
          </cell>
        </row>
        <row r="272">
          <cell r="E272" t="str">
            <v>08</v>
          </cell>
          <cell r="F272">
            <v>44299</v>
          </cell>
          <cell r="J272" t="str">
            <v>08</v>
          </cell>
          <cell r="K272">
            <v>44334</v>
          </cell>
        </row>
        <row r="273">
          <cell r="E273" t="str">
            <v>09</v>
          </cell>
          <cell r="F273">
            <v>44299</v>
          </cell>
          <cell r="J273" t="str">
            <v>09</v>
          </cell>
          <cell r="K273">
            <v>44334</v>
          </cell>
        </row>
        <row r="274">
          <cell r="E274" t="str">
            <v>10</v>
          </cell>
          <cell r="F274">
            <v>44299</v>
          </cell>
          <cell r="J274" t="str">
            <v>10</v>
          </cell>
          <cell r="K274">
            <v>44334</v>
          </cell>
        </row>
        <row r="275">
          <cell r="E275" t="str">
            <v>11</v>
          </cell>
          <cell r="F275">
            <v>44300</v>
          </cell>
          <cell r="J275" t="str">
            <v>11</v>
          </cell>
          <cell r="K275">
            <v>44335</v>
          </cell>
        </row>
        <row r="276">
          <cell r="E276" t="str">
            <v>12</v>
          </cell>
          <cell r="F276">
            <v>44300</v>
          </cell>
          <cell r="J276" t="str">
            <v>12</v>
          </cell>
          <cell r="K276">
            <v>44335</v>
          </cell>
        </row>
        <row r="277">
          <cell r="E277" t="str">
            <v>13</v>
          </cell>
          <cell r="F277">
            <v>44300</v>
          </cell>
          <cell r="J277" t="str">
            <v>13</v>
          </cell>
          <cell r="K277">
            <v>44335</v>
          </cell>
        </row>
        <row r="278">
          <cell r="E278" t="str">
            <v>14</v>
          </cell>
          <cell r="F278">
            <v>44300</v>
          </cell>
          <cell r="J278" t="str">
            <v>14</v>
          </cell>
          <cell r="K278">
            <v>44335</v>
          </cell>
        </row>
        <row r="279">
          <cell r="E279" t="str">
            <v>15</v>
          </cell>
          <cell r="F279">
            <v>44300</v>
          </cell>
          <cell r="J279" t="str">
            <v>15</v>
          </cell>
          <cell r="K279">
            <v>44335</v>
          </cell>
        </row>
        <row r="280">
          <cell r="E280" t="str">
            <v>16</v>
          </cell>
          <cell r="F280">
            <v>44301</v>
          </cell>
          <cell r="J280" t="str">
            <v>16</v>
          </cell>
          <cell r="K280">
            <v>44335</v>
          </cell>
        </row>
        <row r="281">
          <cell r="E281" t="str">
            <v>17</v>
          </cell>
          <cell r="F281">
            <v>44301</v>
          </cell>
          <cell r="J281" t="str">
            <v>17</v>
          </cell>
          <cell r="K281">
            <v>44335</v>
          </cell>
        </row>
        <row r="282">
          <cell r="E282" t="str">
            <v>18</v>
          </cell>
          <cell r="F282">
            <v>44301</v>
          </cell>
          <cell r="J282" t="str">
            <v>18</v>
          </cell>
          <cell r="K282">
            <v>44335</v>
          </cell>
        </row>
        <row r="283">
          <cell r="E283" t="str">
            <v>19</v>
          </cell>
          <cell r="F283">
            <v>44301</v>
          </cell>
          <cell r="J283" t="str">
            <v>19</v>
          </cell>
          <cell r="K283">
            <v>44335</v>
          </cell>
        </row>
        <row r="284">
          <cell r="E284" t="str">
            <v>20</v>
          </cell>
          <cell r="F284">
            <v>44301</v>
          </cell>
          <cell r="J284" t="str">
            <v>20</v>
          </cell>
          <cell r="K284">
            <v>44335</v>
          </cell>
        </row>
        <row r="285">
          <cell r="E285" t="str">
            <v>21</v>
          </cell>
          <cell r="F285">
            <v>44302</v>
          </cell>
          <cell r="J285" t="str">
            <v>21</v>
          </cell>
          <cell r="K285">
            <v>44336</v>
          </cell>
        </row>
        <row r="286">
          <cell r="E286" t="str">
            <v>22</v>
          </cell>
          <cell r="F286">
            <v>44302</v>
          </cell>
          <cell r="J286" t="str">
            <v>22</v>
          </cell>
          <cell r="K286">
            <v>44336</v>
          </cell>
        </row>
        <row r="287">
          <cell r="E287" t="str">
            <v>23</v>
          </cell>
          <cell r="F287">
            <v>44302</v>
          </cell>
          <cell r="J287" t="str">
            <v>23</v>
          </cell>
          <cell r="K287">
            <v>44336</v>
          </cell>
        </row>
        <row r="288">
          <cell r="E288" t="str">
            <v>24</v>
          </cell>
          <cell r="F288">
            <v>44302</v>
          </cell>
          <cell r="J288" t="str">
            <v>24</v>
          </cell>
          <cell r="K288">
            <v>44336</v>
          </cell>
        </row>
        <row r="289">
          <cell r="E289" t="str">
            <v>25</v>
          </cell>
          <cell r="F289">
            <v>44302</v>
          </cell>
          <cell r="J289" t="str">
            <v>25</v>
          </cell>
          <cell r="K289">
            <v>44336</v>
          </cell>
        </row>
        <row r="290">
          <cell r="E290" t="str">
            <v>26</v>
          </cell>
          <cell r="F290">
            <v>44305</v>
          </cell>
          <cell r="J290" t="str">
            <v>26</v>
          </cell>
          <cell r="K290">
            <v>44336</v>
          </cell>
        </row>
        <row r="291">
          <cell r="E291" t="str">
            <v>27</v>
          </cell>
          <cell r="F291">
            <v>44305</v>
          </cell>
          <cell r="J291" t="str">
            <v>27</v>
          </cell>
          <cell r="K291">
            <v>44336</v>
          </cell>
        </row>
        <row r="292">
          <cell r="E292" t="str">
            <v>28</v>
          </cell>
          <cell r="F292">
            <v>44305</v>
          </cell>
          <cell r="J292" t="str">
            <v>28</v>
          </cell>
          <cell r="K292">
            <v>44336</v>
          </cell>
        </row>
        <row r="293">
          <cell r="E293" t="str">
            <v>29</v>
          </cell>
          <cell r="F293">
            <v>44305</v>
          </cell>
          <cell r="J293" t="str">
            <v>29</v>
          </cell>
          <cell r="K293">
            <v>44336</v>
          </cell>
        </row>
        <row r="294">
          <cell r="E294" t="str">
            <v>30</v>
          </cell>
          <cell r="F294">
            <v>44305</v>
          </cell>
          <cell r="J294" t="str">
            <v>30</v>
          </cell>
          <cell r="K294">
            <v>44336</v>
          </cell>
        </row>
        <row r="295">
          <cell r="E295" t="str">
            <v>31</v>
          </cell>
          <cell r="F295">
            <v>44306</v>
          </cell>
          <cell r="J295" t="str">
            <v>31</v>
          </cell>
          <cell r="K295">
            <v>44337</v>
          </cell>
        </row>
        <row r="296">
          <cell r="E296" t="str">
            <v>32</v>
          </cell>
          <cell r="F296">
            <v>44306</v>
          </cell>
          <cell r="J296" t="str">
            <v>32</v>
          </cell>
          <cell r="K296">
            <v>44337</v>
          </cell>
        </row>
        <row r="297">
          <cell r="E297" t="str">
            <v>33</v>
          </cell>
          <cell r="F297">
            <v>44306</v>
          </cell>
          <cell r="J297" t="str">
            <v>33</v>
          </cell>
          <cell r="K297">
            <v>44337</v>
          </cell>
        </row>
        <row r="298">
          <cell r="E298" t="str">
            <v>34</v>
          </cell>
          <cell r="F298">
            <v>44306</v>
          </cell>
          <cell r="J298" t="str">
            <v>34</v>
          </cell>
          <cell r="K298">
            <v>44337</v>
          </cell>
        </row>
        <row r="299">
          <cell r="E299" t="str">
            <v>35</v>
          </cell>
          <cell r="F299">
            <v>44306</v>
          </cell>
          <cell r="J299" t="str">
            <v>35</v>
          </cell>
          <cell r="K299">
            <v>44337</v>
          </cell>
        </row>
        <row r="300">
          <cell r="E300" t="str">
            <v>36</v>
          </cell>
          <cell r="F300">
            <v>44307</v>
          </cell>
          <cell r="J300" t="str">
            <v>36</v>
          </cell>
          <cell r="K300">
            <v>44337</v>
          </cell>
        </row>
        <row r="301">
          <cell r="E301" t="str">
            <v>37</v>
          </cell>
          <cell r="F301">
            <v>44307</v>
          </cell>
          <cell r="J301" t="str">
            <v>37</v>
          </cell>
          <cell r="K301">
            <v>44337</v>
          </cell>
        </row>
        <row r="302">
          <cell r="E302" t="str">
            <v>38</v>
          </cell>
          <cell r="F302">
            <v>44307</v>
          </cell>
          <cell r="J302" t="str">
            <v>38</v>
          </cell>
          <cell r="K302">
            <v>44337</v>
          </cell>
        </row>
        <row r="303">
          <cell r="E303" t="str">
            <v>39</v>
          </cell>
          <cell r="F303">
            <v>44307</v>
          </cell>
          <cell r="J303" t="str">
            <v>39</v>
          </cell>
          <cell r="K303">
            <v>44337</v>
          </cell>
        </row>
        <row r="304">
          <cell r="E304" t="str">
            <v>40</v>
          </cell>
          <cell r="F304">
            <v>44307</v>
          </cell>
          <cell r="J304" t="str">
            <v>40</v>
          </cell>
          <cell r="K304">
            <v>44337</v>
          </cell>
        </row>
        <row r="305">
          <cell r="E305" t="str">
            <v>41</v>
          </cell>
          <cell r="F305">
            <v>44308</v>
          </cell>
          <cell r="J305" t="str">
            <v>41</v>
          </cell>
          <cell r="K305">
            <v>44340</v>
          </cell>
        </row>
        <row r="306">
          <cell r="E306" t="str">
            <v>42</v>
          </cell>
          <cell r="F306">
            <v>44308</v>
          </cell>
          <cell r="J306" t="str">
            <v>42</v>
          </cell>
          <cell r="K306">
            <v>44340</v>
          </cell>
        </row>
        <row r="307">
          <cell r="E307" t="str">
            <v>43</v>
          </cell>
          <cell r="F307">
            <v>44308</v>
          </cell>
          <cell r="J307" t="str">
            <v>43</v>
          </cell>
          <cell r="K307">
            <v>44340</v>
          </cell>
        </row>
        <row r="308">
          <cell r="E308" t="str">
            <v>44</v>
          </cell>
          <cell r="F308">
            <v>44308</v>
          </cell>
          <cell r="J308" t="str">
            <v>44</v>
          </cell>
          <cell r="K308">
            <v>44340</v>
          </cell>
        </row>
        <row r="309">
          <cell r="E309" t="str">
            <v>45</v>
          </cell>
          <cell r="F309">
            <v>44308</v>
          </cell>
          <cell r="J309" t="str">
            <v>45</v>
          </cell>
          <cell r="K309">
            <v>44340</v>
          </cell>
        </row>
        <row r="310">
          <cell r="E310" t="str">
            <v>46</v>
          </cell>
          <cell r="F310">
            <v>44309</v>
          </cell>
          <cell r="J310" t="str">
            <v>46</v>
          </cell>
          <cell r="K310">
            <v>44340</v>
          </cell>
        </row>
        <row r="311">
          <cell r="E311" t="str">
            <v>47</v>
          </cell>
          <cell r="F311">
            <v>44309</v>
          </cell>
          <cell r="J311" t="str">
            <v>47</v>
          </cell>
          <cell r="K311">
            <v>44340</v>
          </cell>
        </row>
        <row r="312">
          <cell r="E312" t="str">
            <v>48</v>
          </cell>
          <cell r="F312">
            <v>44309</v>
          </cell>
          <cell r="J312" t="str">
            <v>48</v>
          </cell>
          <cell r="K312">
            <v>44340</v>
          </cell>
        </row>
        <row r="313">
          <cell r="E313" t="str">
            <v>49</v>
          </cell>
          <cell r="F313">
            <v>44309</v>
          </cell>
          <cell r="J313" t="str">
            <v>49</v>
          </cell>
          <cell r="K313">
            <v>44340</v>
          </cell>
        </row>
        <row r="314">
          <cell r="E314" t="str">
            <v>50</v>
          </cell>
          <cell r="F314">
            <v>44309</v>
          </cell>
          <cell r="J314" t="str">
            <v>50</v>
          </cell>
          <cell r="K314">
            <v>44340</v>
          </cell>
        </row>
        <row r="315">
          <cell r="E315" t="str">
            <v>51</v>
          </cell>
          <cell r="F315">
            <v>44312</v>
          </cell>
          <cell r="J315" t="str">
            <v>51</v>
          </cell>
          <cell r="K315">
            <v>44341</v>
          </cell>
        </row>
        <row r="316">
          <cell r="E316" t="str">
            <v>52</v>
          </cell>
          <cell r="F316">
            <v>44312</v>
          </cell>
          <cell r="J316" t="str">
            <v>52</v>
          </cell>
          <cell r="K316">
            <v>44341</v>
          </cell>
        </row>
        <row r="317">
          <cell r="E317" t="str">
            <v>53</v>
          </cell>
          <cell r="F317">
            <v>44312</v>
          </cell>
          <cell r="J317" t="str">
            <v>53</v>
          </cell>
          <cell r="K317">
            <v>44341</v>
          </cell>
        </row>
        <row r="318">
          <cell r="E318" t="str">
            <v>54</v>
          </cell>
          <cell r="F318">
            <v>44312</v>
          </cell>
          <cell r="J318" t="str">
            <v>54</v>
          </cell>
          <cell r="K318">
            <v>44341</v>
          </cell>
        </row>
        <row r="319">
          <cell r="E319" t="str">
            <v>55</v>
          </cell>
          <cell r="F319">
            <v>44312</v>
          </cell>
          <cell r="J319" t="str">
            <v>55</v>
          </cell>
          <cell r="K319">
            <v>44341</v>
          </cell>
        </row>
        <row r="320">
          <cell r="E320" t="str">
            <v>56</v>
          </cell>
          <cell r="F320">
            <v>44313</v>
          </cell>
          <cell r="J320" t="str">
            <v>56</v>
          </cell>
          <cell r="K320">
            <v>44341</v>
          </cell>
        </row>
        <row r="321">
          <cell r="E321" t="str">
            <v>57</v>
          </cell>
          <cell r="F321">
            <v>44313</v>
          </cell>
          <cell r="J321" t="str">
            <v>57</v>
          </cell>
          <cell r="K321">
            <v>44341</v>
          </cell>
        </row>
        <row r="322">
          <cell r="E322" t="str">
            <v>58</v>
          </cell>
          <cell r="F322">
            <v>44313</v>
          </cell>
          <cell r="J322" t="str">
            <v>58</v>
          </cell>
          <cell r="K322">
            <v>44341</v>
          </cell>
        </row>
        <row r="323">
          <cell r="E323" t="str">
            <v>59</v>
          </cell>
          <cell r="F323">
            <v>44313</v>
          </cell>
          <cell r="J323" t="str">
            <v>59</v>
          </cell>
          <cell r="K323">
            <v>44341</v>
          </cell>
        </row>
        <row r="324">
          <cell r="E324" t="str">
            <v>60</v>
          </cell>
          <cell r="F324">
            <v>44313</v>
          </cell>
          <cell r="J324" t="str">
            <v>60</v>
          </cell>
          <cell r="K324">
            <v>44341</v>
          </cell>
        </row>
        <row r="325">
          <cell r="E325" t="str">
            <v>61</v>
          </cell>
          <cell r="F325">
            <v>44314</v>
          </cell>
          <cell r="J325" t="str">
            <v>61</v>
          </cell>
          <cell r="K325">
            <v>44342</v>
          </cell>
        </row>
        <row r="326">
          <cell r="E326" t="str">
            <v>62</v>
          </cell>
          <cell r="F326">
            <v>44314</v>
          </cell>
          <cell r="J326" t="str">
            <v>62</v>
          </cell>
          <cell r="K326">
            <v>44342</v>
          </cell>
        </row>
        <row r="327">
          <cell r="E327" t="str">
            <v>63</v>
          </cell>
          <cell r="F327">
            <v>44314</v>
          </cell>
          <cell r="J327" t="str">
            <v>63</v>
          </cell>
          <cell r="K327">
            <v>44342</v>
          </cell>
        </row>
        <row r="328">
          <cell r="E328" t="str">
            <v>64</v>
          </cell>
          <cell r="F328">
            <v>44314</v>
          </cell>
          <cell r="J328" t="str">
            <v>64</v>
          </cell>
          <cell r="K328">
            <v>44342</v>
          </cell>
        </row>
        <row r="329">
          <cell r="E329" t="str">
            <v>65</v>
          </cell>
          <cell r="F329">
            <v>44314</v>
          </cell>
          <cell r="J329" t="str">
            <v>65</v>
          </cell>
          <cell r="K329">
            <v>44342</v>
          </cell>
        </row>
        <row r="330">
          <cell r="E330" t="str">
            <v>66</v>
          </cell>
          <cell r="F330">
            <v>44315</v>
          </cell>
          <cell r="J330" t="str">
            <v>66</v>
          </cell>
          <cell r="K330">
            <v>44342</v>
          </cell>
        </row>
        <row r="331">
          <cell r="E331" t="str">
            <v>67</v>
          </cell>
          <cell r="F331">
            <v>44315</v>
          </cell>
          <cell r="J331" t="str">
            <v>67</v>
          </cell>
          <cell r="K331">
            <v>44342</v>
          </cell>
        </row>
        <row r="332">
          <cell r="E332" t="str">
            <v>68</v>
          </cell>
          <cell r="F332">
            <v>44315</v>
          </cell>
          <cell r="J332" t="str">
            <v>68</v>
          </cell>
          <cell r="K332">
            <v>44342</v>
          </cell>
        </row>
        <row r="333">
          <cell r="E333" t="str">
            <v>69</v>
          </cell>
          <cell r="F333">
            <v>44315</v>
          </cell>
          <cell r="J333" t="str">
            <v>69</v>
          </cell>
          <cell r="K333">
            <v>44342</v>
          </cell>
        </row>
        <row r="334">
          <cell r="E334" t="str">
            <v>70</v>
          </cell>
          <cell r="F334">
            <v>44315</v>
          </cell>
          <cell r="J334" t="str">
            <v>70</v>
          </cell>
          <cell r="K334">
            <v>44342</v>
          </cell>
        </row>
        <row r="335">
          <cell r="E335" t="str">
            <v>71</v>
          </cell>
          <cell r="F335">
            <v>44316</v>
          </cell>
          <cell r="J335" t="str">
            <v>71</v>
          </cell>
          <cell r="K335">
            <v>44343</v>
          </cell>
        </row>
        <row r="336">
          <cell r="E336" t="str">
            <v>72</v>
          </cell>
          <cell r="F336">
            <v>44316</v>
          </cell>
          <cell r="J336" t="str">
            <v>72</v>
          </cell>
          <cell r="K336">
            <v>44343</v>
          </cell>
        </row>
        <row r="337">
          <cell r="E337" t="str">
            <v>73</v>
          </cell>
          <cell r="F337">
            <v>44316</v>
          </cell>
          <cell r="J337" t="str">
            <v>73</v>
          </cell>
          <cell r="K337">
            <v>44343</v>
          </cell>
        </row>
        <row r="338">
          <cell r="E338" t="str">
            <v>74</v>
          </cell>
          <cell r="F338">
            <v>44316</v>
          </cell>
          <cell r="J338" t="str">
            <v>74</v>
          </cell>
          <cell r="K338">
            <v>44343</v>
          </cell>
        </row>
        <row r="339">
          <cell r="E339" t="str">
            <v>75</v>
          </cell>
          <cell r="F339">
            <v>44316</v>
          </cell>
          <cell r="J339" t="str">
            <v>75</v>
          </cell>
          <cell r="K339">
            <v>44343</v>
          </cell>
        </row>
        <row r="340">
          <cell r="E340" t="str">
            <v>76</v>
          </cell>
          <cell r="F340">
            <v>44319</v>
          </cell>
          <cell r="J340" t="str">
            <v>76</v>
          </cell>
          <cell r="K340">
            <v>44343</v>
          </cell>
        </row>
        <row r="341">
          <cell r="E341" t="str">
            <v>77</v>
          </cell>
          <cell r="F341">
            <v>44319</v>
          </cell>
          <cell r="J341" t="str">
            <v>77</v>
          </cell>
          <cell r="K341">
            <v>44343</v>
          </cell>
        </row>
        <row r="342">
          <cell r="E342" t="str">
            <v>78</v>
          </cell>
          <cell r="F342">
            <v>44319</v>
          </cell>
          <cell r="J342" t="str">
            <v>78</v>
          </cell>
          <cell r="K342">
            <v>44343</v>
          </cell>
        </row>
        <row r="343">
          <cell r="E343" t="str">
            <v>79</v>
          </cell>
          <cell r="F343">
            <v>44319</v>
          </cell>
          <cell r="J343" t="str">
            <v>79</v>
          </cell>
          <cell r="K343">
            <v>44343</v>
          </cell>
        </row>
        <row r="344">
          <cell r="E344" t="str">
            <v>80</v>
          </cell>
          <cell r="F344">
            <v>44319</v>
          </cell>
          <cell r="J344" t="str">
            <v>80</v>
          </cell>
          <cell r="K344">
            <v>44343</v>
          </cell>
        </row>
        <row r="345">
          <cell r="E345" t="str">
            <v>81</v>
          </cell>
          <cell r="F345">
            <v>44320</v>
          </cell>
          <cell r="J345" t="str">
            <v>81</v>
          </cell>
          <cell r="K345">
            <v>44344</v>
          </cell>
        </row>
        <row r="346">
          <cell r="E346" t="str">
            <v>82</v>
          </cell>
          <cell r="F346">
            <v>44320</v>
          </cell>
          <cell r="J346" t="str">
            <v>82</v>
          </cell>
          <cell r="K346">
            <v>44344</v>
          </cell>
        </row>
        <row r="347">
          <cell r="E347" t="str">
            <v>83</v>
          </cell>
          <cell r="F347">
            <v>44320</v>
          </cell>
          <cell r="J347" t="str">
            <v>83</v>
          </cell>
          <cell r="K347">
            <v>44344</v>
          </cell>
        </row>
        <row r="348">
          <cell r="E348" t="str">
            <v>84</v>
          </cell>
          <cell r="F348">
            <v>44320</v>
          </cell>
          <cell r="J348" t="str">
            <v>84</v>
          </cell>
          <cell r="K348">
            <v>44344</v>
          </cell>
        </row>
        <row r="349">
          <cell r="E349" t="str">
            <v>85</v>
          </cell>
          <cell r="F349">
            <v>44320</v>
          </cell>
          <cell r="J349" t="str">
            <v>85</v>
          </cell>
          <cell r="K349">
            <v>44344</v>
          </cell>
        </row>
        <row r="350">
          <cell r="E350" t="str">
            <v>86</v>
          </cell>
          <cell r="F350">
            <v>44321</v>
          </cell>
          <cell r="J350" t="str">
            <v>86</v>
          </cell>
          <cell r="K350">
            <v>44344</v>
          </cell>
        </row>
        <row r="351">
          <cell r="E351" t="str">
            <v>87</v>
          </cell>
          <cell r="F351">
            <v>44321</v>
          </cell>
          <cell r="J351" t="str">
            <v>87</v>
          </cell>
          <cell r="K351">
            <v>44344</v>
          </cell>
        </row>
        <row r="352">
          <cell r="E352" t="str">
            <v>88</v>
          </cell>
          <cell r="F352">
            <v>44321</v>
          </cell>
          <cell r="J352" t="str">
            <v>88</v>
          </cell>
          <cell r="K352">
            <v>44344</v>
          </cell>
        </row>
        <row r="353">
          <cell r="E353" t="str">
            <v>89</v>
          </cell>
          <cell r="F353">
            <v>44321</v>
          </cell>
          <cell r="J353" t="str">
            <v>89</v>
          </cell>
          <cell r="K353">
            <v>44344</v>
          </cell>
        </row>
        <row r="354">
          <cell r="E354" t="str">
            <v>90</v>
          </cell>
          <cell r="F354">
            <v>44321</v>
          </cell>
          <cell r="J354" t="str">
            <v>90</v>
          </cell>
          <cell r="K354">
            <v>44344</v>
          </cell>
        </row>
        <row r="355">
          <cell r="E355" t="str">
            <v>91</v>
          </cell>
          <cell r="F355">
            <v>44322</v>
          </cell>
          <cell r="J355" t="str">
            <v>91</v>
          </cell>
          <cell r="K355">
            <v>44347</v>
          </cell>
        </row>
        <row r="356">
          <cell r="E356" t="str">
            <v>92</v>
          </cell>
          <cell r="F356">
            <v>44322</v>
          </cell>
          <cell r="J356" t="str">
            <v>92</v>
          </cell>
          <cell r="K356">
            <v>44347</v>
          </cell>
        </row>
        <row r="357">
          <cell r="E357" t="str">
            <v>93</v>
          </cell>
          <cell r="F357">
            <v>44322</v>
          </cell>
          <cell r="J357" t="str">
            <v>93</v>
          </cell>
          <cell r="K357">
            <v>44347</v>
          </cell>
        </row>
        <row r="358">
          <cell r="E358" t="str">
            <v>94</v>
          </cell>
          <cell r="F358">
            <v>44322</v>
          </cell>
          <cell r="J358" t="str">
            <v>94</v>
          </cell>
          <cell r="K358">
            <v>44347</v>
          </cell>
        </row>
        <row r="359">
          <cell r="E359" t="str">
            <v>95</v>
          </cell>
          <cell r="F359">
            <v>44322</v>
          </cell>
          <cell r="J359" t="str">
            <v>95</v>
          </cell>
          <cell r="K359">
            <v>44347</v>
          </cell>
        </row>
        <row r="360">
          <cell r="E360" t="str">
            <v>96</v>
          </cell>
          <cell r="F360">
            <v>44323</v>
          </cell>
          <cell r="J360" t="str">
            <v>96</v>
          </cell>
          <cell r="K360">
            <v>44347</v>
          </cell>
        </row>
        <row r="361">
          <cell r="E361" t="str">
            <v>97</v>
          </cell>
          <cell r="F361">
            <v>44323</v>
          </cell>
          <cell r="J361" t="str">
            <v>97</v>
          </cell>
          <cell r="K361">
            <v>44347</v>
          </cell>
        </row>
        <row r="362">
          <cell r="E362" t="str">
            <v>98</v>
          </cell>
          <cell r="F362">
            <v>44323</v>
          </cell>
          <cell r="J362" t="str">
            <v>98</v>
          </cell>
          <cell r="K362">
            <v>44347</v>
          </cell>
        </row>
        <row r="363">
          <cell r="E363" t="str">
            <v>99</v>
          </cell>
          <cell r="F363">
            <v>44323</v>
          </cell>
          <cell r="J363" t="str">
            <v>99</v>
          </cell>
          <cell r="K363">
            <v>44347</v>
          </cell>
        </row>
        <row r="364">
          <cell r="E364" t="str">
            <v>00</v>
          </cell>
          <cell r="F364">
            <v>44323</v>
          </cell>
          <cell r="J364" t="str">
            <v>00</v>
          </cell>
          <cell r="K364">
            <v>44347</v>
          </cell>
        </row>
        <row r="368">
          <cell r="E368" t="str">
            <v>01</v>
          </cell>
          <cell r="F368">
            <v>44351</v>
          </cell>
          <cell r="J368" t="str">
            <v>01</v>
          </cell>
          <cell r="K368">
            <v>44368</v>
          </cell>
        </row>
        <row r="369">
          <cell r="E369" t="str">
            <v>02</v>
          </cell>
          <cell r="F369">
            <v>44351</v>
          </cell>
          <cell r="J369" t="str">
            <v>02</v>
          </cell>
          <cell r="K369">
            <v>44368</v>
          </cell>
        </row>
        <row r="370">
          <cell r="E370" t="str">
            <v>03</v>
          </cell>
          <cell r="F370">
            <v>44351</v>
          </cell>
          <cell r="J370" t="str">
            <v>03</v>
          </cell>
          <cell r="K370">
            <v>44368</v>
          </cell>
        </row>
        <row r="371">
          <cell r="E371" t="str">
            <v>04</v>
          </cell>
          <cell r="F371">
            <v>44351</v>
          </cell>
          <cell r="J371" t="str">
            <v>04</v>
          </cell>
          <cell r="K371">
            <v>44368</v>
          </cell>
        </row>
        <row r="372">
          <cell r="E372" t="str">
            <v>05</v>
          </cell>
          <cell r="F372">
            <v>44351</v>
          </cell>
          <cell r="J372" t="str">
            <v>05</v>
          </cell>
          <cell r="K372">
            <v>44368</v>
          </cell>
        </row>
        <row r="373">
          <cell r="E373" t="str">
            <v>06</v>
          </cell>
          <cell r="F373">
            <v>44351</v>
          </cell>
          <cell r="J373" t="str">
            <v>06</v>
          </cell>
          <cell r="K373">
            <v>44368</v>
          </cell>
        </row>
        <row r="374">
          <cell r="E374" t="str">
            <v>07</v>
          </cell>
          <cell r="F374">
            <v>44351</v>
          </cell>
          <cell r="J374" t="str">
            <v>07</v>
          </cell>
          <cell r="K374">
            <v>44368</v>
          </cell>
        </row>
        <row r="375">
          <cell r="E375" t="str">
            <v>08</v>
          </cell>
          <cell r="F375">
            <v>44351</v>
          </cell>
          <cell r="J375" t="str">
            <v>08</v>
          </cell>
          <cell r="K375">
            <v>44368</v>
          </cell>
        </row>
        <row r="376">
          <cell r="E376" t="str">
            <v>09</v>
          </cell>
          <cell r="F376">
            <v>44351</v>
          </cell>
          <cell r="J376" t="str">
            <v>09</v>
          </cell>
          <cell r="K376">
            <v>44368</v>
          </cell>
        </row>
        <row r="377">
          <cell r="E377" t="str">
            <v>10</v>
          </cell>
          <cell r="F377">
            <v>44351</v>
          </cell>
          <cell r="J377" t="str">
            <v>10</v>
          </cell>
          <cell r="K377">
            <v>44368</v>
          </cell>
        </row>
        <row r="378">
          <cell r="E378" t="str">
            <v>11</v>
          </cell>
          <cell r="F378">
            <v>44351</v>
          </cell>
          <cell r="J378" t="str">
            <v>11</v>
          </cell>
          <cell r="K378">
            <v>44368</v>
          </cell>
        </row>
        <row r="379">
          <cell r="E379" t="str">
            <v>12</v>
          </cell>
          <cell r="F379">
            <v>44351</v>
          </cell>
          <cell r="J379" t="str">
            <v>12</v>
          </cell>
          <cell r="K379">
            <v>44368</v>
          </cell>
        </row>
        <row r="380">
          <cell r="E380" t="str">
            <v>13</v>
          </cell>
          <cell r="F380">
            <v>44351</v>
          </cell>
          <cell r="J380" t="str">
            <v>13</v>
          </cell>
          <cell r="K380">
            <v>44368</v>
          </cell>
        </row>
        <row r="381">
          <cell r="E381" t="str">
            <v>14</v>
          </cell>
          <cell r="F381">
            <v>44351</v>
          </cell>
          <cell r="J381" t="str">
            <v>14</v>
          </cell>
          <cell r="K381">
            <v>44368</v>
          </cell>
        </row>
        <row r="382">
          <cell r="E382" t="str">
            <v>15</v>
          </cell>
          <cell r="F382">
            <v>44351</v>
          </cell>
          <cell r="J382" t="str">
            <v>15</v>
          </cell>
          <cell r="K382">
            <v>44368</v>
          </cell>
        </row>
        <row r="383">
          <cell r="E383" t="str">
            <v>16</v>
          </cell>
          <cell r="F383">
            <v>44351</v>
          </cell>
          <cell r="J383" t="str">
            <v>16</v>
          </cell>
          <cell r="K383">
            <v>44368</v>
          </cell>
        </row>
        <row r="384">
          <cell r="E384" t="str">
            <v>17</v>
          </cell>
          <cell r="F384">
            <v>44351</v>
          </cell>
          <cell r="J384" t="str">
            <v>17</v>
          </cell>
          <cell r="K384">
            <v>44368</v>
          </cell>
        </row>
        <row r="385">
          <cell r="E385" t="str">
            <v>18</v>
          </cell>
          <cell r="F385">
            <v>44351</v>
          </cell>
          <cell r="J385" t="str">
            <v>18</v>
          </cell>
          <cell r="K385">
            <v>44368</v>
          </cell>
        </row>
        <row r="386">
          <cell r="E386" t="str">
            <v>19</v>
          </cell>
          <cell r="F386">
            <v>44351</v>
          </cell>
          <cell r="J386" t="str">
            <v>19</v>
          </cell>
          <cell r="K386">
            <v>44368</v>
          </cell>
        </row>
        <row r="387">
          <cell r="E387" t="str">
            <v>20</v>
          </cell>
          <cell r="F387">
            <v>44351</v>
          </cell>
          <cell r="J387" t="str">
            <v>20</v>
          </cell>
          <cell r="K387">
            <v>44368</v>
          </cell>
        </row>
        <row r="388">
          <cell r="E388" t="str">
            <v>21</v>
          </cell>
          <cell r="F388">
            <v>44355</v>
          </cell>
          <cell r="J388" t="str">
            <v>21</v>
          </cell>
          <cell r="K388">
            <v>44369</v>
          </cell>
        </row>
        <row r="389">
          <cell r="E389" t="str">
            <v>22</v>
          </cell>
          <cell r="F389">
            <v>44355</v>
          </cell>
          <cell r="J389" t="str">
            <v>22</v>
          </cell>
          <cell r="K389">
            <v>44369</v>
          </cell>
        </row>
        <row r="390">
          <cell r="E390" t="str">
            <v>23</v>
          </cell>
          <cell r="F390">
            <v>44355</v>
          </cell>
          <cell r="J390" t="str">
            <v>23</v>
          </cell>
          <cell r="K390">
            <v>44369</v>
          </cell>
        </row>
        <row r="391">
          <cell r="E391" t="str">
            <v>24</v>
          </cell>
          <cell r="F391">
            <v>44355</v>
          </cell>
          <cell r="J391" t="str">
            <v>24</v>
          </cell>
          <cell r="K391">
            <v>44369</v>
          </cell>
        </row>
        <row r="392">
          <cell r="E392" t="str">
            <v>25</v>
          </cell>
          <cell r="F392">
            <v>44355</v>
          </cell>
          <cell r="J392" t="str">
            <v>25</v>
          </cell>
          <cell r="K392">
            <v>44369</v>
          </cell>
        </row>
        <row r="393">
          <cell r="E393" t="str">
            <v>26</v>
          </cell>
          <cell r="F393">
            <v>44355</v>
          </cell>
          <cell r="J393" t="str">
            <v>26</v>
          </cell>
          <cell r="K393">
            <v>44369</v>
          </cell>
        </row>
        <row r="394">
          <cell r="E394" t="str">
            <v>27</v>
          </cell>
          <cell r="F394">
            <v>44355</v>
          </cell>
          <cell r="J394" t="str">
            <v>27</v>
          </cell>
          <cell r="K394">
            <v>44369</v>
          </cell>
        </row>
        <row r="395">
          <cell r="E395" t="str">
            <v>28</v>
          </cell>
          <cell r="F395">
            <v>44355</v>
          </cell>
          <cell r="J395" t="str">
            <v>28</v>
          </cell>
          <cell r="K395">
            <v>44369</v>
          </cell>
        </row>
        <row r="396">
          <cell r="E396" t="str">
            <v>29</v>
          </cell>
          <cell r="F396">
            <v>44355</v>
          </cell>
          <cell r="J396" t="str">
            <v>29</v>
          </cell>
          <cell r="K396">
            <v>44369</v>
          </cell>
        </row>
        <row r="397">
          <cell r="E397" t="str">
            <v>30</v>
          </cell>
          <cell r="F397">
            <v>44355</v>
          </cell>
          <cell r="J397" t="str">
            <v>30</v>
          </cell>
          <cell r="K397">
            <v>44369</v>
          </cell>
        </row>
        <row r="398">
          <cell r="E398" t="str">
            <v>31</v>
          </cell>
          <cell r="F398">
            <v>44355</v>
          </cell>
          <cell r="J398" t="str">
            <v>31</v>
          </cell>
          <cell r="K398">
            <v>44369</v>
          </cell>
        </row>
        <row r="399">
          <cell r="E399" t="str">
            <v>32</v>
          </cell>
          <cell r="F399">
            <v>44355</v>
          </cell>
          <cell r="J399" t="str">
            <v>32</v>
          </cell>
          <cell r="K399">
            <v>44369</v>
          </cell>
        </row>
        <row r="400">
          <cell r="E400" t="str">
            <v>33</v>
          </cell>
          <cell r="F400">
            <v>44355</v>
          </cell>
          <cell r="J400" t="str">
            <v>33</v>
          </cell>
          <cell r="K400">
            <v>44369</v>
          </cell>
        </row>
        <row r="401">
          <cell r="E401" t="str">
            <v>34</v>
          </cell>
          <cell r="F401">
            <v>44355</v>
          </cell>
          <cell r="J401" t="str">
            <v>34</v>
          </cell>
          <cell r="K401">
            <v>44369</v>
          </cell>
        </row>
        <row r="402">
          <cell r="E402" t="str">
            <v>35</v>
          </cell>
          <cell r="F402">
            <v>44355</v>
          </cell>
          <cell r="J402" t="str">
            <v>35</v>
          </cell>
          <cell r="K402">
            <v>44369</v>
          </cell>
        </row>
        <row r="403">
          <cell r="E403" t="str">
            <v>36</v>
          </cell>
          <cell r="F403">
            <v>44355</v>
          </cell>
          <cell r="J403" t="str">
            <v>36</v>
          </cell>
          <cell r="K403">
            <v>44369</v>
          </cell>
        </row>
        <row r="404">
          <cell r="E404" t="str">
            <v>37</v>
          </cell>
          <cell r="F404">
            <v>44355</v>
          </cell>
          <cell r="J404" t="str">
            <v>37</v>
          </cell>
          <cell r="K404">
            <v>44369</v>
          </cell>
        </row>
        <row r="405">
          <cell r="E405" t="str">
            <v>38</v>
          </cell>
          <cell r="F405">
            <v>44355</v>
          </cell>
          <cell r="J405" t="str">
            <v>38</v>
          </cell>
          <cell r="K405">
            <v>44369</v>
          </cell>
        </row>
        <row r="406">
          <cell r="E406" t="str">
            <v>39</v>
          </cell>
          <cell r="F406">
            <v>44355</v>
          </cell>
          <cell r="J406" t="str">
            <v>39</v>
          </cell>
          <cell r="K406">
            <v>44369</v>
          </cell>
        </row>
        <row r="407">
          <cell r="E407" t="str">
            <v>40</v>
          </cell>
          <cell r="F407">
            <v>44355</v>
          </cell>
          <cell r="J407" t="str">
            <v>40</v>
          </cell>
          <cell r="K407">
            <v>44369</v>
          </cell>
        </row>
        <row r="408">
          <cell r="E408" t="str">
            <v>41</v>
          </cell>
          <cell r="F408">
            <v>44356</v>
          </cell>
          <cell r="J408" t="str">
            <v>41</v>
          </cell>
          <cell r="K408">
            <v>44370</v>
          </cell>
        </row>
        <row r="409">
          <cell r="E409" t="str">
            <v>42</v>
          </cell>
          <cell r="F409">
            <v>44356</v>
          </cell>
          <cell r="J409" t="str">
            <v>42</v>
          </cell>
          <cell r="K409">
            <v>44370</v>
          </cell>
        </row>
        <row r="410">
          <cell r="E410" t="str">
            <v>43</v>
          </cell>
          <cell r="F410">
            <v>44356</v>
          </cell>
          <cell r="J410" t="str">
            <v>43</v>
          </cell>
          <cell r="K410">
            <v>44370</v>
          </cell>
        </row>
        <row r="411">
          <cell r="E411" t="str">
            <v>44</v>
          </cell>
          <cell r="F411">
            <v>44356</v>
          </cell>
          <cell r="J411" t="str">
            <v>44</v>
          </cell>
          <cell r="K411">
            <v>44370</v>
          </cell>
        </row>
        <row r="412">
          <cell r="E412" t="str">
            <v>45</v>
          </cell>
          <cell r="F412">
            <v>44356</v>
          </cell>
          <cell r="J412" t="str">
            <v>45</v>
          </cell>
          <cell r="K412">
            <v>44370</v>
          </cell>
        </row>
        <row r="413">
          <cell r="E413" t="str">
            <v>46</v>
          </cell>
          <cell r="F413">
            <v>44356</v>
          </cell>
          <cell r="J413" t="str">
            <v>46</v>
          </cell>
          <cell r="K413">
            <v>44370</v>
          </cell>
        </row>
        <row r="414">
          <cell r="E414" t="str">
            <v>47</v>
          </cell>
          <cell r="F414">
            <v>44356</v>
          </cell>
          <cell r="J414" t="str">
            <v>47</v>
          </cell>
          <cell r="K414">
            <v>44370</v>
          </cell>
        </row>
        <row r="415">
          <cell r="E415" t="str">
            <v>48</v>
          </cell>
          <cell r="F415">
            <v>44356</v>
          </cell>
          <cell r="J415" t="str">
            <v>48</v>
          </cell>
          <cell r="K415">
            <v>44370</v>
          </cell>
        </row>
        <row r="416">
          <cell r="E416" t="str">
            <v>49</v>
          </cell>
          <cell r="F416">
            <v>44356</v>
          </cell>
          <cell r="J416" t="str">
            <v>49</v>
          </cell>
          <cell r="K416">
            <v>44370</v>
          </cell>
        </row>
        <row r="417">
          <cell r="E417" t="str">
            <v>50</v>
          </cell>
          <cell r="F417">
            <v>44356</v>
          </cell>
          <cell r="J417" t="str">
            <v>50</v>
          </cell>
          <cell r="K417">
            <v>44370</v>
          </cell>
        </row>
        <row r="418">
          <cell r="E418" t="str">
            <v>51</v>
          </cell>
          <cell r="F418">
            <v>44356</v>
          </cell>
          <cell r="J418" t="str">
            <v>51</v>
          </cell>
          <cell r="K418">
            <v>44370</v>
          </cell>
        </row>
        <row r="419">
          <cell r="E419" t="str">
            <v>52</v>
          </cell>
          <cell r="F419">
            <v>44356</v>
          </cell>
          <cell r="J419" t="str">
            <v>52</v>
          </cell>
          <cell r="K419">
            <v>44370</v>
          </cell>
        </row>
        <row r="420">
          <cell r="E420" t="str">
            <v>53</v>
          </cell>
          <cell r="F420">
            <v>44356</v>
          </cell>
          <cell r="J420" t="str">
            <v>53</v>
          </cell>
          <cell r="K420">
            <v>44370</v>
          </cell>
        </row>
        <row r="421">
          <cell r="E421" t="str">
            <v>54</v>
          </cell>
          <cell r="F421">
            <v>44356</v>
          </cell>
          <cell r="J421" t="str">
            <v>54</v>
          </cell>
          <cell r="K421">
            <v>44370</v>
          </cell>
        </row>
        <row r="422">
          <cell r="E422" t="str">
            <v>55</v>
          </cell>
          <cell r="F422">
            <v>44356</v>
          </cell>
          <cell r="J422" t="str">
            <v>55</v>
          </cell>
          <cell r="K422">
            <v>44370</v>
          </cell>
        </row>
        <row r="423">
          <cell r="E423" t="str">
            <v>56</v>
          </cell>
          <cell r="F423">
            <v>44356</v>
          </cell>
          <cell r="J423" t="str">
            <v>56</v>
          </cell>
          <cell r="K423">
            <v>44370</v>
          </cell>
        </row>
        <row r="424">
          <cell r="E424" t="str">
            <v>57</v>
          </cell>
          <cell r="F424">
            <v>44356</v>
          </cell>
          <cell r="J424" t="str">
            <v>57</v>
          </cell>
          <cell r="K424">
            <v>44370</v>
          </cell>
        </row>
        <row r="425">
          <cell r="E425" t="str">
            <v>58</v>
          </cell>
          <cell r="F425">
            <v>44356</v>
          </cell>
          <cell r="J425" t="str">
            <v>58</v>
          </cell>
          <cell r="K425">
            <v>44370</v>
          </cell>
        </row>
        <row r="426">
          <cell r="E426" t="str">
            <v>59</v>
          </cell>
          <cell r="F426">
            <v>44356</v>
          </cell>
          <cell r="J426" t="str">
            <v>59</v>
          </cell>
          <cell r="K426">
            <v>44370</v>
          </cell>
        </row>
        <row r="427">
          <cell r="E427" t="str">
            <v>60</v>
          </cell>
          <cell r="F427">
            <v>44356</v>
          </cell>
          <cell r="J427" t="str">
            <v>60</v>
          </cell>
          <cell r="K427">
            <v>44370</v>
          </cell>
        </row>
        <row r="428">
          <cell r="E428" t="str">
            <v>61</v>
          </cell>
          <cell r="F428">
            <v>44357</v>
          </cell>
          <cell r="J428" t="str">
            <v>61</v>
          </cell>
          <cell r="K428">
            <v>44371</v>
          </cell>
        </row>
        <row r="429">
          <cell r="E429" t="str">
            <v>62</v>
          </cell>
          <cell r="F429">
            <v>44357</v>
          </cell>
          <cell r="J429" t="str">
            <v>62</v>
          </cell>
          <cell r="K429">
            <v>44371</v>
          </cell>
        </row>
        <row r="430">
          <cell r="E430" t="str">
            <v>63</v>
          </cell>
          <cell r="F430">
            <v>44357</v>
          </cell>
          <cell r="J430" t="str">
            <v>63</v>
          </cell>
          <cell r="K430">
            <v>44371</v>
          </cell>
        </row>
        <row r="431">
          <cell r="E431" t="str">
            <v>64</v>
          </cell>
          <cell r="F431">
            <v>44357</v>
          </cell>
          <cell r="J431" t="str">
            <v>64</v>
          </cell>
          <cell r="K431">
            <v>44371</v>
          </cell>
        </row>
        <row r="432">
          <cell r="E432" t="str">
            <v>65</v>
          </cell>
          <cell r="F432">
            <v>44357</v>
          </cell>
          <cell r="J432" t="str">
            <v>65</v>
          </cell>
          <cell r="K432">
            <v>44371</v>
          </cell>
        </row>
        <row r="433">
          <cell r="E433" t="str">
            <v>66</v>
          </cell>
          <cell r="F433">
            <v>44357</v>
          </cell>
          <cell r="J433" t="str">
            <v>66</v>
          </cell>
          <cell r="K433">
            <v>44371</v>
          </cell>
        </row>
        <row r="434">
          <cell r="E434" t="str">
            <v>67</v>
          </cell>
          <cell r="F434">
            <v>44357</v>
          </cell>
          <cell r="J434" t="str">
            <v>67</v>
          </cell>
          <cell r="K434">
            <v>44371</v>
          </cell>
        </row>
        <row r="435">
          <cell r="E435" t="str">
            <v>68</v>
          </cell>
          <cell r="F435">
            <v>44357</v>
          </cell>
          <cell r="J435" t="str">
            <v>68</v>
          </cell>
          <cell r="K435">
            <v>44371</v>
          </cell>
        </row>
        <row r="436">
          <cell r="E436" t="str">
            <v>69</v>
          </cell>
          <cell r="F436">
            <v>44357</v>
          </cell>
          <cell r="J436" t="str">
            <v>69</v>
          </cell>
          <cell r="K436">
            <v>44371</v>
          </cell>
        </row>
        <row r="437">
          <cell r="E437" t="str">
            <v>70</v>
          </cell>
          <cell r="F437">
            <v>44357</v>
          </cell>
          <cell r="J437" t="str">
            <v>70</v>
          </cell>
          <cell r="K437">
            <v>44371</v>
          </cell>
        </row>
        <row r="438">
          <cell r="E438" t="str">
            <v>71</v>
          </cell>
          <cell r="F438">
            <v>44357</v>
          </cell>
          <cell r="J438" t="str">
            <v>71</v>
          </cell>
          <cell r="K438">
            <v>44371</v>
          </cell>
        </row>
        <row r="439">
          <cell r="E439" t="str">
            <v>72</v>
          </cell>
          <cell r="F439">
            <v>44357</v>
          </cell>
          <cell r="J439" t="str">
            <v>72</v>
          </cell>
          <cell r="K439">
            <v>44371</v>
          </cell>
        </row>
        <row r="440">
          <cell r="E440" t="str">
            <v>73</v>
          </cell>
          <cell r="F440">
            <v>44357</v>
          </cell>
          <cell r="J440" t="str">
            <v>73</v>
          </cell>
          <cell r="K440">
            <v>44371</v>
          </cell>
        </row>
        <row r="441">
          <cell r="E441" t="str">
            <v>74</v>
          </cell>
          <cell r="F441">
            <v>44357</v>
          </cell>
          <cell r="J441" t="str">
            <v>74</v>
          </cell>
          <cell r="K441">
            <v>44371</v>
          </cell>
        </row>
        <row r="442">
          <cell r="E442" t="str">
            <v>75</v>
          </cell>
          <cell r="F442">
            <v>44357</v>
          </cell>
          <cell r="J442" t="str">
            <v>75</v>
          </cell>
          <cell r="K442">
            <v>44371</v>
          </cell>
        </row>
        <row r="443">
          <cell r="E443" t="str">
            <v>76</v>
          </cell>
          <cell r="F443">
            <v>44357</v>
          </cell>
          <cell r="J443" t="str">
            <v>76</v>
          </cell>
          <cell r="K443">
            <v>44371</v>
          </cell>
        </row>
        <row r="444">
          <cell r="E444" t="str">
            <v>77</v>
          </cell>
          <cell r="F444">
            <v>44357</v>
          </cell>
          <cell r="J444" t="str">
            <v>77</v>
          </cell>
          <cell r="K444">
            <v>44371</v>
          </cell>
        </row>
        <row r="445">
          <cell r="E445" t="str">
            <v>78</v>
          </cell>
          <cell r="F445">
            <v>44357</v>
          </cell>
          <cell r="J445" t="str">
            <v>78</v>
          </cell>
          <cell r="K445">
            <v>44371</v>
          </cell>
        </row>
        <row r="446">
          <cell r="E446" t="str">
            <v>79</v>
          </cell>
          <cell r="F446">
            <v>44357</v>
          </cell>
          <cell r="J446" t="str">
            <v>79</v>
          </cell>
          <cell r="K446">
            <v>44371</v>
          </cell>
        </row>
        <row r="447">
          <cell r="E447" t="str">
            <v>80</v>
          </cell>
          <cell r="F447">
            <v>44357</v>
          </cell>
          <cell r="J447" t="str">
            <v>80</v>
          </cell>
          <cell r="K447">
            <v>44371</v>
          </cell>
        </row>
        <row r="448">
          <cell r="E448" t="str">
            <v>81</v>
          </cell>
          <cell r="F448">
            <v>44358</v>
          </cell>
          <cell r="J448" t="str">
            <v>81</v>
          </cell>
          <cell r="K448">
            <v>44372</v>
          </cell>
        </row>
        <row r="449">
          <cell r="E449" t="str">
            <v>82</v>
          </cell>
          <cell r="F449">
            <v>44358</v>
          </cell>
          <cell r="J449" t="str">
            <v>82</v>
          </cell>
          <cell r="K449">
            <v>44372</v>
          </cell>
        </row>
        <row r="450">
          <cell r="E450" t="str">
            <v>83</v>
          </cell>
          <cell r="F450">
            <v>44358</v>
          </cell>
          <cell r="J450" t="str">
            <v>83</v>
          </cell>
          <cell r="K450">
            <v>44372</v>
          </cell>
        </row>
        <row r="451">
          <cell r="E451" t="str">
            <v>84</v>
          </cell>
          <cell r="F451">
            <v>44358</v>
          </cell>
          <cell r="J451" t="str">
            <v>84</v>
          </cell>
          <cell r="K451">
            <v>44372</v>
          </cell>
        </row>
        <row r="452">
          <cell r="E452" t="str">
            <v>85</v>
          </cell>
          <cell r="F452">
            <v>44358</v>
          </cell>
          <cell r="J452" t="str">
            <v>85</v>
          </cell>
          <cell r="K452">
            <v>44372</v>
          </cell>
        </row>
        <row r="453">
          <cell r="E453" t="str">
            <v>86</v>
          </cell>
          <cell r="F453">
            <v>44358</v>
          </cell>
          <cell r="J453" t="str">
            <v>86</v>
          </cell>
          <cell r="K453">
            <v>44372</v>
          </cell>
        </row>
        <row r="454">
          <cell r="E454" t="str">
            <v>87</v>
          </cell>
          <cell r="F454">
            <v>44358</v>
          </cell>
          <cell r="J454" t="str">
            <v>87</v>
          </cell>
          <cell r="K454">
            <v>44372</v>
          </cell>
        </row>
        <row r="455">
          <cell r="E455" t="str">
            <v>88</v>
          </cell>
          <cell r="F455">
            <v>44358</v>
          </cell>
          <cell r="J455" t="str">
            <v>88</v>
          </cell>
          <cell r="K455">
            <v>44372</v>
          </cell>
        </row>
        <row r="456">
          <cell r="E456" t="str">
            <v>89</v>
          </cell>
          <cell r="F456">
            <v>44358</v>
          </cell>
          <cell r="J456" t="str">
            <v>89</v>
          </cell>
          <cell r="K456">
            <v>44372</v>
          </cell>
        </row>
        <row r="457">
          <cell r="E457" t="str">
            <v>90</v>
          </cell>
          <cell r="F457">
            <v>44358</v>
          </cell>
          <cell r="J457" t="str">
            <v>90</v>
          </cell>
          <cell r="K457">
            <v>44372</v>
          </cell>
        </row>
        <row r="458">
          <cell r="E458" t="str">
            <v>91</v>
          </cell>
          <cell r="F458">
            <v>44358</v>
          </cell>
          <cell r="J458" t="str">
            <v>91</v>
          </cell>
          <cell r="K458">
            <v>44372</v>
          </cell>
        </row>
        <row r="459">
          <cell r="E459" t="str">
            <v>92</v>
          </cell>
          <cell r="F459">
            <v>44358</v>
          </cell>
          <cell r="J459" t="str">
            <v>92</v>
          </cell>
          <cell r="K459">
            <v>44372</v>
          </cell>
        </row>
        <row r="460">
          <cell r="E460" t="str">
            <v>93</v>
          </cell>
          <cell r="F460">
            <v>44358</v>
          </cell>
          <cell r="J460" t="str">
            <v>93</v>
          </cell>
          <cell r="K460">
            <v>44372</v>
          </cell>
        </row>
        <row r="461">
          <cell r="E461" t="str">
            <v>94</v>
          </cell>
          <cell r="F461">
            <v>44358</v>
          </cell>
          <cell r="J461" t="str">
            <v>94</v>
          </cell>
          <cell r="K461">
            <v>44372</v>
          </cell>
        </row>
        <row r="462">
          <cell r="E462" t="str">
            <v>95</v>
          </cell>
          <cell r="F462">
            <v>44358</v>
          </cell>
          <cell r="J462" t="str">
            <v>95</v>
          </cell>
          <cell r="K462">
            <v>44372</v>
          </cell>
        </row>
        <row r="463">
          <cell r="E463" t="str">
            <v>96</v>
          </cell>
          <cell r="F463">
            <v>44358</v>
          </cell>
          <cell r="J463" t="str">
            <v>96</v>
          </cell>
          <cell r="K463">
            <v>44372</v>
          </cell>
        </row>
        <row r="464">
          <cell r="E464" t="str">
            <v>97</v>
          </cell>
          <cell r="F464">
            <v>44358</v>
          </cell>
          <cell r="J464" t="str">
            <v>97</v>
          </cell>
          <cell r="K464">
            <v>44372</v>
          </cell>
        </row>
        <row r="465">
          <cell r="E465" t="str">
            <v>98</v>
          </cell>
          <cell r="F465">
            <v>44358</v>
          </cell>
          <cell r="J465" t="str">
            <v>98</v>
          </cell>
          <cell r="K465">
            <v>44372</v>
          </cell>
        </row>
        <row r="466">
          <cell r="E466" t="str">
            <v>99</v>
          </cell>
          <cell r="F466">
            <v>44358</v>
          </cell>
          <cell r="J466" t="str">
            <v>99</v>
          </cell>
          <cell r="K466">
            <v>44372</v>
          </cell>
        </row>
        <row r="467">
          <cell r="E467" t="str">
            <v>00</v>
          </cell>
          <cell r="F467">
            <v>44358</v>
          </cell>
          <cell r="J467" t="str">
            <v>00</v>
          </cell>
          <cell r="K467">
            <v>44372</v>
          </cell>
        </row>
      </sheetData>
      <sheetData sheetId="6" refreshError="1"/>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Datos"/>
      <sheetName val="Inicio"/>
      <sheetName val="Indicadores"/>
      <sheetName val="PUC_Comerciantes_Gral."/>
      <sheetName val="BP_Año_2"/>
      <sheetName val="BP_Año_1"/>
      <sheetName val="BCE_GRAL"/>
      <sheetName val="PYG"/>
      <sheetName val="Variaciones"/>
      <sheetName val="Capital_Trabajo"/>
      <sheetName val="Flujo_Efectivo"/>
      <sheetName val="Cambios_Patrimonio"/>
      <sheetName val="Conciliacion_Patrimonio"/>
      <sheetName val="Notas_Estados_Financieros"/>
      <sheetName val="Certificacion"/>
      <sheetName val="Inf_ContableFinanciero"/>
      <sheetName val="PUC_NIIF"/>
      <sheetName val="BP_Diciembre"/>
      <sheetName val="Notas"/>
      <sheetName val="Presupuesto_Base"/>
      <sheetName val="PPTO_Proyect"/>
      <sheetName val="Parámetros"/>
      <sheetName val="Hoja_Indicadores"/>
      <sheetName val="KPI"/>
      <sheetName val="CMI"/>
      <sheetName val="Tendencias"/>
      <sheetName val="Ind_Gestion"/>
      <sheetName val="Indices Financieros"/>
      <sheetName val="IndicesDinámic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Ana. Cuentas"/>
      <sheetName val="Analisis Gerencial"/>
      <sheetName val="Resumen General"/>
      <sheetName val="Resumen General Mes"/>
      <sheetName val="Plan de Cuentas (Colombia)"/>
      <sheetName val="Balance General AH"/>
      <sheetName val="Balance General AV"/>
      <sheetName val="Pérdidas y Ganancias AH"/>
      <sheetName val="Pérdidas y Ganancias AV"/>
      <sheetName val="PyG Mes Acumulado AH"/>
      <sheetName val="PyG Mes Acumulado AV"/>
      <sheetName val="Balance General Anual"/>
      <sheetName val="PyG Anual"/>
      <sheetName val="Estado de Cambio SF"/>
      <sheetName val="Flujo de Efectivos"/>
      <sheetName val="Estado de Cambio PT"/>
    </sheetNames>
    <sheetDataSet>
      <sheetData sheetId="0">
        <row r="12">
          <cell r="D12" t="str">
            <v xml:space="preserve">L_ Indices_ de_ Liquidez </v>
          </cell>
        </row>
        <row r="13">
          <cell r="D13" t="str">
            <v>E_Indices_de_Endeudamiento</v>
          </cell>
        </row>
        <row r="14">
          <cell r="D14" t="str">
            <v>R_Indices_de_Rentabilidad</v>
          </cell>
        </row>
        <row r="15">
          <cell r="D15" t="str">
            <v>C_Indices_de_Cobertura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hartsDataSheet"/>
      <sheetName val="Datos"/>
      <sheetName val="DASHBOARD"/>
      <sheetName val="Calc"/>
      <sheetName val="Estado de Resultados"/>
    </sheetNames>
    <sheetDataSet>
      <sheetData sheetId="0"/>
      <sheetData sheetId="1">
        <row r="36">
          <cell r="C36" t="str">
            <v>ENERO</v>
          </cell>
        </row>
        <row r="37">
          <cell r="C37" t="str">
            <v>FEBRERO</v>
          </cell>
        </row>
        <row r="38">
          <cell r="C38" t="str">
            <v>MARZO</v>
          </cell>
        </row>
        <row r="39">
          <cell r="C39" t="str">
            <v>ABRIL</v>
          </cell>
        </row>
        <row r="40">
          <cell r="C40" t="str">
            <v>MAYO</v>
          </cell>
        </row>
        <row r="41">
          <cell r="C41" t="str">
            <v>JUNIO</v>
          </cell>
        </row>
        <row r="42">
          <cell r="C42" t="str">
            <v>JULIO</v>
          </cell>
        </row>
        <row r="43">
          <cell r="C43" t="str">
            <v>AGOSTO</v>
          </cell>
        </row>
        <row r="44">
          <cell r="C44" t="str">
            <v>SEPTIEMBRE</v>
          </cell>
        </row>
        <row r="45">
          <cell r="C45" t="str">
            <v>OCTUBRE</v>
          </cell>
        </row>
        <row r="46">
          <cell r="C46" t="str">
            <v>NOVIEMBRE</v>
          </cell>
        </row>
        <row r="47">
          <cell r="C47" t="str">
            <v>DICIEMBRE</v>
          </cell>
        </row>
      </sheetData>
      <sheetData sheetId="2"/>
      <sheetData sheetId="3"/>
      <sheetData sheetId="4"/>
    </sheetDataSet>
  </externalBook>
</externalLink>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ctualicese.com/liquidador-de-prestaciones-sociales/" TargetMode="External"/><Relationship Id="rId3" Type="http://schemas.openxmlformats.org/officeDocument/2006/relationships/hyperlink" Target="https://actualicese.com/simulador-de-sancion-por-no-pagar-la-liquidacion-del-contrato-laboral/" TargetMode="External"/><Relationship Id="rId7" Type="http://schemas.openxmlformats.org/officeDocument/2006/relationships/hyperlink" Target="https://actualicese.com/liquidador-de-indemnizacion-por-despido-sin-justa-causa-para-contrato-fijo-u-obra-labor/" TargetMode="External"/><Relationship Id="rId2" Type="http://schemas.openxmlformats.org/officeDocument/2006/relationships/hyperlink" Target="https://actualicese.com/tiempo-maximo-para-el-pago-de-la-liquidacion-del-contrato-de-trabajo/" TargetMode="External"/><Relationship Id="rId1" Type="http://schemas.openxmlformats.org/officeDocument/2006/relationships/hyperlink" Target="https://actualicese.com/liquidador-y-desprendible-de-nomina-basico-en-excel/" TargetMode="External"/><Relationship Id="rId6" Type="http://schemas.openxmlformats.org/officeDocument/2006/relationships/hyperlink" Target="https://actualicese.com/nomina/" TargetMode="External"/><Relationship Id="rId11" Type="http://schemas.openxmlformats.org/officeDocument/2006/relationships/drawing" Target="../drawings/drawing1.xml"/><Relationship Id="rId5" Type="http://schemas.openxmlformats.org/officeDocument/2006/relationships/hyperlink" Target="https://actualicese.com/formatos-y-condiciones-para-retencion-en-la-fuente-bajo-procedimientos-1-y-2-en-el-ano-gravable-2026/" TargetMode="External"/><Relationship Id="rId10" Type="http://schemas.openxmlformats.org/officeDocument/2006/relationships/printerSettings" Target="../printerSettings/printerSettings1.bin"/><Relationship Id="rId4" Type="http://schemas.openxmlformats.org/officeDocument/2006/relationships/hyperlink" Target="https://actualicese.com/caso-practico-de-liquidacion-de-un-trabajador-domestico-que-devenga-el-salario-minimo/" TargetMode="External"/><Relationship Id="rId9" Type="http://schemas.openxmlformats.org/officeDocument/2006/relationships/hyperlink" Target="https://actualicese.com/nomina/"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actualicese.com/ingreso-base-de-cotizacion/" TargetMode="External"/><Relationship Id="rId7" Type="http://schemas.openxmlformats.org/officeDocument/2006/relationships/hyperlink" Target="http://www.secretariasenado.gov.co/senado/basedoc/estatuto_tributario_pr004.html" TargetMode="External"/><Relationship Id="rId2" Type="http://schemas.openxmlformats.org/officeDocument/2006/relationships/hyperlink" Target="https://actualicese.com/auxilio-de-transporte/" TargetMode="External"/><Relationship Id="rId1" Type="http://schemas.openxmlformats.org/officeDocument/2006/relationships/hyperlink" Target="https://actualicese.com/salario-minimo/" TargetMode="External"/><Relationship Id="rId6" Type="http://schemas.openxmlformats.org/officeDocument/2006/relationships/hyperlink" Target="https://actualicese.com/aporte-a-salud-2026-en-el-regimen-contributivo/" TargetMode="External"/><Relationship Id="rId11" Type="http://schemas.openxmlformats.org/officeDocument/2006/relationships/comments" Target="../comments1.xml"/><Relationship Id="rId5" Type="http://schemas.openxmlformats.org/officeDocument/2006/relationships/hyperlink" Target="https://actualicese.com/calculo-de-semanas-de-cotizacion-para-pension-debe-realizarse-con-dias-calendario/" TargetMode="External"/><Relationship Id="rId10" Type="http://schemas.openxmlformats.org/officeDocument/2006/relationships/vmlDrawing" Target="../drawings/vmlDrawing1.vml"/><Relationship Id="rId4" Type="http://schemas.openxmlformats.org/officeDocument/2006/relationships/hyperlink" Target="https://actualicese.com/aportes-al-fondo-de-solidaridad-pensional-por-parte-de-un-empleado/"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actualicese.com/pago-de-sena-e-icbf-por-empleado-contratado-en-dos-empresas/" TargetMode="External"/><Relationship Id="rId7" Type="http://schemas.openxmlformats.org/officeDocument/2006/relationships/comments" Target="../comments2.xml"/><Relationship Id="rId2" Type="http://schemas.openxmlformats.org/officeDocument/2006/relationships/hyperlink" Target="https://actualicese.com/calculadora-de-monetizacion-total-y-parcial-de-la-cuota-de-aprendizaje-sena-antes-y-despues-de-la-reforma-laboral-2025/" TargetMode="External"/><Relationship Id="rId1" Type="http://schemas.openxmlformats.org/officeDocument/2006/relationships/hyperlink" Target="http://www.secretariasenado.gov.co/senado/basedoc/estatuto_tributario_pr004.html" TargetMode="External"/><Relationship Id="rId6" Type="http://schemas.openxmlformats.org/officeDocument/2006/relationships/vmlDrawing" Target="../drawings/vmlDrawing2.vml"/><Relationship Id="rId5" Type="http://schemas.openxmlformats.org/officeDocument/2006/relationships/drawing" Target="../drawings/drawing3.xml"/><Relationship Id="rId4" Type="http://schemas.openxmlformats.org/officeDocument/2006/relationships/hyperlink" Target="https://actualicese.com/cotizacion-a-caja-de-compensacion-familiar-durante-licencia-no-remunerada/"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73256-C22B-42E2-990A-6D26316D2E5C}">
  <sheetPr codeName="Hoja3"/>
  <dimension ref="B1:S29"/>
  <sheetViews>
    <sheetView workbookViewId="0">
      <selection activeCell="B3" sqref="B3:M3"/>
    </sheetView>
  </sheetViews>
  <sheetFormatPr baseColWidth="10" defaultColWidth="11" defaultRowHeight="15.6" x14ac:dyDescent="0.3"/>
  <cols>
    <col min="1" max="1" width="11" style="2"/>
    <col min="2" max="13" width="10.296875" style="2" customWidth="1"/>
    <col min="14" max="16384" width="11" style="2"/>
  </cols>
  <sheetData>
    <row r="1" spans="2:19" s="1" customFormat="1" ht="15" x14ac:dyDescent="0.25"/>
    <row r="2" spans="2:19" s="1" customFormat="1" ht="9.75" customHeight="1" x14ac:dyDescent="0.25"/>
    <row r="3" spans="2:19" s="1" customFormat="1" ht="38.25" customHeight="1" x14ac:dyDescent="0.25">
      <c r="B3" s="140" t="s">
        <v>41</v>
      </c>
      <c r="C3" s="140"/>
      <c r="D3" s="140"/>
      <c r="E3" s="140"/>
      <c r="F3" s="140"/>
      <c r="G3" s="140"/>
      <c r="H3" s="140"/>
      <c r="I3" s="140"/>
      <c r="J3" s="140"/>
      <c r="K3" s="140"/>
      <c r="L3" s="140"/>
      <c r="M3" s="140"/>
    </row>
    <row r="4" spans="2:19" s="1" customFormat="1" ht="16.5" customHeight="1" x14ac:dyDescent="0.25">
      <c r="B4" s="76"/>
      <c r="C4" s="76"/>
      <c r="D4" s="76"/>
      <c r="E4" s="76"/>
      <c r="F4" s="76"/>
      <c r="G4" s="76"/>
      <c r="H4" s="76"/>
      <c r="I4" s="76"/>
      <c r="J4" s="76"/>
      <c r="K4" s="76"/>
      <c r="L4" s="76"/>
      <c r="M4" s="76"/>
    </row>
    <row r="5" spans="2:19" s="1" customFormat="1" ht="16.5" customHeight="1" x14ac:dyDescent="0.25">
      <c r="B5" s="145" t="s">
        <v>141</v>
      </c>
      <c r="C5" s="145"/>
      <c r="D5" s="145"/>
      <c r="E5" s="145"/>
    </row>
    <row r="6" spans="2:19" ht="16.5" customHeight="1" x14ac:dyDescent="0.3">
      <c r="O6" s="1"/>
      <c r="P6" s="1"/>
      <c r="Q6" s="1"/>
      <c r="R6" s="1"/>
      <c r="S6" s="1"/>
    </row>
    <row r="7" spans="2:19" ht="31.5" customHeight="1" x14ac:dyDescent="0.3">
      <c r="B7" s="141" t="s">
        <v>144</v>
      </c>
      <c r="C7" s="141"/>
      <c r="D7" s="141"/>
      <c r="E7" s="141"/>
      <c r="F7" s="141"/>
      <c r="G7" s="141"/>
      <c r="H7" s="141"/>
      <c r="I7" s="141"/>
      <c r="J7" s="141"/>
      <c r="K7" s="141"/>
      <c r="L7" s="141"/>
      <c r="M7" s="141"/>
      <c r="O7" s="1"/>
      <c r="P7" s="1"/>
      <c r="Q7" s="1"/>
      <c r="R7" s="1"/>
      <c r="S7" s="1"/>
    </row>
    <row r="8" spans="2:19" ht="31.5" customHeight="1" x14ac:dyDescent="0.3">
      <c r="B8" s="141"/>
      <c r="C8" s="141"/>
      <c r="D8" s="141"/>
      <c r="E8" s="141"/>
      <c r="F8" s="141"/>
      <c r="G8" s="141"/>
      <c r="H8" s="141"/>
      <c r="I8" s="141"/>
      <c r="J8" s="141"/>
      <c r="K8" s="141"/>
      <c r="L8" s="141"/>
      <c r="M8" s="141"/>
      <c r="O8" s="1"/>
      <c r="P8" s="1"/>
      <c r="Q8" s="1"/>
      <c r="R8" s="1"/>
      <c r="S8" s="1"/>
    </row>
    <row r="9" spans="2:19" ht="24" customHeight="1" x14ac:dyDescent="0.3">
      <c r="B9" s="141" t="s">
        <v>120</v>
      </c>
      <c r="C9" s="141"/>
      <c r="D9" s="141"/>
      <c r="E9" s="141"/>
      <c r="F9" s="141"/>
      <c r="G9" s="141"/>
      <c r="H9" s="141"/>
      <c r="I9" s="141"/>
      <c r="J9" s="141"/>
      <c r="K9" s="141"/>
      <c r="L9" s="141"/>
      <c r="M9" s="141"/>
      <c r="O9" s="1"/>
      <c r="P9" s="1"/>
      <c r="Q9" s="1"/>
      <c r="R9" s="1"/>
      <c r="S9" s="1"/>
    </row>
    <row r="10" spans="2:19" ht="24" customHeight="1" x14ac:dyDescent="0.3">
      <c r="B10" s="141"/>
      <c r="C10" s="141"/>
      <c r="D10" s="141"/>
      <c r="E10" s="141"/>
      <c r="F10" s="141"/>
      <c r="G10" s="141"/>
      <c r="H10" s="141"/>
      <c r="I10" s="141"/>
      <c r="J10" s="141"/>
      <c r="K10" s="141"/>
      <c r="L10" s="141"/>
      <c r="M10" s="141"/>
      <c r="O10" s="1"/>
      <c r="P10" s="1"/>
      <c r="Q10" s="1"/>
      <c r="R10" s="1"/>
      <c r="S10" s="1"/>
    </row>
    <row r="11" spans="2:19" ht="23.25" customHeight="1" x14ac:dyDescent="0.3">
      <c r="O11" s="1"/>
      <c r="P11" s="1"/>
      <c r="Q11" s="1"/>
      <c r="R11" s="1"/>
      <c r="S11" s="1"/>
    </row>
    <row r="12" spans="2:19" ht="23.25" customHeight="1" x14ac:dyDescent="0.4">
      <c r="B12" s="138" t="s">
        <v>143</v>
      </c>
      <c r="C12" s="138"/>
      <c r="D12" s="138"/>
      <c r="E12" s="138"/>
      <c r="F12" s="138"/>
      <c r="G12" s="138"/>
      <c r="H12" s="138"/>
      <c r="I12" s="138"/>
      <c r="J12" s="138"/>
      <c r="K12" s="138"/>
      <c r="L12" s="138"/>
      <c r="M12" s="138"/>
      <c r="O12" s="1"/>
      <c r="P12" s="1"/>
      <c r="Q12" s="1"/>
      <c r="R12" s="1"/>
      <c r="S12" s="1"/>
    </row>
    <row r="13" spans="2:19" ht="23.25" customHeight="1" x14ac:dyDescent="0.3">
      <c r="B13" s="139" t="s">
        <v>119</v>
      </c>
      <c r="C13" s="139"/>
      <c r="D13" s="139"/>
      <c r="E13" s="139"/>
      <c r="F13" s="139"/>
      <c r="G13" s="139"/>
      <c r="H13" s="139"/>
      <c r="I13" s="139"/>
      <c r="J13" s="139"/>
      <c r="K13" s="139"/>
      <c r="L13" s="139"/>
      <c r="M13" s="139"/>
      <c r="O13" s="1"/>
      <c r="P13" s="1"/>
      <c r="Q13" s="1"/>
      <c r="R13" s="1"/>
      <c r="S13" s="1"/>
    </row>
    <row r="14" spans="2:19" ht="57.75" customHeight="1" x14ac:dyDescent="0.3">
      <c r="B14" s="141" t="s">
        <v>117</v>
      </c>
      <c r="C14" s="141"/>
      <c r="D14" s="141"/>
      <c r="E14" s="141"/>
      <c r="F14" s="141"/>
      <c r="G14" s="141"/>
      <c r="H14" s="141"/>
      <c r="I14" s="141"/>
      <c r="J14" s="141"/>
      <c r="K14" s="141"/>
      <c r="L14" s="141"/>
      <c r="M14" s="141"/>
      <c r="O14" s="1"/>
      <c r="P14" s="1"/>
      <c r="Q14" s="1"/>
      <c r="R14" s="1"/>
      <c r="S14" s="1"/>
    </row>
    <row r="15" spans="2:19" ht="57.75" customHeight="1" x14ac:dyDescent="0.3">
      <c r="B15" s="141"/>
      <c r="C15" s="141"/>
      <c r="D15" s="141"/>
      <c r="E15" s="141"/>
      <c r="F15" s="141"/>
      <c r="G15" s="141"/>
      <c r="H15" s="141"/>
      <c r="I15" s="141"/>
      <c r="J15" s="141"/>
      <c r="K15" s="141"/>
      <c r="L15" s="141"/>
      <c r="M15" s="141"/>
      <c r="O15" s="1"/>
      <c r="P15" s="1"/>
      <c r="Q15" s="1"/>
      <c r="R15" s="1"/>
      <c r="S15" s="1"/>
    </row>
    <row r="16" spans="2:19" ht="23.25" customHeight="1" x14ac:dyDescent="0.3">
      <c r="O16" s="1"/>
      <c r="P16" s="1"/>
      <c r="Q16" s="1"/>
      <c r="R16" s="1"/>
      <c r="S16" s="1"/>
    </row>
    <row r="17" spans="2:19" ht="23.25" customHeight="1" x14ac:dyDescent="0.4">
      <c r="B17" s="138" t="s">
        <v>145</v>
      </c>
      <c r="C17" s="138"/>
      <c r="D17" s="138"/>
      <c r="E17" s="138"/>
      <c r="F17" s="138"/>
      <c r="G17" s="138"/>
      <c r="H17" s="138"/>
      <c r="I17" s="138"/>
      <c r="J17" s="138"/>
      <c r="K17" s="138"/>
      <c r="L17" s="138"/>
      <c r="M17" s="138"/>
      <c r="O17" s="1"/>
      <c r="P17" s="1"/>
      <c r="Q17" s="1"/>
      <c r="R17" s="1"/>
      <c r="S17" s="1"/>
    </row>
    <row r="18" spans="2:19" ht="23.25" customHeight="1" x14ac:dyDescent="0.3">
      <c r="B18" s="139" t="s">
        <v>118</v>
      </c>
      <c r="C18" s="139"/>
      <c r="D18" s="139"/>
      <c r="E18" s="139"/>
      <c r="F18" s="139"/>
      <c r="G18" s="139"/>
      <c r="H18" s="139"/>
      <c r="I18" s="139"/>
      <c r="J18" s="139"/>
      <c r="K18" s="139"/>
      <c r="L18" s="139"/>
      <c r="M18" s="139"/>
      <c r="O18" s="1"/>
      <c r="P18" s="1"/>
      <c r="Q18" s="1"/>
      <c r="R18" s="1"/>
      <c r="S18" s="1"/>
    </row>
    <row r="19" spans="2:19" ht="146.25" customHeight="1" x14ac:dyDescent="0.3">
      <c r="B19" s="141" t="s">
        <v>146</v>
      </c>
      <c r="C19" s="141"/>
      <c r="D19" s="141"/>
      <c r="E19" s="141"/>
      <c r="F19" s="141"/>
      <c r="G19" s="141"/>
      <c r="H19" s="141"/>
      <c r="I19" s="141"/>
      <c r="J19" s="141"/>
      <c r="K19" s="141"/>
      <c r="L19" s="141"/>
      <c r="M19" s="141"/>
    </row>
    <row r="20" spans="2:19" ht="16.5" customHeight="1" x14ac:dyDescent="0.3"/>
    <row r="21" spans="2:19" ht="62.25" customHeight="1" x14ac:dyDescent="0.3">
      <c r="B21" s="144" t="s">
        <v>89</v>
      </c>
      <c r="C21" s="144"/>
      <c r="D21" s="144"/>
      <c r="E21" s="144"/>
      <c r="F21" s="144"/>
      <c r="G21" s="144"/>
      <c r="H21" s="144"/>
      <c r="I21" s="144"/>
      <c r="J21" s="144"/>
      <c r="K21" s="144"/>
      <c r="L21" s="144"/>
      <c r="M21" s="144"/>
    </row>
    <row r="23" spans="2:19" ht="22.05" customHeight="1" x14ac:dyDescent="0.3">
      <c r="B23" s="146" t="s">
        <v>67</v>
      </c>
      <c r="C23" s="147"/>
      <c r="D23" s="147"/>
      <c r="E23" s="147"/>
      <c r="F23" s="147"/>
      <c r="G23" s="147"/>
      <c r="H23" s="147"/>
      <c r="I23" s="147"/>
      <c r="J23" s="147"/>
      <c r="K23" s="147"/>
      <c r="L23" s="147"/>
      <c r="M23" s="148"/>
    </row>
    <row r="24" spans="2:19" ht="22.05" customHeight="1" x14ac:dyDescent="0.3">
      <c r="B24" s="142" t="s">
        <v>96</v>
      </c>
      <c r="C24" s="142"/>
      <c r="D24" s="142"/>
      <c r="E24" s="142"/>
      <c r="F24" s="142"/>
      <c r="G24" s="142"/>
      <c r="H24" s="142"/>
      <c r="I24" s="142"/>
      <c r="J24" s="142"/>
      <c r="K24" s="142"/>
      <c r="L24" s="142"/>
      <c r="M24" s="142"/>
    </row>
    <row r="25" spans="2:19" ht="55.95" customHeight="1" x14ac:dyDescent="0.3">
      <c r="B25" s="143" t="s">
        <v>142</v>
      </c>
      <c r="C25" s="143"/>
      <c r="D25" s="143"/>
      <c r="E25" s="143"/>
      <c r="F25" s="143"/>
      <c r="G25" s="143"/>
      <c r="H25" s="143"/>
      <c r="I25" s="143"/>
      <c r="J25" s="143"/>
      <c r="K25" s="143"/>
      <c r="L25" s="143"/>
      <c r="M25" s="143"/>
    </row>
    <row r="26" spans="2:19" ht="22.05" customHeight="1" x14ac:dyDescent="0.3">
      <c r="B26" s="142" t="s">
        <v>121</v>
      </c>
      <c r="C26" s="142"/>
      <c r="D26" s="142"/>
      <c r="E26" s="142"/>
      <c r="F26" s="142"/>
      <c r="G26" s="142"/>
      <c r="H26" s="142"/>
      <c r="I26" s="142"/>
      <c r="J26" s="142"/>
      <c r="K26" s="142"/>
      <c r="L26" s="142"/>
      <c r="M26" s="142"/>
    </row>
    <row r="27" spans="2:19" ht="55.95" customHeight="1" x14ac:dyDescent="0.3">
      <c r="B27" s="143" t="s">
        <v>122</v>
      </c>
      <c r="C27" s="143"/>
      <c r="D27" s="143"/>
      <c r="E27" s="143"/>
      <c r="F27" s="143"/>
      <c r="G27" s="143"/>
      <c r="H27" s="143"/>
      <c r="I27" s="143"/>
      <c r="J27" s="143"/>
      <c r="K27" s="143"/>
      <c r="L27" s="143"/>
      <c r="M27" s="143"/>
    </row>
    <row r="28" spans="2:19" ht="22.05" customHeight="1" x14ac:dyDescent="0.3">
      <c r="B28" s="142" t="s">
        <v>68</v>
      </c>
      <c r="C28" s="142"/>
      <c r="D28" s="142"/>
      <c r="E28" s="142"/>
      <c r="F28" s="142"/>
      <c r="G28" s="142"/>
      <c r="H28" s="142"/>
      <c r="I28" s="142"/>
      <c r="J28" s="142"/>
      <c r="K28" s="142"/>
      <c r="L28" s="142"/>
      <c r="M28" s="142"/>
    </row>
    <row r="29" spans="2:19" ht="55.95" customHeight="1" x14ac:dyDescent="0.3">
      <c r="B29" s="143" t="s">
        <v>123</v>
      </c>
      <c r="C29" s="143"/>
      <c r="D29" s="143"/>
      <c r="E29" s="143"/>
      <c r="F29" s="143"/>
      <c r="G29" s="143"/>
      <c r="H29" s="143"/>
      <c r="I29" s="143"/>
      <c r="J29" s="143"/>
      <c r="K29" s="143"/>
      <c r="L29" s="143"/>
      <c r="M29" s="143"/>
    </row>
  </sheetData>
  <mergeCells count="18">
    <mergeCell ref="B28:M28"/>
    <mergeCell ref="B29:M29"/>
    <mergeCell ref="B21:M21"/>
    <mergeCell ref="B19:M19"/>
    <mergeCell ref="B5:E5"/>
    <mergeCell ref="B23:M23"/>
    <mergeCell ref="B24:M24"/>
    <mergeCell ref="B25:M25"/>
    <mergeCell ref="B26:M26"/>
    <mergeCell ref="B27:M27"/>
    <mergeCell ref="B7:M8"/>
    <mergeCell ref="B12:M12"/>
    <mergeCell ref="B13:M13"/>
    <mergeCell ref="B17:M17"/>
    <mergeCell ref="B18:M18"/>
    <mergeCell ref="B3:M3"/>
    <mergeCell ref="B9:M10"/>
    <mergeCell ref="B14:M15"/>
  </mergeCells>
  <hyperlinks>
    <hyperlink ref="B24:I24" r:id="rId1" display="Liquidador y desprendible de nómina básico en Excel" xr:uid="{69D57746-037D-4EB6-8E53-D390DD9234F8}"/>
    <hyperlink ref="B26:I26" r:id="rId2" display="[Análisis] Tiempo máximo para el pago de la liquidación del contrato de trabajo" xr:uid="{300C0852-437A-427A-858D-618C47300C94}"/>
    <hyperlink ref="B28:I28" r:id="rId3" display="[Liquidador] Simulador de sanción por no pagar la liquidación del contrato laboral" xr:uid="{1C8CB889-8A2C-458E-9E7B-92566E643A2A}"/>
    <hyperlink ref="B9:M10" r:id="rId4" display="Cuando finaliza un contrato laboral, el empleador debe definir, en primera medida, si este ha finalizado con o sin justa causa. Dependiendo de esto, se realizará la liquidación de los valores a la fecha de finalización del contrato con o sin indemnización por parte del empleador." xr:uid="{E1D131B5-73C1-4543-A017-725235C3C64F}"/>
    <hyperlink ref="B7:M8" location="'Liquidación al terminar contrat'!A1" display="'Liquidación al terminar contrat'!A1" xr:uid="{9B67DA53-AC68-4955-ADC5-2AF308D90789}"/>
    <hyperlink ref="B14:M15" r:id="rId5" display="https://actualicese.com/formatos-y-condiciones-para-retencion-en-la-fuente-bajo-procedimientos-1-y-2-en-el-ano-gravable-2026/" xr:uid="{B734D22B-E493-42E2-B6E8-85CD91FCAD3C}"/>
    <hyperlink ref="B18:M18" r:id="rId6" display="https://actualicese.com/nomina/" xr:uid="{24FB9332-1EF8-41AE-8CE0-8094D11DD1DA}"/>
    <hyperlink ref="B13:M13" r:id="rId7" display="Además de definir si hay o no lugar a una indemnización, entre los valores a liquidar se encuentran:" xr:uid="{86887884-A382-4BD2-BC88-48DE8F609735}"/>
    <hyperlink ref="B19:M19" r:id="rId8" display="https://actualicese.com/liquidador-de-prestaciones-sociales/" xr:uid="{1930BF47-14F3-4423-AD92-6B74AB57F844}"/>
    <hyperlink ref="B26:M26" r:id="rId9" display="[Ruta de Actualización] ABC de la  nómina" xr:uid="{F8F8D688-C18F-4C9C-B19D-0297211BDB45}"/>
  </hyperlinks>
  <pageMargins left="0.7" right="0.7" top="0.75" bottom="0.75" header="0.3" footer="0.3"/>
  <pageSetup orientation="portrait" horizontalDpi="360" verticalDpi="360" r:id="rId10"/>
  <drawing r:id="rId1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3176-64C7-499B-9A9B-C02B59706A0E}">
  <sheetPr codeName="Hoja5"/>
  <dimension ref="B1:N81"/>
  <sheetViews>
    <sheetView zoomScaleNormal="100" workbookViewId="0">
      <selection activeCell="B3" sqref="B3:K3"/>
    </sheetView>
  </sheetViews>
  <sheetFormatPr baseColWidth="10" defaultColWidth="11" defaultRowHeight="15.6" x14ac:dyDescent="0.3"/>
  <cols>
    <col min="1" max="1" width="15.5" style="2" customWidth="1"/>
    <col min="2" max="2" width="1.19921875" style="2" customWidth="1"/>
    <col min="3" max="3" width="60" style="2" customWidth="1"/>
    <col min="4" max="4" width="24.296875" style="2" customWidth="1"/>
    <col min="5" max="5" width="16.796875" style="2" customWidth="1"/>
    <col min="6" max="6" width="17.09765625" style="2" customWidth="1"/>
    <col min="7" max="7" width="18.19921875" style="2" customWidth="1"/>
    <col min="8" max="8" width="13" style="2" customWidth="1"/>
    <col min="9" max="9" width="15.19921875" style="2" customWidth="1"/>
    <col min="10" max="10" width="14.69921875" style="2" customWidth="1"/>
    <col min="11" max="11" width="17" style="2" customWidth="1"/>
    <col min="12" max="13" width="15.69921875" style="2" customWidth="1"/>
    <col min="14" max="14" width="15.69921875" style="2" bestFit="1" customWidth="1"/>
    <col min="15" max="16384" width="11" style="2"/>
  </cols>
  <sheetData>
    <row r="1" spans="2:11" s="1" customFormat="1" ht="15" x14ac:dyDescent="0.25"/>
    <row r="2" spans="2:11" s="1" customFormat="1" ht="9.75" customHeight="1" x14ac:dyDescent="0.25"/>
    <row r="3" spans="2:11" s="1" customFormat="1" ht="38.25" customHeight="1" x14ac:dyDescent="0.25">
      <c r="B3" s="140" t="s">
        <v>70</v>
      </c>
      <c r="C3" s="140"/>
      <c r="D3" s="140"/>
      <c r="E3" s="140"/>
      <c r="F3" s="140"/>
      <c r="G3" s="140"/>
      <c r="H3" s="140"/>
      <c r="I3" s="140"/>
      <c r="J3" s="140"/>
      <c r="K3" s="140"/>
    </row>
    <row r="4" spans="2:11" s="1" customFormat="1" ht="18" customHeight="1" x14ac:dyDescent="0.25">
      <c r="B4" s="99"/>
      <c r="C4" s="99"/>
      <c r="D4" s="99"/>
      <c r="E4" s="99"/>
      <c r="F4" s="99"/>
      <c r="G4" s="99"/>
      <c r="H4" s="99"/>
      <c r="I4" s="99"/>
      <c r="J4" s="99"/>
      <c r="K4" s="99"/>
    </row>
    <row r="5" spans="2:11" s="1" customFormat="1" ht="18" customHeight="1" x14ac:dyDescent="0.25">
      <c r="B5" s="182" t="str">
        <f>Introducción!B5</f>
        <v>(Fecha de actualización: abril 16 de 2026)</v>
      </c>
      <c r="C5" s="182"/>
      <c r="D5" s="182"/>
      <c r="E5" s="182"/>
    </row>
    <row r="6" spans="2:11" s="1" customFormat="1" ht="18" customHeight="1" x14ac:dyDescent="0.25">
      <c r="B6" s="97"/>
      <c r="C6" s="97"/>
      <c r="D6" s="97"/>
      <c r="E6" s="97"/>
    </row>
    <row r="7" spans="2:11" ht="100.5" customHeight="1" thickBot="1" x14ac:dyDescent="0.35">
      <c r="B7" s="195" t="s">
        <v>147</v>
      </c>
      <c r="C7" s="195"/>
      <c r="D7" s="195"/>
      <c r="E7" s="195"/>
      <c r="F7" s="195"/>
      <c r="G7" s="195"/>
      <c r="H7" s="195"/>
      <c r="I7" s="195"/>
      <c r="J7" s="195"/>
      <c r="K7" s="195"/>
    </row>
    <row r="8" spans="2:11" ht="22.5" customHeight="1" x14ac:dyDescent="0.3">
      <c r="B8" s="5"/>
      <c r="C8" s="184" t="s">
        <v>47</v>
      </c>
      <c r="D8" s="185"/>
      <c r="E8" s="186"/>
      <c r="F8" s="5"/>
      <c r="G8" s="5"/>
      <c r="H8" s="5"/>
      <c r="I8" s="5"/>
      <c r="J8" s="5"/>
      <c r="K8" s="5"/>
    </row>
    <row r="9" spans="2:11" ht="17.25" customHeight="1" thickBot="1" x14ac:dyDescent="0.35">
      <c r="B9" s="5"/>
      <c r="C9" s="190"/>
      <c r="D9" s="191"/>
      <c r="E9" s="192"/>
      <c r="F9" s="5"/>
      <c r="G9" s="5"/>
      <c r="H9" s="5"/>
      <c r="I9" s="5"/>
      <c r="J9" s="5"/>
      <c r="K9" s="5"/>
    </row>
    <row r="10" spans="2:11" ht="41.25" customHeight="1" x14ac:dyDescent="0.3">
      <c r="B10" s="5"/>
      <c r="C10" s="196" t="s">
        <v>124</v>
      </c>
      <c r="D10" s="197"/>
      <c r="E10" s="72">
        <v>1750905</v>
      </c>
      <c r="F10" s="5"/>
      <c r="G10" s="5"/>
      <c r="H10" s="5"/>
      <c r="I10" s="5"/>
      <c r="J10" s="5"/>
      <c r="K10" s="5"/>
    </row>
    <row r="11" spans="2:11" ht="42.75" customHeight="1" x14ac:dyDescent="0.3">
      <c r="B11" s="5"/>
      <c r="C11" s="200" t="s">
        <v>76</v>
      </c>
      <c r="D11" s="201"/>
      <c r="E11" s="3">
        <v>2848000</v>
      </c>
      <c r="F11" s="5"/>
      <c r="G11" s="5"/>
      <c r="H11" s="5"/>
      <c r="I11" s="5"/>
      <c r="J11" s="5"/>
      <c r="K11" s="5"/>
    </row>
    <row r="12" spans="2:11" ht="42.75" customHeight="1" x14ac:dyDescent="0.3">
      <c r="B12" s="5"/>
      <c r="C12" s="198" t="s">
        <v>77</v>
      </c>
      <c r="D12" s="199"/>
      <c r="E12" s="3">
        <v>2848000</v>
      </c>
      <c r="F12" s="5"/>
      <c r="G12" s="5"/>
      <c r="H12" s="5"/>
      <c r="I12" s="5"/>
      <c r="J12" s="5"/>
      <c r="K12" s="5"/>
    </row>
    <row r="13" spans="2:11" ht="33.75" customHeight="1" x14ac:dyDescent="0.3">
      <c r="B13" s="5"/>
      <c r="C13" s="202" t="s">
        <v>125</v>
      </c>
      <c r="D13" s="203"/>
      <c r="E13" s="48">
        <v>249095</v>
      </c>
      <c r="F13" s="5"/>
      <c r="G13" s="5"/>
      <c r="H13" s="5"/>
      <c r="I13" s="5"/>
      <c r="J13" s="5"/>
      <c r="K13" s="5"/>
    </row>
    <row r="14" spans="2:11" ht="21.75" customHeight="1" x14ac:dyDescent="0.3">
      <c r="B14" s="5"/>
      <c r="C14" s="176" t="s">
        <v>101</v>
      </c>
      <c r="D14" s="177"/>
      <c r="E14" s="183">
        <v>30</v>
      </c>
      <c r="F14" s="5"/>
      <c r="G14" s="5"/>
      <c r="H14" s="5"/>
      <c r="I14" s="5"/>
      <c r="J14" s="5"/>
      <c r="K14" s="5"/>
    </row>
    <row r="15" spans="2:11" ht="16.5" customHeight="1" x14ac:dyDescent="0.3">
      <c r="B15" s="5"/>
      <c r="C15" s="176"/>
      <c r="D15" s="177"/>
      <c r="E15" s="183"/>
      <c r="F15" s="5"/>
      <c r="G15" s="5"/>
      <c r="H15" s="5"/>
      <c r="I15" s="5"/>
      <c r="J15" s="5"/>
      <c r="K15" s="5"/>
    </row>
    <row r="16" spans="2:11" ht="40.5" customHeight="1" x14ac:dyDescent="0.3">
      <c r="B16" s="5"/>
      <c r="C16" s="180" t="s">
        <v>8</v>
      </c>
      <c r="D16" s="181"/>
      <c r="E16" s="17" t="s">
        <v>9</v>
      </c>
      <c r="F16" s="5"/>
      <c r="G16" s="5"/>
      <c r="H16" s="5"/>
      <c r="I16" s="5"/>
      <c r="J16" s="5"/>
      <c r="K16" s="5"/>
    </row>
    <row r="17" spans="2:14" ht="35.25" customHeight="1" x14ac:dyDescent="0.3">
      <c r="B17" s="5"/>
      <c r="C17" s="176" t="s">
        <v>11</v>
      </c>
      <c r="D17" s="177"/>
      <c r="E17" s="17" t="s">
        <v>12</v>
      </c>
      <c r="F17" s="5"/>
      <c r="G17" s="5"/>
      <c r="H17" s="5"/>
      <c r="I17" s="5"/>
      <c r="J17" s="5"/>
      <c r="K17" s="5"/>
    </row>
    <row r="18" spans="2:14" ht="35.25" customHeight="1" thickBot="1" x14ac:dyDescent="0.35">
      <c r="B18" s="5"/>
      <c r="C18" s="193" t="s">
        <v>139</v>
      </c>
      <c r="D18" s="194"/>
      <c r="E18" s="18" t="s">
        <v>10</v>
      </c>
      <c r="F18" s="5"/>
      <c r="G18" s="5"/>
      <c r="H18" s="5"/>
      <c r="I18" s="5"/>
      <c r="J18" s="5"/>
      <c r="K18" s="5"/>
    </row>
    <row r="19" spans="2:14" ht="36" customHeight="1" thickBot="1" x14ac:dyDescent="0.35">
      <c r="B19" s="5"/>
      <c r="C19" s="5"/>
      <c r="D19" s="5"/>
      <c r="E19" s="5"/>
      <c r="F19" s="5"/>
      <c r="G19" s="5"/>
      <c r="H19" s="5"/>
      <c r="I19" s="5"/>
      <c r="J19" s="5"/>
      <c r="K19" s="5"/>
    </row>
    <row r="20" spans="2:14" ht="27" customHeight="1" x14ac:dyDescent="0.3">
      <c r="B20" s="5"/>
      <c r="C20" s="184" t="s">
        <v>22</v>
      </c>
      <c r="D20" s="185"/>
      <c r="E20" s="186"/>
      <c r="F20" s="5"/>
      <c r="G20" s="5"/>
      <c r="H20" s="5"/>
      <c r="I20" s="5"/>
      <c r="J20" s="5"/>
      <c r="K20" s="5"/>
    </row>
    <row r="21" spans="2:14" ht="19.5" customHeight="1" thickBot="1" x14ac:dyDescent="0.35">
      <c r="B21" s="1"/>
      <c r="C21" s="187"/>
      <c r="D21" s="188"/>
      <c r="E21" s="189"/>
      <c r="F21" s="1"/>
      <c r="G21" s="1"/>
      <c r="H21" s="1"/>
      <c r="I21" s="1"/>
      <c r="J21" s="1"/>
      <c r="K21" s="1"/>
    </row>
    <row r="22" spans="2:14" ht="41.25" customHeight="1" x14ac:dyDescent="0.3">
      <c r="B22" s="1"/>
      <c r="C22" s="172" t="s">
        <v>99</v>
      </c>
      <c r="D22" s="173"/>
      <c r="E22" s="19">
        <v>46023</v>
      </c>
      <c r="F22" s="1"/>
      <c r="G22" s="1"/>
      <c r="H22" s="1"/>
      <c r="I22" s="1"/>
      <c r="J22" s="1"/>
      <c r="K22" s="1"/>
    </row>
    <row r="23" spans="2:14" ht="41.25" customHeight="1" x14ac:dyDescent="0.3">
      <c r="B23" s="1"/>
      <c r="C23" s="180" t="s">
        <v>6</v>
      </c>
      <c r="D23" s="181"/>
      <c r="E23" s="17">
        <v>46038</v>
      </c>
      <c r="F23" s="1"/>
      <c r="G23" s="1"/>
      <c r="H23" s="1"/>
      <c r="I23" s="1"/>
      <c r="J23" s="1"/>
      <c r="K23" s="1"/>
    </row>
    <row r="24" spans="2:14" ht="41.25" customHeight="1" x14ac:dyDescent="0.3">
      <c r="B24" s="1"/>
      <c r="C24" s="176" t="s">
        <v>100</v>
      </c>
      <c r="D24" s="177"/>
      <c r="E24" s="17">
        <v>46023</v>
      </c>
      <c r="F24" s="1"/>
      <c r="G24" s="1"/>
      <c r="H24" s="1"/>
      <c r="I24" s="1"/>
      <c r="J24" s="1"/>
      <c r="K24" s="1"/>
    </row>
    <row r="25" spans="2:14" ht="41.25" customHeight="1" x14ac:dyDescent="0.3">
      <c r="B25" s="1"/>
      <c r="C25" s="176" t="s">
        <v>19</v>
      </c>
      <c r="D25" s="177"/>
      <c r="E25" s="17">
        <v>46142</v>
      </c>
      <c r="F25" s="1"/>
      <c r="G25" s="174"/>
      <c r="H25" s="175"/>
      <c r="I25" s="1"/>
      <c r="J25" s="54"/>
      <c r="K25" s="1"/>
    </row>
    <row r="26" spans="2:14" ht="41.25" customHeight="1" thickBot="1" x14ac:dyDescent="0.35">
      <c r="B26" s="1"/>
      <c r="C26" s="178" t="str">
        <f>IF(OR(E17="Indefinido",E17="Obra o labor"),"Fecha de inicio de contrato:",IF(E17="Fijo","Fecha de finalización del contrato según lo pactado inicialmente:"))</f>
        <v>Fecha de inicio de contrato:</v>
      </c>
      <c r="D26" s="179"/>
      <c r="E26" s="20">
        <v>45307</v>
      </c>
      <c r="F26" s="1"/>
      <c r="G26" s="55"/>
      <c r="H26" s="56"/>
      <c r="I26" s="1"/>
      <c r="J26" s="54"/>
      <c r="K26" s="1"/>
    </row>
    <row r="27" spans="2:14" ht="38.25" customHeight="1" thickBot="1" x14ac:dyDescent="0.35">
      <c r="B27" s="1"/>
      <c r="C27" s="1"/>
      <c r="D27" s="1"/>
      <c r="E27" s="1"/>
      <c r="F27" s="1"/>
      <c r="G27" s="1"/>
      <c r="H27" s="57"/>
      <c r="I27" s="1"/>
      <c r="J27" s="1"/>
      <c r="K27" s="1"/>
    </row>
    <row r="28" spans="2:14" ht="44.25" customHeight="1" thickBot="1" x14ac:dyDescent="0.35">
      <c r="B28" s="1"/>
      <c r="C28" s="151" t="s">
        <v>15</v>
      </c>
      <c r="D28" s="152"/>
      <c r="E28" s="152"/>
      <c r="F28" s="153"/>
      <c r="G28" s="1"/>
      <c r="H28" s="57"/>
      <c r="I28" s="1"/>
      <c r="J28" s="1"/>
      <c r="K28" s="1"/>
    </row>
    <row r="29" spans="2:14" ht="27" customHeight="1" x14ac:dyDescent="0.3">
      <c r="B29" s="1"/>
      <c r="C29" s="156" t="s">
        <v>0</v>
      </c>
      <c r="D29" s="161" t="s">
        <v>2</v>
      </c>
      <c r="E29" s="154" t="s">
        <v>97</v>
      </c>
      <c r="F29" s="161" t="s">
        <v>98</v>
      </c>
      <c r="G29" s="1"/>
      <c r="H29" s="1"/>
      <c r="I29" s="1"/>
      <c r="J29" s="1"/>
      <c r="K29" s="1"/>
      <c r="N29" s="49"/>
    </row>
    <row r="30" spans="2:14" ht="30" customHeight="1" thickBot="1" x14ac:dyDescent="0.35">
      <c r="B30" s="1"/>
      <c r="C30" s="157"/>
      <c r="D30" s="162"/>
      <c r="E30" s="155"/>
      <c r="F30" s="162"/>
      <c r="G30" s="1"/>
      <c r="H30" s="1"/>
      <c r="I30" s="1"/>
      <c r="J30" s="1"/>
      <c r="K30" s="1"/>
      <c r="N30" s="49"/>
    </row>
    <row r="31" spans="2:14" ht="34.5" customHeight="1" x14ac:dyDescent="0.3">
      <c r="B31" s="1"/>
      <c r="C31" s="12" t="s">
        <v>1</v>
      </c>
      <c r="D31" s="13">
        <f>+IF($E$11&lt;=$E$10*2,$E$11+$E$13,$E$11)</f>
        <v>3097095</v>
      </c>
      <c r="E31" s="61">
        <f>(D31*F31)/360</f>
        <v>1032365</v>
      </c>
      <c r="F31" s="14">
        <f>IF((DAY(E25)=31),DAYS360(E24,E25),DAYS360(E24,E25)+1)</f>
        <v>120</v>
      </c>
      <c r="G31" s="1"/>
      <c r="H31" s="1"/>
      <c r="I31" s="1"/>
      <c r="J31" s="1"/>
      <c r="K31" s="1"/>
      <c r="N31" s="49"/>
    </row>
    <row r="32" spans="2:14" ht="34.5" customHeight="1" x14ac:dyDescent="0.3">
      <c r="B32" s="1"/>
      <c r="C32" s="9" t="s">
        <v>3</v>
      </c>
      <c r="D32" s="8">
        <f>+IF($E$11&lt;=$E$10*2,$E$11+$E$13,$E$11)</f>
        <v>3097095</v>
      </c>
      <c r="E32" s="39">
        <f>(D32*F32)/360</f>
        <v>1032365</v>
      </c>
      <c r="F32" s="14">
        <f>IF((DAY(E25)=31),DAYS360(E22,E25),DAYS360(E22,E25)+1)</f>
        <v>120</v>
      </c>
      <c r="G32" s="1"/>
      <c r="H32" s="1"/>
      <c r="I32" s="1"/>
      <c r="J32" s="1"/>
      <c r="K32" s="1"/>
      <c r="N32" s="49"/>
    </row>
    <row r="33" spans="2:11" ht="34.5" customHeight="1" thickBot="1" x14ac:dyDescent="0.35">
      <c r="B33" s="1"/>
      <c r="C33" s="10" t="s">
        <v>4</v>
      </c>
      <c r="D33" s="11">
        <f>E32</f>
        <v>1032365</v>
      </c>
      <c r="E33" s="45">
        <f>((D33)*F33*0.12)/360</f>
        <v>41294.6</v>
      </c>
      <c r="F33" s="50">
        <f>IF((DAY(E25)=31),DAYS360(E22,E25),DAYS360(E22,E25)+1)</f>
        <v>120</v>
      </c>
      <c r="G33" s="1"/>
      <c r="H33" s="1"/>
      <c r="I33" s="1"/>
      <c r="J33" s="1"/>
      <c r="K33" s="1"/>
    </row>
    <row r="34" spans="2:11" ht="34.5" customHeight="1" thickBot="1" x14ac:dyDescent="0.35">
      <c r="B34" s="1"/>
      <c r="C34" s="15"/>
      <c r="D34" s="6"/>
      <c r="E34" s="60"/>
      <c r="F34" s="59"/>
      <c r="G34" s="1"/>
      <c r="H34" s="1"/>
      <c r="I34" s="1"/>
      <c r="J34" s="1"/>
      <c r="K34" s="1"/>
    </row>
    <row r="35" spans="2:11" ht="34.5" customHeight="1" thickBot="1" x14ac:dyDescent="0.35">
      <c r="B35" s="1"/>
      <c r="C35" s="151" t="s">
        <v>75</v>
      </c>
      <c r="D35" s="152"/>
      <c r="E35" s="152"/>
      <c r="F35" s="153"/>
      <c r="G35" s="1"/>
      <c r="H35" s="1"/>
      <c r="I35" s="1"/>
      <c r="J35" s="1"/>
      <c r="K35" s="1"/>
    </row>
    <row r="36" spans="2:11" ht="35.25" customHeight="1" thickBot="1" x14ac:dyDescent="0.35">
      <c r="B36" s="1"/>
      <c r="C36" s="10" t="s">
        <v>5</v>
      </c>
      <c r="D36" s="11">
        <f>E11</f>
        <v>2848000</v>
      </c>
      <c r="E36" s="45">
        <f>(D36*F36)/720</f>
        <v>415333.33333333331</v>
      </c>
      <c r="F36" s="50">
        <f>IF((DAY(E25)=31),DAYS360(E23,E25),DAYS360(E23,E25)+1)</f>
        <v>105</v>
      </c>
      <c r="G36" s="1"/>
      <c r="H36" s="1"/>
      <c r="I36" s="1"/>
      <c r="J36" s="1"/>
      <c r="K36" s="1"/>
    </row>
    <row r="37" spans="2:11" ht="35.25" customHeight="1" thickBot="1" x14ac:dyDescent="0.35">
      <c r="B37" s="1"/>
      <c r="C37" s="15"/>
      <c r="D37" s="6"/>
      <c r="E37" s="16"/>
      <c r="F37" s="7"/>
      <c r="G37" s="1"/>
      <c r="H37" s="1"/>
      <c r="I37" s="1"/>
      <c r="J37" s="1"/>
      <c r="K37" s="1"/>
    </row>
    <row r="38" spans="2:11" ht="41.25" customHeight="1" thickBot="1" x14ac:dyDescent="0.35">
      <c r="B38" s="1"/>
      <c r="C38" s="151" t="s">
        <v>102</v>
      </c>
      <c r="D38" s="152"/>
      <c r="E38" s="152"/>
      <c r="F38" s="153"/>
      <c r="G38" s="1"/>
      <c r="H38" s="1"/>
      <c r="I38" s="1"/>
      <c r="J38" s="58"/>
      <c r="K38" s="1"/>
    </row>
    <row r="39" spans="2:11" ht="37.5" customHeight="1" thickBot="1" x14ac:dyDescent="0.35">
      <c r="B39" s="1"/>
      <c r="C39" s="79" t="str">
        <f>+C29</f>
        <v>Concepto</v>
      </c>
      <c r="D39" s="79" t="str">
        <f t="shared" ref="D39:F39" si="0">+D29</f>
        <v>Base de liquidación</v>
      </c>
      <c r="E39" s="79" t="str">
        <f t="shared" si="0"/>
        <v>Liquidación (valores a pagar)</v>
      </c>
      <c r="F39" s="83" t="str">
        <f t="shared" si="0"/>
        <v>Días a liquidar</v>
      </c>
      <c r="G39" s="1"/>
      <c r="H39" s="1"/>
      <c r="I39" s="1"/>
      <c r="J39" s="1"/>
      <c r="K39" s="1"/>
    </row>
    <row r="40" spans="2:11" ht="35.25" customHeight="1" x14ac:dyDescent="0.3">
      <c r="B40" s="1"/>
      <c r="C40" s="21" t="s">
        <v>14</v>
      </c>
      <c r="D40" s="22">
        <f>E12</f>
        <v>2848000</v>
      </c>
      <c r="E40" s="37">
        <f>(D40/30)*E14</f>
        <v>2848000</v>
      </c>
      <c r="F40" s="166">
        <f>E14</f>
        <v>30</v>
      </c>
      <c r="G40" s="1"/>
      <c r="H40" s="1"/>
      <c r="I40" s="1"/>
      <c r="J40" s="1"/>
      <c r="K40" s="1"/>
    </row>
    <row r="41" spans="2:11" ht="35.25" customHeight="1" x14ac:dyDescent="0.3">
      <c r="B41" s="1"/>
      <c r="C41" s="9" t="s">
        <v>79</v>
      </c>
      <c r="D41" s="87" t="s">
        <v>62</v>
      </c>
      <c r="E41" s="52">
        <v>101000</v>
      </c>
      <c r="F41" s="167"/>
      <c r="G41" s="1"/>
      <c r="H41" s="1"/>
      <c r="I41" s="1"/>
      <c r="J41" s="1"/>
      <c r="K41" s="1"/>
    </row>
    <row r="42" spans="2:11" ht="35.25" customHeight="1" x14ac:dyDescent="0.3">
      <c r="B42" s="1"/>
      <c r="C42" s="9" t="s">
        <v>78</v>
      </c>
      <c r="D42" s="87" t="s">
        <v>62</v>
      </c>
      <c r="E42" s="52">
        <v>52000</v>
      </c>
      <c r="F42" s="167"/>
      <c r="G42" s="1"/>
      <c r="H42" s="1"/>
      <c r="I42" s="1"/>
      <c r="J42" s="1"/>
      <c r="K42" s="1"/>
    </row>
    <row r="43" spans="2:11" ht="35.25" customHeight="1" x14ac:dyDescent="0.3">
      <c r="B43" s="1"/>
      <c r="C43" s="23" t="s">
        <v>36</v>
      </c>
      <c r="D43" s="87" t="s">
        <v>62</v>
      </c>
      <c r="E43" s="52">
        <v>150000</v>
      </c>
      <c r="F43" s="167"/>
      <c r="G43" s="1"/>
      <c r="H43" s="1"/>
      <c r="I43" s="1"/>
      <c r="J43" s="1"/>
      <c r="K43" s="1"/>
    </row>
    <row r="44" spans="2:11" ht="35.25" customHeight="1" x14ac:dyDescent="0.3">
      <c r="B44" s="1"/>
      <c r="C44" s="23" t="s">
        <v>37</v>
      </c>
      <c r="D44" s="87" t="s">
        <v>62</v>
      </c>
      <c r="E44" s="52">
        <v>200000</v>
      </c>
      <c r="F44" s="167"/>
      <c r="G44" s="1"/>
      <c r="H44" s="1"/>
      <c r="I44" s="1"/>
      <c r="J44" s="1"/>
      <c r="K44" s="1"/>
    </row>
    <row r="45" spans="2:11" ht="35.25" customHeight="1" x14ac:dyDescent="0.3">
      <c r="B45" s="1"/>
      <c r="C45" s="23" t="s">
        <v>38</v>
      </c>
      <c r="D45" s="87" t="s">
        <v>62</v>
      </c>
      <c r="E45" s="52">
        <v>0</v>
      </c>
      <c r="F45" s="167"/>
      <c r="G45" s="1"/>
      <c r="H45" s="1"/>
      <c r="I45" s="1"/>
      <c r="J45" s="1"/>
      <c r="K45" s="1"/>
    </row>
    <row r="46" spans="2:11" ht="35.25" customHeight="1" thickBot="1" x14ac:dyDescent="0.35">
      <c r="B46" s="1"/>
      <c r="C46" s="24" t="s">
        <v>39</v>
      </c>
      <c r="D46" s="88" t="s">
        <v>62</v>
      </c>
      <c r="E46" s="53">
        <v>125000</v>
      </c>
      <c r="F46" s="168"/>
      <c r="G46" s="1"/>
      <c r="H46" s="1"/>
      <c r="I46" s="1"/>
      <c r="J46" s="1"/>
      <c r="K46" s="1"/>
    </row>
    <row r="47" spans="2:11" ht="35.25" customHeight="1" thickBot="1" x14ac:dyDescent="0.35">
      <c r="B47" s="1"/>
      <c r="C47" s="1"/>
      <c r="D47" s="1"/>
      <c r="E47" s="6"/>
      <c r="F47" s="1"/>
      <c r="G47" s="1"/>
      <c r="H47" s="1"/>
      <c r="I47" s="1"/>
      <c r="J47" s="1"/>
      <c r="K47" s="1"/>
    </row>
    <row r="48" spans="2:11" ht="35.25" customHeight="1" thickBot="1" x14ac:dyDescent="0.35">
      <c r="B48" s="1"/>
      <c r="C48" s="151" t="s">
        <v>103</v>
      </c>
      <c r="D48" s="152"/>
      <c r="E48" s="152"/>
      <c r="F48" s="153"/>
      <c r="G48" s="1"/>
      <c r="H48" s="1"/>
      <c r="I48" s="1"/>
      <c r="J48" s="1"/>
      <c r="K48" s="1"/>
    </row>
    <row r="49" spans="2:11" ht="36" customHeight="1" thickBot="1" x14ac:dyDescent="0.35">
      <c r="B49" s="1"/>
      <c r="C49" s="80" t="str">
        <f>+C39</f>
        <v>Concepto</v>
      </c>
      <c r="D49" s="204" t="str">
        <f>+E39</f>
        <v>Liquidación (valores a pagar)</v>
      </c>
      <c r="E49" s="205"/>
      <c r="F49" s="81" t="str">
        <f>+F39</f>
        <v>Días a liquidar</v>
      </c>
      <c r="G49" s="1"/>
      <c r="H49" s="1"/>
      <c r="I49" s="1"/>
      <c r="J49" s="1"/>
      <c r="K49" s="1"/>
    </row>
    <row r="50" spans="2:11" ht="35.25" customHeight="1" x14ac:dyDescent="0.3">
      <c r="B50" s="1"/>
      <c r="C50" s="23" t="s">
        <v>42</v>
      </c>
      <c r="D50" s="206">
        <v>100000</v>
      </c>
      <c r="E50" s="207"/>
      <c r="F50" s="166">
        <f>+E14</f>
        <v>30</v>
      </c>
      <c r="G50" s="1"/>
      <c r="H50" s="1"/>
      <c r="I50" s="1"/>
      <c r="J50" s="1"/>
      <c r="K50" s="1"/>
    </row>
    <row r="51" spans="2:11" ht="35.25" customHeight="1" x14ac:dyDescent="0.3">
      <c r="B51" s="1"/>
      <c r="C51" s="23" t="s">
        <v>43</v>
      </c>
      <c r="D51" s="206">
        <v>150000</v>
      </c>
      <c r="E51" s="207"/>
      <c r="F51" s="167"/>
      <c r="G51" s="1"/>
      <c r="H51" s="1"/>
      <c r="I51" s="1"/>
      <c r="J51" s="1"/>
      <c r="K51" s="1"/>
    </row>
    <row r="52" spans="2:11" ht="35.25" customHeight="1" x14ac:dyDescent="0.3">
      <c r="B52" s="1"/>
      <c r="C52" s="23" t="s">
        <v>44</v>
      </c>
      <c r="D52" s="206">
        <v>2500000</v>
      </c>
      <c r="E52" s="207"/>
      <c r="F52" s="167"/>
      <c r="G52" s="1"/>
      <c r="H52" s="1"/>
      <c r="I52" s="1"/>
      <c r="J52" s="1"/>
      <c r="K52" s="1"/>
    </row>
    <row r="53" spans="2:11" ht="35.25" customHeight="1" x14ac:dyDescent="0.3">
      <c r="B53" s="1"/>
      <c r="C53" s="23" t="s">
        <v>45</v>
      </c>
      <c r="D53" s="212">
        <f>IF((E40+E42+E43+E44+E45+E46)&lt;=(E10*2),(E13/30)*F40,0)</f>
        <v>249094.99999999997</v>
      </c>
      <c r="E53" s="213"/>
      <c r="F53" s="167"/>
      <c r="G53" s="1"/>
      <c r="H53" s="1"/>
      <c r="I53" s="1"/>
      <c r="J53" s="1"/>
      <c r="K53" s="1"/>
    </row>
    <row r="54" spans="2:11" ht="35.25" customHeight="1" thickBot="1" x14ac:dyDescent="0.35">
      <c r="B54" s="1"/>
      <c r="C54" s="24" t="s">
        <v>46</v>
      </c>
      <c r="D54" s="214">
        <v>190000</v>
      </c>
      <c r="E54" s="215"/>
      <c r="F54" s="168"/>
      <c r="G54" s="1"/>
      <c r="H54" s="1"/>
      <c r="I54" s="1"/>
      <c r="J54" s="1"/>
      <c r="K54" s="1"/>
    </row>
    <row r="55" spans="2:11" ht="36.75" customHeight="1" thickBot="1" x14ac:dyDescent="0.35">
      <c r="B55" s="1"/>
      <c r="C55" s="1"/>
      <c r="D55" s="1"/>
      <c r="E55" s="6"/>
      <c r="F55" s="1"/>
      <c r="G55" s="1"/>
      <c r="H55" s="85"/>
      <c r="I55" s="1"/>
      <c r="J55" s="1"/>
      <c r="K55" s="1"/>
    </row>
    <row r="56" spans="2:11" ht="35.25" customHeight="1" thickBot="1" x14ac:dyDescent="0.35">
      <c r="B56" s="1"/>
      <c r="C56" s="169" t="s">
        <v>40</v>
      </c>
      <c r="D56" s="170"/>
      <c r="E56" s="170"/>
      <c r="F56" s="171"/>
      <c r="G56" s="1"/>
      <c r="H56" s="1"/>
      <c r="I56" s="85"/>
      <c r="J56" s="1"/>
      <c r="K56" s="1"/>
    </row>
    <row r="57" spans="2:11" ht="35.25" customHeight="1" x14ac:dyDescent="0.3">
      <c r="B57" s="1"/>
      <c r="C57" s="208" t="s">
        <v>65</v>
      </c>
      <c r="D57" s="209"/>
      <c r="E57" s="209"/>
      <c r="F57" s="78">
        <f>+SUM(E40:E46)</f>
        <v>3476000</v>
      </c>
      <c r="G57" s="1"/>
      <c r="H57" s="1"/>
      <c r="I57" s="1"/>
      <c r="J57" s="1"/>
      <c r="K57" s="1"/>
    </row>
    <row r="58" spans="2:11" ht="35.25" customHeight="1" x14ac:dyDescent="0.3">
      <c r="B58" s="1"/>
      <c r="C58" s="180" t="s">
        <v>66</v>
      </c>
      <c r="D58" s="181"/>
      <c r="E58" s="181"/>
      <c r="F58" s="84">
        <f>+SUM(D50:E54)</f>
        <v>3189095</v>
      </c>
      <c r="G58" s="85"/>
      <c r="H58" s="85"/>
      <c r="I58" s="1"/>
      <c r="J58" s="1"/>
      <c r="K58" s="1"/>
    </row>
    <row r="59" spans="2:11" ht="35.25" customHeight="1" x14ac:dyDescent="0.3">
      <c r="B59" s="1"/>
      <c r="C59" s="180" t="s">
        <v>126</v>
      </c>
      <c r="D59" s="181"/>
      <c r="E59" s="181"/>
      <c r="F59" s="44">
        <f>IF(F58&gt;((F57+F58)*40%),F58-((F57+F58)*40%),0)</f>
        <v>523057</v>
      </c>
      <c r="G59" s="1"/>
      <c r="H59" s="1"/>
      <c r="I59" s="1"/>
      <c r="J59" s="1"/>
      <c r="K59" s="1"/>
    </row>
    <row r="60" spans="2:11" ht="35.25" customHeight="1" thickBot="1" x14ac:dyDescent="0.35">
      <c r="B60" s="1"/>
      <c r="C60" s="210" t="s">
        <v>40</v>
      </c>
      <c r="D60" s="211"/>
      <c r="E60" s="211"/>
      <c r="F60" s="86">
        <f>F57+F59</f>
        <v>3999057</v>
      </c>
      <c r="G60" s="1"/>
      <c r="H60" s="1"/>
      <c r="I60" s="1"/>
      <c r="J60" s="1"/>
      <c r="K60" s="1"/>
    </row>
    <row r="61" spans="2:11" x14ac:dyDescent="0.3">
      <c r="B61" s="1"/>
      <c r="C61" s="1"/>
      <c r="D61" s="1"/>
      <c r="E61" s="1"/>
      <c r="F61" s="1"/>
      <c r="G61" s="1"/>
      <c r="H61" s="1"/>
      <c r="I61" s="1"/>
      <c r="J61" s="1"/>
      <c r="K61" s="1"/>
    </row>
    <row r="62" spans="2:11" ht="16.2" thickBot="1" x14ac:dyDescent="0.35">
      <c r="B62" s="1"/>
      <c r="C62" s="1"/>
      <c r="D62" s="1"/>
      <c r="E62" s="1"/>
      <c r="F62" s="1"/>
      <c r="G62" s="1"/>
      <c r="H62" s="1"/>
      <c r="I62" s="1"/>
      <c r="J62" s="1"/>
      <c r="K62" s="1"/>
    </row>
    <row r="63" spans="2:11" ht="36.75" customHeight="1" thickBot="1" x14ac:dyDescent="0.35">
      <c r="B63" s="1"/>
      <c r="C63" s="151" t="s">
        <v>49</v>
      </c>
      <c r="D63" s="152"/>
      <c r="E63" s="152"/>
      <c r="F63" s="153"/>
      <c r="G63" s="1"/>
      <c r="H63" s="1"/>
      <c r="I63" s="1"/>
      <c r="J63" s="1"/>
      <c r="K63" s="1"/>
    </row>
    <row r="64" spans="2:11" ht="36.75" customHeight="1" x14ac:dyDescent="0.3">
      <c r="B64" s="1"/>
      <c r="C64" s="161" t="str">
        <f>+C39</f>
        <v>Concepto</v>
      </c>
      <c r="D64" s="156" t="str">
        <f>+D39</f>
        <v>Base de liquidación</v>
      </c>
      <c r="E64" s="164" t="s">
        <v>104</v>
      </c>
      <c r="F64" s="164" t="str">
        <f>+F39</f>
        <v>Días a liquidar</v>
      </c>
      <c r="G64" s="1"/>
      <c r="H64" s="1"/>
      <c r="I64" s="1"/>
      <c r="J64" s="1"/>
      <c r="K64" s="1"/>
    </row>
    <row r="65" spans="2:11" ht="36.75" customHeight="1" thickBot="1" x14ac:dyDescent="0.35">
      <c r="B65" s="1"/>
      <c r="C65" s="162"/>
      <c r="D65" s="163"/>
      <c r="E65" s="165"/>
      <c r="F65" s="165"/>
      <c r="G65" s="1"/>
      <c r="H65" s="1"/>
      <c r="I65" s="1"/>
      <c r="J65" s="1"/>
      <c r="K65" s="1"/>
    </row>
    <row r="66" spans="2:11" ht="36.75" customHeight="1" x14ac:dyDescent="0.3">
      <c r="B66" s="1"/>
      <c r="C66" s="95" t="s">
        <v>50</v>
      </c>
      <c r="D66" s="36">
        <f>F60</f>
        <v>3999057</v>
      </c>
      <c r="E66" s="37">
        <f>D66*4%</f>
        <v>159962.28</v>
      </c>
      <c r="F66" s="158">
        <f>+E14</f>
        <v>30</v>
      </c>
      <c r="G66" s="1"/>
      <c r="H66" s="1"/>
      <c r="I66" s="1"/>
      <c r="J66" s="1"/>
      <c r="K66" s="1"/>
    </row>
    <row r="67" spans="2:11" ht="36.75" customHeight="1" x14ac:dyDescent="0.3">
      <c r="B67" s="1"/>
      <c r="C67" s="95" t="s">
        <v>51</v>
      </c>
      <c r="D67" s="38">
        <f>F60</f>
        <v>3999057</v>
      </c>
      <c r="E67" s="39">
        <f>D67*4%</f>
        <v>159962.28</v>
      </c>
      <c r="F67" s="159"/>
      <c r="G67" s="1"/>
      <c r="H67" s="1"/>
      <c r="I67" s="1"/>
      <c r="J67" s="1"/>
      <c r="K67" s="1"/>
    </row>
    <row r="68" spans="2:11" ht="36.75" customHeight="1" x14ac:dyDescent="0.3">
      <c r="B68" s="1"/>
      <c r="C68" s="149" t="s">
        <v>150</v>
      </c>
      <c r="D68" s="101" t="s">
        <v>127</v>
      </c>
      <c r="E68" s="114" t="s">
        <v>137</v>
      </c>
      <c r="F68" s="159"/>
      <c r="G68" s="1"/>
      <c r="H68" s="1"/>
      <c r="I68" s="1"/>
      <c r="J68" s="1"/>
      <c r="K68" s="1"/>
    </row>
    <row r="69" spans="2:11" ht="36.75" customHeight="1" x14ac:dyDescent="0.3">
      <c r="B69" s="1"/>
      <c r="C69" s="150"/>
      <c r="D69" s="38">
        <f>F60</f>
        <v>3999057</v>
      </c>
      <c r="E69" s="39">
        <f>+IF(E68='FSP Empleado'!B19,'FSP Empleado'!E17,'FSP Empleado'!J16)</f>
        <v>0</v>
      </c>
      <c r="F69" s="159"/>
      <c r="G69" s="1"/>
      <c r="H69" s="1"/>
      <c r="I69" s="1"/>
      <c r="J69" s="1"/>
      <c r="K69" s="1"/>
    </row>
    <row r="70" spans="2:11" ht="36.75" customHeight="1" x14ac:dyDescent="0.3">
      <c r="B70" s="1"/>
      <c r="C70" s="9" t="s">
        <v>52</v>
      </c>
      <c r="D70" s="40">
        <v>55000</v>
      </c>
      <c r="E70" s="41">
        <f>D70</f>
        <v>55000</v>
      </c>
      <c r="F70" s="159"/>
      <c r="G70" s="1"/>
      <c r="H70" s="1"/>
      <c r="I70" s="1"/>
      <c r="J70" s="1"/>
      <c r="K70" s="1"/>
    </row>
    <row r="71" spans="2:11" ht="36.75" customHeight="1" thickBot="1" x14ac:dyDescent="0.35">
      <c r="B71" s="1"/>
      <c r="C71" s="10" t="s">
        <v>80</v>
      </c>
      <c r="D71" s="42">
        <v>250000</v>
      </c>
      <c r="E71" s="43">
        <f>D71</f>
        <v>250000</v>
      </c>
      <c r="F71" s="160"/>
      <c r="G71" s="1"/>
      <c r="H71" s="1"/>
      <c r="I71" s="1"/>
      <c r="J71" s="1"/>
      <c r="K71" s="1"/>
    </row>
    <row r="74" spans="2:11" ht="37.5" customHeight="1" x14ac:dyDescent="0.3"/>
    <row r="75" spans="2:11" ht="37.5" customHeight="1" x14ac:dyDescent="0.3"/>
    <row r="76" spans="2:11" ht="37.5" customHeight="1" x14ac:dyDescent="0.3"/>
    <row r="77" spans="2:11" ht="37.5" customHeight="1" x14ac:dyDescent="0.3"/>
    <row r="78" spans="2:11" ht="37.5" customHeight="1" x14ac:dyDescent="0.3"/>
    <row r="79" spans="2:11" ht="37.5" customHeight="1" x14ac:dyDescent="0.3"/>
    <row r="80" spans="2:11" ht="37.5" customHeight="1" x14ac:dyDescent="0.3"/>
    <row r="81" ht="37.5" customHeight="1" x14ac:dyDescent="0.3"/>
  </sheetData>
  <mergeCells count="48">
    <mergeCell ref="C60:E60"/>
    <mergeCell ref="C59:E59"/>
    <mergeCell ref="D52:E52"/>
    <mergeCell ref="D53:E53"/>
    <mergeCell ref="D54:E54"/>
    <mergeCell ref="D49:E49"/>
    <mergeCell ref="D50:E50"/>
    <mergeCell ref="D51:E51"/>
    <mergeCell ref="C57:E57"/>
    <mergeCell ref="C58:E58"/>
    <mergeCell ref="B3:K3"/>
    <mergeCell ref="B5:E5"/>
    <mergeCell ref="C14:D15"/>
    <mergeCell ref="E14:E15"/>
    <mergeCell ref="C20:E21"/>
    <mergeCell ref="C8:E9"/>
    <mergeCell ref="C18:D18"/>
    <mergeCell ref="C16:D16"/>
    <mergeCell ref="C17:D17"/>
    <mergeCell ref="B7:K7"/>
    <mergeCell ref="C10:D10"/>
    <mergeCell ref="C12:D12"/>
    <mergeCell ref="C11:D11"/>
    <mergeCell ref="C13:D13"/>
    <mergeCell ref="C22:D22"/>
    <mergeCell ref="G25:H25"/>
    <mergeCell ref="F29:F30"/>
    <mergeCell ref="C24:D24"/>
    <mergeCell ref="C26:D26"/>
    <mergeCell ref="C23:D23"/>
    <mergeCell ref="D29:D30"/>
    <mergeCell ref="C25:D25"/>
    <mergeCell ref="C68:C69"/>
    <mergeCell ref="C35:F35"/>
    <mergeCell ref="E29:E30"/>
    <mergeCell ref="C29:C30"/>
    <mergeCell ref="C28:F28"/>
    <mergeCell ref="F66:F71"/>
    <mergeCell ref="C63:F63"/>
    <mergeCell ref="C64:C65"/>
    <mergeCell ref="D64:D65"/>
    <mergeCell ref="E64:E65"/>
    <mergeCell ref="F64:F65"/>
    <mergeCell ref="C38:F38"/>
    <mergeCell ref="F50:F54"/>
    <mergeCell ref="C48:F48"/>
    <mergeCell ref="F40:F46"/>
    <mergeCell ref="C56:F56"/>
  </mergeCells>
  <hyperlinks>
    <hyperlink ref="C10:D10" r:id="rId1" display="smmlv 2023:" xr:uid="{41B0F8AA-8A80-4E41-A0A6-44DB368679F5}"/>
    <hyperlink ref="C13:D13" r:id="rId2" display="Auxilio de transporte (2023), para fines de liquidar prestaciones sociales:" xr:uid="{825CA6C4-2A1E-42B2-9F76-74D9A62F9D7C}"/>
    <hyperlink ref="C60:E60" r:id="rId3" display="IBC" xr:uid="{5A0E13FC-701E-4D6D-B877-AA80143AA5ED}"/>
    <hyperlink ref="C68" r:id="rId4" display="Aportes fondo de solidaridad" xr:uid="{7B6803AA-941D-40DF-863C-FFC5F298BC5E}"/>
    <hyperlink ref="C67" r:id="rId5" xr:uid="{2FA65508-E230-4E57-96B0-B43416C6B515}"/>
    <hyperlink ref="C66" r:id="rId6" xr:uid="{786AE303-37E1-4DDF-A2B0-FDCCAAD9540B}"/>
    <hyperlink ref="C18:D18" r:id="rId7" location="114-1" display="¿El empleador está exonerado del pago de Sena, ICBF y sistema de seguridad en salud conforme a lo expuesto en el artículo 114-1 del ET?" xr:uid="{4CDC75B2-18F7-4B23-AC3A-34A3EA1255D5}"/>
  </hyperlinks>
  <pageMargins left="0.7" right="0.7" top="0.75" bottom="0.75" header="0.3" footer="0.3"/>
  <pageSetup orientation="portrait" r:id="rId8"/>
  <drawing r:id="rId9"/>
  <legacyDrawing r:id="rId10"/>
  <extLst>
    <ext xmlns:x14="http://schemas.microsoft.com/office/spreadsheetml/2009/9/main" uri="{CCE6A557-97BC-4b89-ADB6-D9C93CAAB3DF}">
      <x14:dataValidations xmlns:xm="http://schemas.microsoft.com/office/excel/2006/main" count="3">
        <x14:dataValidation type="list" allowBlank="1" showInputMessage="1" showErrorMessage="1" xr:uid="{E93D15D6-0F31-4A13-BE56-CD6D6787B920}">
          <x14:formula1>
            <xm:f>'Datos - lista '!$A$1:$A$2</xm:f>
          </x14:formula1>
          <xm:sqref>E16 E18</xm:sqref>
        </x14:dataValidation>
        <x14:dataValidation type="list" allowBlank="1" showInputMessage="1" showErrorMessage="1" xr:uid="{01C59798-4D17-42CE-81A9-3996903ECE8D}">
          <x14:formula1>
            <xm:f>'Datos - lista '!$A$4:$A$6</xm:f>
          </x14:formula1>
          <xm:sqref>E17</xm:sqref>
        </x14:dataValidation>
        <x14:dataValidation type="list" allowBlank="1" showInputMessage="1" showErrorMessage="1" xr:uid="{4516319C-82D1-41F0-957B-4DBB1B72CE82}">
          <x14:formula1>
            <xm:f>'FSP Empleado'!$B$19:$B$20</xm:f>
          </x14:formula1>
          <xm:sqref>E68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85B4A-3BB0-40FD-96D8-5DBF1FB01052}">
  <sheetPr codeName="Hoja6"/>
  <dimension ref="B1:O24"/>
  <sheetViews>
    <sheetView workbookViewId="0">
      <selection activeCell="B3" sqref="B3:G3"/>
    </sheetView>
  </sheetViews>
  <sheetFormatPr baseColWidth="10" defaultColWidth="11" defaultRowHeight="15.6" x14ac:dyDescent="0.3"/>
  <cols>
    <col min="1" max="1" width="11" style="2"/>
    <col min="2" max="2" width="16.5" style="2" customWidth="1"/>
    <col min="3" max="3" width="14.19921875" style="2" customWidth="1"/>
    <col min="4" max="4" width="16.09765625" style="2" customWidth="1"/>
    <col min="5" max="5" width="15" style="2" customWidth="1"/>
    <col min="6" max="6" width="16.69921875" style="2" customWidth="1"/>
    <col min="7" max="7" width="12.5" style="2" customWidth="1"/>
    <col min="8" max="16384" width="11" style="2"/>
  </cols>
  <sheetData>
    <row r="1" spans="2:11" s="1" customFormat="1" ht="15" x14ac:dyDescent="0.25"/>
    <row r="2" spans="2:11" s="1" customFormat="1" ht="9.75" customHeight="1" x14ac:dyDescent="0.25"/>
    <row r="3" spans="2:11" s="1" customFormat="1" ht="41.25" customHeight="1" x14ac:dyDescent="0.25">
      <c r="B3" s="220" t="s">
        <v>69</v>
      </c>
      <c r="C3" s="220"/>
      <c r="D3" s="220"/>
      <c r="E3" s="220"/>
      <c r="F3" s="220"/>
      <c r="G3" s="220"/>
      <c r="H3" s="116"/>
      <c r="I3" s="116"/>
      <c r="J3" s="116"/>
      <c r="K3" s="116"/>
    </row>
    <row r="4" spans="2:11" s="1" customFormat="1" ht="18" customHeight="1" x14ac:dyDescent="0.25">
      <c r="B4" s="96"/>
      <c r="C4" s="96"/>
      <c r="D4" s="96"/>
      <c r="E4" s="96"/>
      <c r="F4" s="96"/>
      <c r="G4" s="96"/>
      <c r="H4" s="96"/>
      <c r="I4" s="96"/>
      <c r="J4" s="96"/>
      <c r="K4" s="96"/>
    </row>
    <row r="5" spans="2:11" s="1" customFormat="1" ht="18" customHeight="1" x14ac:dyDescent="0.25">
      <c r="B5" s="182" t="str">
        <f>'Liquidación al terminar contrat'!B5</f>
        <v>(Fecha de actualización: abril 16 de 2026)</v>
      </c>
      <c r="C5" s="182"/>
      <c r="D5" s="182"/>
      <c r="E5" s="182"/>
    </row>
    <row r="6" spans="2:11" s="1" customFormat="1" ht="18" customHeight="1" x14ac:dyDescent="0.25">
      <c r="B6" s="97"/>
      <c r="C6" s="97"/>
      <c r="D6" s="97"/>
      <c r="E6" s="97"/>
    </row>
    <row r="7" spans="2:11" s="1" customFormat="1" ht="42.75" customHeight="1" x14ac:dyDescent="0.25">
      <c r="B7" s="221" t="s">
        <v>140</v>
      </c>
      <c r="C7" s="221"/>
      <c r="D7" s="221"/>
      <c r="E7" s="221"/>
      <c r="F7" s="221"/>
      <c r="G7" s="221"/>
      <c r="H7" s="67"/>
      <c r="I7" s="67"/>
      <c r="J7" s="67"/>
      <c r="K7" s="67"/>
    </row>
    <row r="9" spans="2:11" ht="36" customHeight="1" x14ac:dyDescent="0.3">
      <c r="B9" s="219" t="s">
        <v>92</v>
      </c>
      <c r="C9" s="219"/>
      <c r="D9" s="219"/>
      <c r="E9" s="219"/>
      <c r="F9" s="219"/>
      <c r="G9" s="219"/>
    </row>
    <row r="10" spans="2:11" ht="24" customHeight="1" x14ac:dyDescent="0.3">
      <c r="B10" s="217" t="s">
        <v>0</v>
      </c>
      <c r="C10" s="217" t="s">
        <v>40</v>
      </c>
      <c r="D10" s="217" t="s">
        <v>61</v>
      </c>
      <c r="E10" s="217" t="s">
        <v>29</v>
      </c>
      <c r="F10" s="217" t="s">
        <v>93</v>
      </c>
      <c r="G10" s="217" t="s">
        <v>7</v>
      </c>
    </row>
    <row r="11" spans="2:11" ht="24" customHeight="1" x14ac:dyDescent="0.3">
      <c r="B11" s="217"/>
      <c r="C11" s="217"/>
      <c r="D11" s="217"/>
      <c r="E11" s="217"/>
      <c r="F11" s="217"/>
      <c r="G11" s="217"/>
    </row>
    <row r="12" spans="2:11" ht="21.75" customHeight="1" x14ac:dyDescent="0.3">
      <c r="B12" s="122" t="s">
        <v>50</v>
      </c>
      <c r="C12" s="8">
        <f>'Liquidación al terminar contrat'!F60</f>
        <v>3999057</v>
      </c>
      <c r="D12" s="8" t="s">
        <v>62</v>
      </c>
      <c r="E12" s="46">
        <v>8.5000000000000006E-2</v>
      </c>
      <c r="F12" s="39">
        <f>IF('Liquidación al terminar contrat'!E18="Sí",0,C12*E12)</f>
        <v>339919.84500000003</v>
      </c>
      <c r="G12" s="218">
        <f>'Liquidación al terminar contrat'!$E$14</f>
        <v>30</v>
      </c>
    </row>
    <row r="13" spans="2:11" ht="21.75" customHeight="1" x14ac:dyDescent="0.3">
      <c r="B13" s="122" t="s">
        <v>51</v>
      </c>
      <c r="C13" s="8">
        <f>'Liquidación al terminar contrat'!F60</f>
        <v>3999057</v>
      </c>
      <c r="D13" s="8" t="s">
        <v>62</v>
      </c>
      <c r="E13" s="46">
        <v>0.12</v>
      </c>
      <c r="F13" s="39">
        <f>C13*E13</f>
        <v>479886.83999999997</v>
      </c>
      <c r="G13" s="218"/>
    </row>
    <row r="14" spans="2:11" ht="21.75" customHeight="1" x14ac:dyDescent="0.3">
      <c r="B14" s="122" t="s">
        <v>106</v>
      </c>
      <c r="C14" s="8">
        <f>'Liquidación al terminar contrat'!F60</f>
        <v>3999057</v>
      </c>
      <c r="D14" s="123" t="s">
        <v>55</v>
      </c>
      <c r="E14" s="124">
        <f>IF(D14="Riesgo I",'Datos - lista '!B9,IF(D14="Riesgo II",'Datos - lista '!B10,IF(D14="Riesgo III",'Datos - lista '!B11,IF(D14="Riesgo IV",'Datos - lista '!B12,IF(D14="Riesgo V",'Datos - lista '!B13,0%)))))</f>
        <v>5.2199999999999998E-3</v>
      </c>
      <c r="F14" s="39">
        <f>C14*E14</f>
        <v>20875.077539999998</v>
      </c>
      <c r="G14" s="218"/>
    </row>
    <row r="15" spans="2:11" ht="36" customHeight="1" x14ac:dyDescent="0.3">
      <c r="G15" s="118"/>
    </row>
    <row r="16" spans="2:11" ht="64.5" customHeight="1" x14ac:dyDescent="0.3">
      <c r="B16" s="216" t="s">
        <v>138</v>
      </c>
      <c r="C16" s="216"/>
      <c r="D16" s="216"/>
      <c r="E16" s="216"/>
      <c r="F16" s="216"/>
      <c r="G16" s="216"/>
      <c r="H16" s="117"/>
      <c r="I16" s="117"/>
      <c r="J16" s="117"/>
      <c r="K16" s="117"/>
    </row>
    <row r="17" spans="2:15" ht="36.75" customHeight="1" x14ac:dyDescent="0.3">
      <c r="B17" s="219" t="s">
        <v>94</v>
      </c>
      <c r="C17" s="219"/>
      <c r="D17" s="219"/>
      <c r="E17" s="219"/>
      <c r="F17" s="219"/>
      <c r="M17" s="4"/>
    </row>
    <row r="18" spans="2:15" ht="27.75" customHeight="1" x14ac:dyDescent="0.3">
      <c r="B18" s="217" t="str">
        <f>+B10</f>
        <v>Concepto</v>
      </c>
      <c r="C18" s="217" t="str">
        <f>+C10</f>
        <v>IBC</v>
      </c>
      <c r="D18" s="217" t="str">
        <f>+E10</f>
        <v>Porcentaje</v>
      </c>
      <c r="E18" s="217" t="str">
        <f t="shared" ref="E18:F18" si="0">+F10</f>
        <v>Liquidación de valores a pagar</v>
      </c>
      <c r="F18" s="217" t="str">
        <f t="shared" si="0"/>
        <v>Días liquidados</v>
      </c>
      <c r="M18" s="4"/>
    </row>
    <row r="19" spans="2:15" ht="37.5" customHeight="1" x14ac:dyDescent="0.3">
      <c r="B19" s="217"/>
      <c r="C19" s="217"/>
      <c r="D19" s="217"/>
      <c r="E19" s="217"/>
      <c r="F19" s="217"/>
      <c r="M19" s="4"/>
    </row>
    <row r="20" spans="2:15" ht="26.25" customHeight="1" x14ac:dyDescent="0.3">
      <c r="B20" s="119" t="s">
        <v>53</v>
      </c>
      <c r="C20" s="8">
        <f>'Liquidación al terminar contrat'!F60</f>
        <v>3999057</v>
      </c>
      <c r="D20" s="47">
        <v>0.02</v>
      </c>
      <c r="E20" s="39">
        <f>IF('Liquidación al terminar contrat'!E18="Sí",0,C20*D20)</f>
        <v>79981.14</v>
      </c>
      <c r="F20" s="218">
        <f>'Liquidación al terminar contrat'!$E$14</f>
        <v>30</v>
      </c>
      <c r="M20" s="4"/>
    </row>
    <row r="21" spans="2:15" ht="26.25" customHeight="1" x14ac:dyDescent="0.3">
      <c r="B21" s="119" t="s">
        <v>54</v>
      </c>
      <c r="C21" s="8">
        <f>'Liquidación al terminar contrat'!F60</f>
        <v>3999057</v>
      </c>
      <c r="D21" s="47">
        <v>0.03</v>
      </c>
      <c r="E21" s="39">
        <f>IF('Liquidación al terminar contrat'!E18="Sí",0,C21*D21)</f>
        <v>119971.70999999999</v>
      </c>
      <c r="F21" s="218"/>
      <c r="M21" s="4"/>
    </row>
    <row r="22" spans="2:15" ht="32.25" customHeight="1" x14ac:dyDescent="0.3">
      <c r="B22" s="119" t="s">
        <v>60</v>
      </c>
      <c r="C22" s="120">
        <f>'Liquidación al terminar contrat'!F60</f>
        <v>3999057</v>
      </c>
      <c r="D22" s="121">
        <v>0.04</v>
      </c>
      <c r="E22" s="41">
        <f>C22*D22</f>
        <v>159962.28</v>
      </c>
      <c r="F22" s="218"/>
      <c r="G22" s="4"/>
    </row>
    <row r="24" spans="2:15" ht="87.75" customHeight="1" x14ac:dyDescent="0.3">
      <c r="B24" s="216" t="s">
        <v>107</v>
      </c>
      <c r="C24" s="216"/>
      <c r="D24" s="216"/>
      <c r="E24" s="216"/>
      <c r="F24" s="216"/>
      <c r="G24" s="216"/>
      <c r="H24" s="216"/>
      <c r="I24" s="216"/>
      <c r="J24" s="216"/>
      <c r="K24" s="216"/>
      <c r="L24" s="77"/>
      <c r="M24" s="77"/>
      <c r="N24" s="77"/>
      <c r="O24" s="77"/>
    </row>
  </sheetData>
  <mergeCells count="20">
    <mergeCell ref="B17:F17"/>
    <mergeCell ref="G12:G14"/>
    <mergeCell ref="B10:B11"/>
    <mergeCell ref="C10:C11"/>
    <mergeCell ref="F10:F11"/>
    <mergeCell ref="G10:G11"/>
    <mergeCell ref="B16:G16"/>
    <mergeCell ref="B5:E5"/>
    <mergeCell ref="B9:G9"/>
    <mergeCell ref="D10:D11"/>
    <mergeCell ref="E10:E11"/>
    <mergeCell ref="B3:G3"/>
    <mergeCell ref="B7:G7"/>
    <mergeCell ref="B24:K24"/>
    <mergeCell ref="B18:B19"/>
    <mergeCell ref="C18:C19"/>
    <mergeCell ref="E18:E19"/>
    <mergeCell ref="F18:F19"/>
    <mergeCell ref="F20:F22"/>
    <mergeCell ref="D18:D19"/>
  </mergeCells>
  <hyperlinks>
    <hyperlink ref="B24:J24" r:id="rId1" location="114-1" display="Nota: el artículo 114-1 del ET " xr:uid="{B29867F9-89A1-4B18-8960-6D0579B799C4}"/>
    <hyperlink ref="B20" r:id="rId2" xr:uid="{67BE5E62-4A1E-4ACE-A182-EE529A155A7F}"/>
    <hyperlink ref="B21" r:id="rId3" xr:uid="{3CF8093D-4498-4DCE-AEAC-FA8A183672CE}"/>
    <hyperlink ref="B22" r:id="rId4" xr:uid="{33E5D241-5B9E-477D-BCF7-435303133066}"/>
  </hyperlinks>
  <pageMargins left="0.7" right="0.7" top="0.75" bottom="0.75" header="0.3" footer="0.3"/>
  <drawing r:id="rId5"/>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3ED1BEB-4573-463D-9F44-4F64A7FF7D5F}">
          <x14:formula1>
            <xm:f>'Datos - lista '!$A$9:$A$13</xm:f>
          </x14:formula1>
          <xm:sqref>D14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2666A-67DB-47BD-B14B-9BE4A887C59C}">
  <sheetPr codeName="Hoja7"/>
  <dimension ref="B1:K39"/>
  <sheetViews>
    <sheetView workbookViewId="0">
      <selection activeCell="B3" sqref="B3:C3"/>
    </sheetView>
  </sheetViews>
  <sheetFormatPr baseColWidth="10" defaultColWidth="11" defaultRowHeight="15.6" x14ac:dyDescent="0.3"/>
  <cols>
    <col min="1" max="1" width="11" style="2"/>
    <col min="2" max="2" width="62.19921875" style="2" customWidth="1"/>
    <col min="3" max="3" width="34" style="2" customWidth="1"/>
    <col min="4" max="10" width="4.09765625" style="2" customWidth="1"/>
    <col min="11" max="11" width="25.796875" style="2" customWidth="1"/>
    <col min="12" max="16384" width="11" style="2"/>
  </cols>
  <sheetData>
    <row r="1" spans="2:11" s="1" customFormat="1" ht="15" x14ac:dyDescent="0.25"/>
    <row r="2" spans="2:11" s="1" customFormat="1" ht="9.75" customHeight="1" x14ac:dyDescent="0.25"/>
    <row r="3" spans="2:11" s="1" customFormat="1" ht="36" customHeight="1" x14ac:dyDescent="0.25">
      <c r="B3" s="220" t="s">
        <v>71</v>
      </c>
      <c r="C3" s="220"/>
      <c r="D3" s="116"/>
      <c r="E3" s="116"/>
      <c r="F3" s="116"/>
      <c r="G3" s="116"/>
      <c r="H3" s="116"/>
      <c r="I3" s="116"/>
      <c r="J3" s="116"/>
      <c r="K3" s="116"/>
    </row>
    <row r="4" spans="2:11" s="1" customFormat="1" ht="19.5" customHeight="1" x14ac:dyDescent="0.25">
      <c r="B4" s="96"/>
      <c r="C4" s="96"/>
      <c r="D4" s="96"/>
      <c r="E4" s="96"/>
      <c r="F4" s="96"/>
      <c r="G4" s="96"/>
      <c r="H4" s="96"/>
      <c r="I4" s="96"/>
      <c r="J4" s="96"/>
      <c r="K4" s="96"/>
    </row>
    <row r="5" spans="2:11" s="1" customFormat="1" ht="19.5" customHeight="1" x14ac:dyDescent="0.25">
      <c r="B5" s="182" t="str">
        <f>Introducción!B5</f>
        <v>(Fecha de actualización: abril 16 de 2026)</v>
      </c>
      <c r="C5" s="182"/>
      <c r="D5" s="182"/>
      <c r="E5" s="182"/>
    </row>
    <row r="6" spans="2:11" s="1" customFormat="1" ht="19.5" customHeight="1" x14ac:dyDescent="0.25">
      <c r="B6" s="97"/>
      <c r="C6" s="97"/>
      <c r="D6" s="97"/>
      <c r="E6" s="97"/>
    </row>
    <row r="7" spans="2:11" s="1" customFormat="1" ht="33" customHeight="1" x14ac:dyDescent="0.25">
      <c r="B7" s="221" t="s">
        <v>95</v>
      </c>
      <c r="C7" s="221"/>
      <c r="D7" s="67"/>
      <c r="E7" s="67"/>
      <c r="F7" s="67"/>
      <c r="G7" s="67"/>
      <c r="H7" s="67"/>
      <c r="I7" s="67"/>
      <c r="J7" s="67"/>
      <c r="K7" s="67"/>
    </row>
    <row r="9" spans="2:11" ht="39" customHeight="1" x14ac:dyDescent="0.3">
      <c r="B9" s="222" t="s">
        <v>25</v>
      </c>
      <c r="C9" s="222"/>
    </row>
    <row r="10" spans="2:11" ht="22.5" customHeight="1" x14ac:dyDescent="0.3">
      <c r="B10" s="125" t="s">
        <v>82</v>
      </c>
      <c r="C10" s="126">
        <f>IF('Liquidación al terminar contrat'!E17="Indefinido",'Liquidación al terminar contrat'!E10,0)</f>
        <v>1750905</v>
      </c>
    </row>
    <row r="11" spans="2:11" ht="22.5" customHeight="1" x14ac:dyDescent="0.3">
      <c r="B11" s="127" t="s">
        <v>90</v>
      </c>
      <c r="C11" s="126">
        <f>IF('Liquidación al terminar contrat'!E17="Indefinido",'Liquidación al terminar contrat'!E11,0)</f>
        <v>2848000</v>
      </c>
    </row>
    <row r="12" spans="2:11" ht="22.5" customHeight="1" x14ac:dyDescent="0.3">
      <c r="B12" s="128" t="s">
        <v>16</v>
      </c>
      <c r="C12" s="129" t="str">
        <f>IFERROR(IF(C11&gt;C10*10,"Sí","No"),"")</f>
        <v>No</v>
      </c>
    </row>
    <row r="13" spans="2:11" ht="22.5" customHeight="1" x14ac:dyDescent="0.3">
      <c r="B13" s="128" t="s">
        <v>17</v>
      </c>
      <c r="C13" s="130">
        <f>IFERROR(C11/30,0)</f>
        <v>94933.333333333328</v>
      </c>
    </row>
    <row r="14" spans="2:11" ht="22.5" customHeight="1" x14ac:dyDescent="0.3">
      <c r="B14" s="127" t="s">
        <v>18</v>
      </c>
      <c r="C14" s="131">
        <f>IF('Liquidación al terminar contrat'!E17="Indefinido",'Liquidación al terminar contrat'!E26,"")</f>
        <v>45307</v>
      </c>
    </row>
    <row r="15" spans="2:11" ht="22.5" customHeight="1" x14ac:dyDescent="0.3">
      <c r="B15" s="127" t="s">
        <v>19</v>
      </c>
      <c r="C15" s="131">
        <f>IF('Liquidación al terminar contrat'!E17="Indefinido",'Liquidación al terminar contrat'!E25,"")</f>
        <v>46142</v>
      </c>
    </row>
    <row r="16" spans="2:11" ht="22.5" customHeight="1" x14ac:dyDescent="0.3">
      <c r="B16" s="128" t="s">
        <v>72</v>
      </c>
      <c r="C16" s="132">
        <f>-IFERROR(_xlfn.DAYS(C14,C15),0)+1</f>
        <v>836</v>
      </c>
    </row>
    <row r="17" spans="2:3" ht="22.5" customHeight="1" x14ac:dyDescent="0.3">
      <c r="B17" s="128" t="s">
        <v>20</v>
      </c>
      <c r="C17" s="129">
        <f>IF(C16&lt;365,0,C16-365)</f>
        <v>471</v>
      </c>
    </row>
    <row r="18" spans="2:3" ht="22.5" customHeight="1" x14ac:dyDescent="0.3">
      <c r="B18" s="128" t="s">
        <v>81</v>
      </c>
      <c r="C18" s="130">
        <f>IF(AND(C12="No",C16&gt;0),(30*C13),IF(AND(C12="Sí",C16&gt;0),(20*C13)))</f>
        <v>2848000</v>
      </c>
    </row>
    <row r="19" spans="2:3" ht="22.5" customHeight="1" x14ac:dyDescent="0.3">
      <c r="B19" s="128" t="s">
        <v>21</v>
      </c>
      <c r="C19" s="130">
        <f>IF(C12="No",((20*C13)/365)*C17,IF(C12="Sí",((15*C13)/365)*C17))</f>
        <v>2450060.2739726026</v>
      </c>
    </row>
    <row r="20" spans="2:3" ht="22.5" customHeight="1" x14ac:dyDescent="0.3">
      <c r="B20" s="133" t="s">
        <v>108</v>
      </c>
      <c r="C20" s="134">
        <f>C18+C19</f>
        <v>5298060.2739726026</v>
      </c>
    </row>
    <row r="22" spans="2:3" ht="36.75" customHeight="1" x14ac:dyDescent="0.3">
      <c r="B22" s="222" t="s">
        <v>27</v>
      </c>
      <c r="C22" s="222"/>
    </row>
    <row r="23" spans="2:3" ht="26.25" customHeight="1" x14ac:dyDescent="0.3">
      <c r="B23" s="127" t="s">
        <v>90</v>
      </c>
      <c r="C23" s="126">
        <f>IF('Liquidación al terminar contrat'!E17="Fijo",'Liquidación al terminar contrat'!E11,0)</f>
        <v>0</v>
      </c>
    </row>
    <row r="24" spans="2:3" ht="26.25" customHeight="1" x14ac:dyDescent="0.3">
      <c r="B24" s="128" t="s">
        <v>17</v>
      </c>
      <c r="C24" s="130">
        <f>C23/30</f>
        <v>0</v>
      </c>
    </row>
    <row r="25" spans="2:3" ht="26.25" customHeight="1" x14ac:dyDescent="0.3">
      <c r="B25" s="127" t="s">
        <v>23</v>
      </c>
      <c r="C25" s="131" t="str">
        <f>IF('Liquidación al terminar contrat'!E17="Fijo",'Liquidación al terminar contrat'!E25,"")</f>
        <v/>
      </c>
    </row>
    <row r="26" spans="2:3" ht="26.25" customHeight="1" x14ac:dyDescent="0.3">
      <c r="B26" s="127" t="s">
        <v>24</v>
      </c>
      <c r="C26" s="131" t="str">
        <f>IF('Liquidación al terminar contrat'!E17="Fijo",'Liquidación al terminar contrat'!E26,"")</f>
        <v/>
      </c>
    </row>
    <row r="27" spans="2:3" ht="26.25" customHeight="1" x14ac:dyDescent="0.3">
      <c r="B27" s="128" t="s">
        <v>72</v>
      </c>
      <c r="C27" s="132">
        <f>-(IFERROR(_xlfn.DAYS(C25,C26),0))</f>
        <v>0</v>
      </c>
    </row>
    <row r="28" spans="2:3" ht="22.5" customHeight="1" x14ac:dyDescent="0.3">
      <c r="B28" s="133" t="s">
        <v>109</v>
      </c>
      <c r="C28" s="134">
        <f>IF(C27&gt;0,C27*C24,0)</f>
        <v>0</v>
      </c>
    </row>
    <row r="30" spans="2:3" ht="30.75" customHeight="1" x14ac:dyDescent="0.3">
      <c r="B30" s="222" t="s">
        <v>111</v>
      </c>
      <c r="C30" s="222"/>
    </row>
    <row r="31" spans="2:3" ht="22.5" customHeight="1" x14ac:dyDescent="0.3">
      <c r="B31" s="127" t="s">
        <v>90</v>
      </c>
      <c r="C31" s="126">
        <f>IF('Liquidación al terminar contrat'!E17="Obra o labor",'Liquidación al terminar contrat'!E11,0)</f>
        <v>0</v>
      </c>
    </row>
    <row r="32" spans="2:3" ht="22.5" customHeight="1" x14ac:dyDescent="0.3">
      <c r="B32" s="128" t="s">
        <v>17</v>
      </c>
      <c r="C32" s="130">
        <f>C31/30</f>
        <v>0</v>
      </c>
    </row>
    <row r="33" spans="2:10" ht="22.5" customHeight="1" x14ac:dyDescent="0.3">
      <c r="B33" s="128" t="s">
        <v>72</v>
      </c>
      <c r="C33" s="135">
        <v>15</v>
      </c>
    </row>
    <row r="34" spans="2:10" ht="22.5" customHeight="1" x14ac:dyDescent="0.3">
      <c r="B34" s="133" t="s">
        <v>110</v>
      </c>
      <c r="C34" s="134">
        <f>C32*C33</f>
        <v>0</v>
      </c>
    </row>
    <row r="35" spans="2:10" x14ac:dyDescent="0.3">
      <c r="B35" s="51"/>
      <c r="C35"/>
    </row>
    <row r="36" spans="2:10" ht="37.5" customHeight="1" x14ac:dyDescent="0.3">
      <c r="B36" s="136" t="s">
        <v>73</v>
      </c>
      <c r="C36" s="137">
        <f>IF('Liquidación al terminar contrat'!E16="Sí",MAX(Indemnización!C20,Indemnización!C28,Indemnización!C34),0)</f>
        <v>5298060.2739726026</v>
      </c>
    </row>
    <row r="39" spans="2:10" ht="48" customHeight="1" x14ac:dyDescent="0.3">
      <c r="B39" s="144"/>
      <c r="C39" s="144"/>
      <c r="D39" s="144"/>
      <c r="E39" s="144"/>
      <c r="F39" s="144"/>
      <c r="G39" s="144"/>
      <c r="H39" s="144"/>
      <c r="I39" s="144"/>
      <c r="J39" s="144"/>
    </row>
  </sheetData>
  <mergeCells count="7">
    <mergeCell ref="B3:C3"/>
    <mergeCell ref="B7:C7"/>
    <mergeCell ref="B39:J39"/>
    <mergeCell ref="B9:C9"/>
    <mergeCell ref="B22:C22"/>
    <mergeCell ref="B30:C30"/>
    <mergeCell ref="B5:E5"/>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A411-77E0-4E10-AC2A-EC65F64973FD}">
  <sheetPr codeName="Hoja10"/>
  <dimension ref="B3:K46"/>
  <sheetViews>
    <sheetView showGridLines="0" zoomScaleNormal="100" workbookViewId="0">
      <selection activeCell="B3" sqref="B3:F3"/>
    </sheetView>
  </sheetViews>
  <sheetFormatPr baseColWidth="10" defaultColWidth="11" defaultRowHeight="15.6" x14ac:dyDescent="0.3"/>
  <cols>
    <col min="1" max="2" width="11" style="2"/>
    <col min="3" max="3" width="14" style="2" customWidth="1"/>
    <col min="4" max="4" width="41.69921875" style="2" customWidth="1"/>
    <col min="5" max="5" width="20" style="2" customWidth="1"/>
    <col min="6" max="6" width="19.69921875" style="2" customWidth="1"/>
    <col min="7" max="16384" width="11" style="2"/>
  </cols>
  <sheetData>
    <row r="3" spans="2:11" ht="45" customHeight="1" x14ac:dyDescent="0.3">
      <c r="B3" s="220" t="s">
        <v>114</v>
      </c>
      <c r="C3" s="220"/>
      <c r="D3" s="220"/>
      <c r="E3" s="220"/>
      <c r="F3" s="220"/>
      <c r="G3" s="68"/>
      <c r="H3" s="68"/>
      <c r="I3" s="68"/>
      <c r="J3" s="68"/>
      <c r="K3" s="68"/>
    </row>
    <row r="4" spans="2:11" ht="24" customHeight="1" x14ac:dyDescent="0.3">
      <c r="B4" s="223" t="str">
        <f>Introducción!B5</f>
        <v>(Fecha de actualización: abril 16 de 2026)</v>
      </c>
      <c r="C4" s="223"/>
      <c r="D4" s="223"/>
      <c r="E4" s="223"/>
      <c r="F4" s="1"/>
      <c r="G4" s="1"/>
      <c r="H4" s="1"/>
      <c r="I4" s="1"/>
      <c r="J4" s="1"/>
      <c r="K4" s="1"/>
    </row>
    <row r="5" spans="2:11" ht="69" customHeight="1" x14ac:dyDescent="0.3">
      <c r="B5" s="228" t="s">
        <v>112</v>
      </c>
      <c r="C5" s="228"/>
      <c r="D5" s="228"/>
      <c r="E5" s="228"/>
      <c r="F5" s="228"/>
      <c r="G5" s="67"/>
      <c r="H5" s="67"/>
      <c r="I5" s="67"/>
      <c r="J5" s="67"/>
      <c r="K5" s="67"/>
    </row>
    <row r="6" spans="2:11" ht="16.2" thickBot="1" x14ac:dyDescent="0.35"/>
    <row r="7" spans="2:11" x14ac:dyDescent="0.3">
      <c r="B7" s="25"/>
      <c r="C7" s="26"/>
      <c r="D7" s="26"/>
      <c r="E7" s="26"/>
      <c r="F7" s="27"/>
    </row>
    <row r="8" spans="2:11" x14ac:dyDescent="0.3">
      <c r="B8" s="224" t="s">
        <v>113</v>
      </c>
      <c r="C8" s="225"/>
      <c r="D8" s="225"/>
      <c r="E8" s="225"/>
      <c r="F8" s="226"/>
    </row>
    <row r="9" spans="2:11" x14ac:dyDescent="0.3">
      <c r="B9" s="224"/>
      <c r="C9" s="225"/>
      <c r="D9" s="225"/>
      <c r="E9" s="225"/>
      <c r="F9" s="226"/>
    </row>
    <row r="10" spans="2:11" x14ac:dyDescent="0.3">
      <c r="B10" s="73" t="s">
        <v>84</v>
      </c>
      <c r="C10" s="70"/>
      <c r="D10" s="74"/>
      <c r="E10" s="94" t="s">
        <v>115</v>
      </c>
      <c r="F10" s="93"/>
    </row>
    <row r="11" spans="2:11" x14ac:dyDescent="0.3">
      <c r="B11" s="69"/>
      <c r="C11" s="70"/>
      <c r="D11" s="70"/>
      <c r="E11" s="70"/>
      <c r="F11" s="71"/>
    </row>
    <row r="12" spans="2:11" x14ac:dyDescent="0.3">
      <c r="B12" s="28" t="s">
        <v>83</v>
      </c>
      <c r="C12" s="227">
        <f>'Liquidación al terminar contrat'!E25</f>
        <v>46142</v>
      </c>
      <c r="D12" s="227"/>
      <c r="E12" s="29" t="s">
        <v>116</v>
      </c>
      <c r="F12" s="30">
        <f>'Liquidación al terminar contrat'!E14</f>
        <v>30</v>
      </c>
    </row>
    <row r="13" spans="2:11" ht="16.2" thickBot="1" x14ac:dyDescent="0.35">
      <c r="B13" s="31"/>
      <c r="C13" s="32"/>
      <c r="D13" s="32"/>
      <c r="E13" s="32"/>
      <c r="F13" s="33"/>
    </row>
    <row r="14" spans="2:11" ht="16.2" thickBot="1" x14ac:dyDescent="0.35">
      <c r="B14" s="229" t="s">
        <v>0</v>
      </c>
      <c r="C14" s="229"/>
      <c r="D14" s="229"/>
      <c r="E14" s="82" t="s">
        <v>48</v>
      </c>
      <c r="F14" s="82" t="s">
        <v>74</v>
      </c>
    </row>
    <row r="15" spans="2:11" ht="15" customHeight="1" x14ac:dyDescent="0.3">
      <c r="B15" s="230" t="str">
        <f>'Liquidación al terminar contrat'!C40</f>
        <v>Salario días laborados</v>
      </c>
      <c r="C15" s="231"/>
      <c r="D15" s="231"/>
      <c r="E15" s="62">
        <f>'Liquidación al terminar contrat'!E40</f>
        <v>2848000</v>
      </c>
      <c r="F15" s="64"/>
    </row>
    <row r="16" spans="2:11" ht="15" customHeight="1" x14ac:dyDescent="0.3">
      <c r="B16" s="232" t="str">
        <f>'Liquidación al terminar contrat'!C41</f>
        <v>Horas extra</v>
      </c>
      <c r="C16" s="233"/>
      <c r="D16" s="234"/>
      <c r="E16" s="63">
        <f>'Liquidación al terminar contrat'!E41</f>
        <v>101000</v>
      </c>
      <c r="F16" s="65"/>
    </row>
    <row r="17" spans="2:6" ht="15" customHeight="1" x14ac:dyDescent="0.3">
      <c r="B17" s="235" t="str">
        <f>'Liquidación al terminar contrat'!C42</f>
        <v>Recargos</v>
      </c>
      <c r="C17" s="236"/>
      <c r="D17" s="237"/>
      <c r="E17" s="63">
        <f>'Liquidación al terminar contrat'!E42</f>
        <v>52000</v>
      </c>
      <c r="F17" s="65"/>
    </row>
    <row r="18" spans="2:6" ht="15" customHeight="1" x14ac:dyDescent="0.3">
      <c r="B18" s="235" t="str">
        <f>'Liquidación al terminar contrat'!C43</f>
        <v>Comisiones</v>
      </c>
      <c r="C18" s="236"/>
      <c r="D18" s="237"/>
      <c r="E18" s="63">
        <f>'Liquidación al terminar contrat'!E43</f>
        <v>150000</v>
      </c>
      <c r="F18" s="65"/>
    </row>
    <row r="19" spans="2:6" ht="15" customHeight="1" x14ac:dyDescent="0.3">
      <c r="B19" s="232" t="str">
        <f>'Liquidación al terminar contrat'!C44</f>
        <v>Bonificaciones salariales</v>
      </c>
      <c r="C19" s="233"/>
      <c r="D19" s="234"/>
      <c r="E19" s="63">
        <f>'Liquidación al terminar contrat'!E44</f>
        <v>200000</v>
      </c>
      <c r="F19" s="65"/>
    </row>
    <row r="20" spans="2:6" ht="15" customHeight="1" x14ac:dyDescent="0.3">
      <c r="B20" s="232" t="str">
        <f>'Liquidación al terminar contrat'!C45</f>
        <v>Viáticos permanentes (manutención y alojamiento)</v>
      </c>
      <c r="C20" s="233"/>
      <c r="D20" s="234"/>
      <c r="E20" s="63">
        <f>'Liquidación al terminar contrat'!E45</f>
        <v>0</v>
      </c>
      <c r="F20" s="65"/>
    </row>
    <row r="21" spans="2:6" ht="15" customHeight="1" x14ac:dyDescent="0.3">
      <c r="B21" s="232" t="str">
        <f>'Liquidación al terminar contrat'!C46</f>
        <v>Otros pagos que constituyen salario</v>
      </c>
      <c r="C21" s="233"/>
      <c r="D21" s="234"/>
      <c r="E21" s="63">
        <f>'Liquidación al terminar contrat'!E46</f>
        <v>125000</v>
      </c>
      <c r="F21" s="65"/>
    </row>
    <row r="22" spans="2:6" ht="15" customHeight="1" x14ac:dyDescent="0.3">
      <c r="B22" s="238" t="str">
        <f>'Liquidación al terminar contrat'!C50</f>
        <v>Bonificaciones ocasionales y por mera liberalidad</v>
      </c>
      <c r="C22" s="239"/>
      <c r="D22" s="240"/>
      <c r="E22" s="63">
        <f>'Liquidación al terminar contrat'!D50</f>
        <v>100000</v>
      </c>
      <c r="F22" s="65"/>
    </row>
    <row r="23" spans="2:6" ht="15" customHeight="1" x14ac:dyDescent="0.3">
      <c r="B23" s="238" t="str">
        <f>'Liquidación al terminar contrat'!C51</f>
        <v>Primas, beneficios o auxilios extralegales</v>
      </c>
      <c r="C23" s="239"/>
      <c r="D23" s="240"/>
      <c r="E23" s="63">
        <f>'Liquidación al terminar contrat'!D51</f>
        <v>150000</v>
      </c>
      <c r="F23" s="65"/>
    </row>
    <row r="24" spans="2:6" ht="15" customHeight="1" x14ac:dyDescent="0.3">
      <c r="B24" s="238" t="str">
        <f>'Liquidación al terminar contrat'!C52</f>
        <v>Viáticos (medios de transporte o gastos de representación)</v>
      </c>
      <c r="C24" s="239"/>
      <c r="D24" s="240"/>
      <c r="E24" s="63">
        <f>'Liquidación al terminar contrat'!D52</f>
        <v>2500000</v>
      </c>
      <c r="F24" s="65"/>
    </row>
    <row r="25" spans="2:6" ht="15" customHeight="1" x14ac:dyDescent="0.3">
      <c r="B25" s="238" t="str">
        <f>'Liquidación al terminar contrat'!C53</f>
        <v>Auxilio de transporte</v>
      </c>
      <c r="C25" s="239"/>
      <c r="D25" s="240"/>
      <c r="E25" s="63">
        <f>'Liquidación al terminar contrat'!D53</f>
        <v>249094.99999999997</v>
      </c>
      <c r="F25" s="65"/>
    </row>
    <row r="26" spans="2:6" ht="15" customHeight="1" x14ac:dyDescent="0.3">
      <c r="B26" s="238" t="str">
        <f>'Liquidación al terminar contrat'!C54</f>
        <v>Otros pagos que no constituyen salario</v>
      </c>
      <c r="C26" s="239"/>
      <c r="D26" s="240"/>
      <c r="E26" s="63">
        <f>'Liquidación al terminar contrat'!D54</f>
        <v>190000</v>
      </c>
      <c r="F26" s="65"/>
    </row>
    <row r="27" spans="2:6" ht="15" customHeight="1" x14ac:dyDescent="0.3">
      <c r="B27" s="243" t="str">
        <f>+Indemnización!B36</f>
        <v>Indemnización por despido sin justa causa</v>
      </c>
      <c r="C27" s="244"/>
      <c r="D27" s="245"/>
      <c r="E27" s="63">
        <f>Indemnización!C36</f>
        <v>5298060.2739726026</v>
      </c>
      <c r="F27" s="65"/>
    </row>
    <row r="28" spans="2:6" ht="15" customHeight="1" x14ac:dyDescent="0.3">
      <c r="B28" s="249" t="str">
        <f>'Liquidación al terminar contrat'!C66</f>
        <v>Salud</v>
      </c>
      <c r="C28" s="250"/>
      <c r="D28" s="251"/>
      <c r="E28" s="63"/>
      <c r="F28" s="65">
        <f>'Liquidación al terminar contrat'!E66</f>
        <v>159962.28</v>
      </c>
    </row>
    <row r="29" spans="2:6" ht="15" customHeight="1" x14ac:dyDescent="0.3">
      <c r="B29" s="241" t="str">
        <f>'Liquidación al terminar contrat'!C67</f>
        <v>Pensión</v>
      </c>
      <c r="C29" s="242"/>
      <c r="D29" s="242"/>
      <c r="E29" s="63"/>
      <c r="F29" s="65">
        <f>'Liquidación al terminar contrat'!E67</f>
        <v>159962.28</v>
      </c>
    </row>
    <row r="30" spans="2:6" ht="67.05" customHeight="1" x14ac:dyDescent="0.3">
      <c r="B30" s="241" t="str">
        <f>'Liquidación al terminar contrat'!C68</f>
        <v>Aportes fondo de solidaridad (si al trabajador le aplica la reforma pensional, Ley 2381 de 2024, debes utilizar la nueva tabla para liquidar el FSP, una vez la Corte Constitucional emita su fallo frente a la entrada en vigor de dicha ley)</v>
      </c>
      <c r="C30" s="242"/>
      <c r="D30" s="242"/>
      <c r="E30" s="63"/>
      <c r="F30" s="65">
        <f>'Liquidación al terminar contrat'!E69</f>
        <v>0</v>
      </c>
    </row>
    <row r="31" spans="2:6" ht="15" customHeight="1" x14ac:dyDescent="0.3">
      <c r="B31" s="241" t="str">
        <f>'Liquidación al terminar contrat'!C70</f>
        <v xml:space="preserve">Retención en la fuente </v>
      </c>
      <c r="C31" s="242"/>
      <c r="D31" s="242"/>
      <c r="E31" s="63"/>
      <c r="F31" s="65">
        <f>'Liquidación al terminar contrat'!E70</f>
        <v>55000</v>
      </c>
    </row>
    <row r="32" spans="2:6" ht="15" customHeight="1" x14ac:dyDescent="0.3">
      <c r="B32" s="241" t="str">
        <f>'Liquidación al terminar contrat'!C71</f>
        <v>Otros valores a deducir (préstamos a empleados, libranza, etc.).</v>
      </c>
      <c r="C32" s="242"/>
      <c r="D32" s="242"/>
      <c r="E32" s="63"/>
      <c r="F32" s="65">
        <f>'Liquidación al terminar contrat'!E71</f>
        <v>250000</v>
      </c>
    </row>
    <row r="33" spans="2:10" ht="15" customHeight="1" x14ac:dyDescent="0.3">
      <c r="B33" s="246" t="str">
        <f>+'Liquidación al terminar contrat'!C31</f>
        <v>Prima de servicios</v>
      </c>
      <c r="C33" s="247"/>
      <c r="D33" s="248"/>
      <c r="E33" s="63">
        <f>'Liquidación al terminar contrat'!E31</f>
        <v>1032365</v>
      </c>
      <c r="F33" s="65"/>
    </row>
    <row r="34" spans="2:10" ht="15" customHeight="1" x14ac:dyDescent="0.3">
      <c r="B34" s="246" t="str">
        <f>+'Liquidación al terminar contrat'!C32</f>
        <v xml:space="preserve">Cesantías </v>
      </c>
      <c r="C34" s="247"/>
      <c r="D34" s="248"/>
      <c r="E34" s="63">
        <f>'Liquidación al terminar contrat'!E32</f>
        <v>1032365</v>
      </c>
      <c r="F34" s="65"/>
    </row>
    <row r="35" spans="2:10" ht="15" customHeight="1" x14ac:dyDescent="0.3">
      <c r="B35" s="246" t="str">
        <f>+'Liquidación al terminar contrat'!C33</f>
        <v xml:space="preserve">Intereses a las cesantías </v>
      </c>
      <c r="C35" s="247"/>
      <c r="D35" s="248"/>
      <c r="E35" s="63">
        <f>'Liquidación al terminar contrat'!E33</f>
        <v>41294.6</v>
      </c>
      <c r="F35" s="65"/>
    </row>
    <row r="36" spans="2:10" ht="15" customHeight="1" x14ac:dyDescent="0.3">
      <c r="B36" s="258" t="str">
        <f>+'Liquidación al terminar contrat'!C36</f>
        <v xml:space="preserve">Vacaciones </v>
      </c>
      <c r="C36" s="259"/>
      <c r="D36" s="260"/>
      <c r="E36" s="63">
        <f>'Liquidación al terminar contrat'!E36</f>
        <v>415333.33333333331</v>
      </c>
      <c r="F36" s="65"/>
    </row>
    <row r="37" spans="2:10" ht="15" customHeight="1" x14ac:dyDescent="0.3">
      <c r="B37" s="34"/>
      <c r="C37" s="35"/>
      <c r="D37" s="75"/>
      <c r="E37" s="63"/>
      <c r="F37" s="65"/>
    </row>
    <row r="38" spans="2:10" x14ac:dyDescent="0.3">
      <c r="B38" s="252" t="s">
        <v>63</v>
      </c>
      <c r="C38" s="253"/>
      <c r="D38" s="253"/>
      <c r="E38" s="63">
        <f>SUM(E15:E36)</f>
        <v>14484513.207305936</v>
      </c>
      <c r="F38" s="66">
        <f>SUM(F15:F36)</f>
        <v>624924.56000000006</v>
      </c>
    </row>
    <row r="39" spans="2:10" x14ac:dyDescent="0.3">
      <c r="B39" s="254" t="s">
        <v>64</v>
      </c>
      <c r="C39" s="255"/>
      <c r="D39" s="255"/>
      <c r="E39" s="256">
        <f>E38-F38</f>
        <v>13859588.647305936</v>
      </c>
      <c r="F39" s="257"/>
      <c r="G39" s="115">
        <f>+'Liquidación al terminar contrat'!E31+'Liquidación al terminar contrat'!E32+'Liquidación al terminar contrat'!E33+'Liquidación al terminar contrat'!E36+'Liquidación al terminar contrat'!F57+'Liquidación al terminar contrat'!F58+'Liquidación al terminar contrat'!G56-'Liquidación al terminar contrat'!E66-'Liquidación al terminar contrat'!E67-'Liquidación al terminar contrat'!A56-'Liquidación al terminar contrat'!E69-'Liquidación al terminar contrat'!E70-'Liquidación al terminar contrat'!E71+Indemnización!C36-Resumen!E39</f>
        <v>0</v>
      </c>
    </row>
    <row r="40" spans="2:10" ht="20.55" customHeight="1" x14ac:dyDescent="0.3">
      <c r="B40" s="267" t="s">
        <v>85</v>
      </c>
      <c r="C40" s="268"/>
      <c r="D40" s="261"/>
      <c r="E40" s="262"/>
      <c r="F40" s="263"/>
    </row>
    <row r="41" spans="2:10" ht="20.55" customHeight="1" x14ac:dyDescent="0.3">
      <c r="B41" s="267" t="s">
        <v>86</v>
      </c>
      <c r="C41" s="268"/>
      <c r="D41" s="261"/>
      <c r="E41" s="262"/>
      <c r="F41" s="263"/>
    </row>
    <row r="42" spans="2:10" ht="20.55" customHeight="1" x14ac:dyDescent="0.3">
      <c r="B42" s="267" t="s">
        <v>87</v>
      </c>
      <c r="C42" s="268"/>
      <c r="D42" s="261"/>
      <c r="E42" s="262"/>
      <c r="F42" s="263"/>
    </row>
    <row r="43" spans="2:10" ht="20.55" customHeight="1" thickBot="1" x14ac:dyDescent="0.35">
      <c r="B43" s="269" t="s">
        <v>91</v>
      </c>
      <c r="C43" s="270"/>
      <c r="D43" s="264"/>
      <c r="E43" s="265"/>
      <c r="F43" s="266"/>
    </row>
    <row r="46" spans="2:10" ht="67.5" customHeight="1" x14ac:dyDescent="0.3">
      <c r="B46" s="144"/>
      <c r="C46" s="144"/>
      <c r="D46" s="144"/>
      <c r="E46" s="144"/>
      <c r="F46" s="144"/>
      <c r="G46" s="77"/>
      <c r="H46" s="77"/>
      <c r="I46" s="77"/>
      <c r="J46" s="77"/>
    </row>
  </sheetData>
  <mergeCells count="40">
    <mergeCell ref="B46:F46"/>
    <mergeCell ref="B32:D32"/>
    <mergeCell ref="B38:D38"/>
    <mergeCell ref="B39:D39"/>
    <mergeCell ref="E39:F39"/>
    <mergeCell ref="B36:D36"/>
    <mergeCell ref="D40:F40"/>
    <mergeCell ref="D41:F41"/>
    <mergeCell ref="D42:F42"/>
    <mergeCell ref="D43:F43"/>
    <mergeCell ref="B40:C40"/>
    <mergeCell ref="B41:C41"/>
    <mergeCell ref="B42:C42"/>
    <mergeCell ref="B43:C43"/>
    <mergeCell ref="B25:D25"/>
    <mergeCell ref="B26:D26"/>
    <mergeCell ref="B28:D28"/>
    <mergeCell ref="B29:D29"/>
    <mergeCell ref="B30:D30"/>
    <mergeCell ref="B31:D31"/>
    <mergeCell ref="B27:D27"/>
    <mergeCell ref="B33:D33"/>
    <mergeCell ref="B34:D34"/>
    <mergeCell ref="B35:D35"/>
    <mergeCell ref="B20:D20"/>
    <mergeCell ref="B21:D21"/>
    <mergeCell ref="B22:D22"/>
    <mergeCell ref="B23:D23"/>
    <mergeCell ref="B24:D24"/>
    <mergeCell ref="B14:D14"/>
    <mergeCell ref="B15:D15"/>
    <mergeCell ref="B16:D16"/>
    <mergeCell ref="B18:D18"/>
    <mergeCell ref="B19:D19"/>
    <mergeCell ref="B17:D17"/>
    <mergeCell ref="B4:E4"/>
    <mergeCell ref="B8:F9"/>
    <mergeCell ref="C12:D12"/>
    <mergeCell ref="B5:F5"/>
    <mergeCell ref="B3:F3"/>
  </mergeCells>
  <pageMargins left="0.7" right="0.7" top="0.75" bottom="0.75" header="0.3" footer="0.3"/>
  <pageSetup scale="78"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7061D-6397-49AB-BC74-1DB3343ED32F}">
  <sheetPr codeName="Hoja9"/>
  <dimension ref="B1:L20"/>
  <sheetViews>
    <sheetView tabSelected="1" workbookViewId="0">
      <selection activeCell="B3" sqref="B3:E3"/>
    </sheetView>
  </sheetViews>
  <sheetFormatPr baseColWidth="10" defaultColWidth="11" defaultRowHeight="15.6" x14ac:dyDescent="0.3"/>
  <cols>
    <col min="1" max="1" width="11" style="2"/>
    <col min="2" max="2" width="34.09765625" style="2" customWidth="1"/>
    <col min="3" max="4" width="6.296875" style="2" customWidth="1"/>
    <col min="5" max="5" width="22.296875" style="2" customWidth="1"/>
    <col min="6" max="6" width="11" style="2"/>
    <col min="7" max="7" width="34.09765625" style="2" customWidth="1"/>
    <col min="8" max="9" width="6.296875" style="2" customWidth="1"/>
    <col min="10" max="10" width="22.296875" style="2" customWidth="1"/>
    <col min="11" max="16384" width="11" style="2"/>
  </cols>
  <sheetData>
    <row r="1" spans="2:12" s="1" customFormat="1" ht="15" x14ac:dyDescent="0.25"/>
    <row r="2" spans="2:12" s="1" customFormat="1" ht="9.75" customHeight="1" x14ac:dyDescent="0.25"/>
    <row r="3" spans="2:12" s="1" customFormat="1" ht="73.5" customHeight="1" x14ac:dyDescent="0.25">
      <c r="B3" s="291" t="s">
        <v>149</v>
      </c>
      <c r="C3" s="291"/>
      <c r="D3" s="291"/>
      <c r="E3" s="291"/>
      <c r="F3" s="68"/>
      <c r="G3" s="287" t="s">
        <v>148</v>
      </c>
      <c r="H3" s="287"/>
      <c r="I3" s="287"/>
      <c r="J3" s="287"/>
      <c r="K3" s="68"/>
      <c r="L3" s="68"/>
    </row>
    <row r="4" spans="2:12" s="1" customFormat="1" ht="19.5" customHeight="1" x14ac:dyDescent="0.25">
      <c r="B4" s="290"/>
      <c r="C4" s="290"/>
      <c r="D4" s="290"/>
      <c r="E4" s="89"/>
      <c r="F4" s="89"/>
      <c r="G4" s="290"/>
      <c r="H4" s="290"/>
      <c r="I4" s="290"/>
    </row>
    <row r="5" spans="2:12" s="1" customFormat="1" ht="44.25" customHeight="1" x14ac:dyDescent="0.25">
      <c r="B5" s="274" t="s">
        <v>88</v>
      </c>
      <c r="C5" s="274"/>
      <c r="D5" s="274"/>
      <c r="E5" s="274"/>
      <c r="F5" s="67"/>
      <c r="G5" s="274" t="s">
        <v>88</v>
      </c>
      <c r="H5" s="274"/>
      <c r="I5" s="274"/>
      <c r="J5" s="274"/>
      <c r="K5" s="67"/>
      <c r="L5" s="67"/>
    </row>
    <row r="6" spans="2:12" s="1" customFormat="1" ht="21" customHeight="1" x14ac:dyDescent="0.25">
      <c r="B6" s="98"/>
      <c r="C6" s="98"/>
      <c r="D6" s="98"/>
      <c r="E6" s="98"/>
      <c r="F6" s="67"/>
      <c r="G6" s="98"/>
      <c r="H6" s="98"/>
      <c r="I6" s="98"/>
      <c r="J6" s="67"/>
      <c r="K6" s="67"/>
      <c r="L6" s="67"/>
    </row>
    <row r="7" spans="2:12" s="1" customFormat="1" ht="21" customHeight="1" x14ac:dyDescent="0.25">
      <c r="B7" s="100" t="s">
        <v>134</v>
      </c>
      <c r="C7" s="288">
        <f>+'Liquidación al terminar contrat'!D69</f>
        <v>3999057</v>
      </c>
      <c r="D7" s="288"/>
      <c r="E7" s="288"/>
      <c r="F7" s="67"/>
      <c r="G7" s="100" t="s">
        <v>134</v>
      </c>
      <c r="H7" s="288">
        <f>+'Liquidación al terminar contrat'!D69</f>
        <v>3999057</v>
      </c>
      <c r="I7" s="288"/>
      <c r="J7" s="288"/>
      <c r="K7" s="67"/>
      <c r="L7" s="67"/>
    </row>
    <row r="8" spans="2:12" s="1" customFormat="1" ht="21" customHeight="1" x14ac:dyDescent="0.25">
      <c r="B8" s="100" t="s">
        <v>135</v>
      </c>
      <c r="C8" s="289">
        <f>+C7/'Liquidación al terminar contrat'!E10</f>
        <v>2.283994277245196</v>
      </c>
      <c r="D8" s="289"/>
      <c r="E8" s="289"/>
      <c r="F8" s="67"/>
      <c r="G8" s="100" t="s">
        <v>135</v>
      </c>
      <c r="H8" s="289">
        <f>+H7/'Liquidación al terminar contrat'!E10</f>
        <v>2.283994277245196</v>
      </c>
      <c r="I8" s="289"/>
      <c r="J8" s="289"/>
      <c r="K8" s="67"/>
      <c r="L8" s="67"/>
    </row>
    <row r="9" spans="2:12" ht="21" customHeight="1" thickBot="1" x14ac:dyDescent="0.35"/>
    <row r="10" spans="2:12" ht="26.25" customHeight="1" thickBot="1" x14ac:dyDescent="0.35">
      <c r="B10" s="103" t="s">
        <v>28</v>
      </c>
      <c r="C10" s="281" t="s">
        <v>29</v>
      </c>
      <c r="D10" s="282"/>
      <c r="E10" s="102" t="s">
        <v>133</v>
      </c>
      <c r="F10" s="5"/>
      <c r="G10" s="107" t="s">
        <v>28</v>
      </c>
      <c r="H10" s="281" t="s">
        <v>29</v>
      </c>
      <c r="I10" s="282"/>
      <c r="J10" s="102" t="s">
        <v>133</v>
      </c>
    </row>
    <row r="11" spans="2:12" ht="32.25" customHeight="1" x14ac:dyDescent="0.3">
      <c r="B11" s="104" t="s">
        <v>30</v>
      </c>
      <c r="C11" s="283">
        <v>0.01</v>
      </c>
      <c r="D11" s="284"/>
      <c r="E11" s="110">
        <f>IF(AND(C8&gt;=4,C8&lt;16),C7*C11,0)</f>
        <v>0</v>
      </c>
      <c r="F11" s="5"/>
      <c r="G11" s="108" t="s">
        <v>129</v>
      </c>
      <c r="H11" s="285">
        <v>1.4999999999999999E-2</v>
      </c>
      <c r="I11" s="286"/>
      <c r="J11" s="110">
        <f>IF(AND(H8&gt;=4,H8&lt;7),H7*H11,0)</f>
        <v>0</v>
      </c>
    </row>
    <row r="12" spans="2:12" ht="32.25" customHeight="1" x14ac:dyDescent="0.3">
      <c r="B12" s="105" t="s">
        <v>31</v>
      </c>
      <c r="C12" s="277">
        <v>1.2E-2</v>
      </c>
      <c r="D12" s="278"/>
      <c r="E12" s="110">
        <f>IF(AND(C8&gt;=16,C8&lt;=17),C7*C12,0)</f>
        <v>0</v>
      </c>
      <c r="F12" s="5"/>
      <c r="G12" s="108" t="s">
        <v>130</v>
      </c>
      <c r="H12" s="275">
        <v>1.7999999999999999E-2</v>
      </c>
      <c r="I12" s="276"/>
      <c r="J12" s="110">
        <f>IF(AND(H8&gt;=7,H8&lt;11),H7*H12,0)</f>
        <v>0</v>
      </c>
    </row>
    <row r="13" spans="2:12" ht="32.25" customHeight="1" x14ac:dyDescent="0.3">
      <c r="B13" s="105" t="s">
        <v>32</v>
      </c>
      <c r="C13" s="277">
        <v>1.4E-2</v>
      </c>
      <c r="D13" s="278"/>
      <c r="E13" s="110">
        <f>IF(AND(C8&gt;17,C8&lt;=18),C7*C13,0)</f>
        <v>0</v>
      </c>
      <c r="F13" s="5"/>
      <c r="G13" s="108" t="s">
        <v>131</v>
      </c>
      <c r="H13" s="275">
        <v>2.5000000000000001E-2</v>
      </c>
      <c r="I13" s="276"/>
      <c r="J13" s="110">
        <f>IF(AND(H8&gt;=11,H8&lt;19),H7*H13,0)</f>
        <v>0</v>
      </c>
    </row>
    <row r="14" spans="2:12" ht="32.25" customHeight="1" x14ac:dyDescent="0.3">
      <c r="B14" s="105" t="s">
        <v>33</v>
      </c>
      <c r="C14" s="277">
        <v>1.6E-2</v>
      </c>
      <c r="D14" s="278"/>
      <c r="E14" s="110">
        <f>IF(AND(C8&gt;18,C8&lt;=19),C7*C14,0)</f>
        <v>0</v>
      </c>
      <c r="F14" s="5"/>
      <c r="G14" s="108" t="s">
        <v>132</v>
      </c>
      <c r="H14" s="275">
        <v>2.8000000000000001E-2</v>
      </c>
      <c r="I14" s="276"/>
      <c r="J14" s="110">
        <f>IF(AND(H8&gt;=19,H8&lt;=20),H7*H14,0)</f>
        <v>0</v>
      </c>
    </row>
    <row r="15" spans="2:12" ht="32.25" customHeight="1" thickBot="1" x14ac:dyDescent="0.35">
      <c r="B15" s="105" t="s">
        <v>34</v>
      </c>
      <c r="C15" s="277">
        <v>1.7999999999999999E-2</v>
      </c>
      <c r="D15" s="278"/>
      <c r="E15" s="110">
        <f>IF(AND(C8&gt;19,C8&lt;=20),C7*C15,0)</f>
        <v>0</v>
      </c>
      <c r="F15" s="5"/>
      <c r="G15" s="109" t="s">
        <v>35</v>
      </c>
      <c r="H15" s="275">
        <v>0.03</v>
      </c>
      <c r="I15" s="276"/>
      <c r="J15" s="111">
        <f>IF(H8&gt;20,H7*H15,0)</f>
        <v>0</v>
      </c>
    </row>
    <row r="16" spans="2:12" ht="32.25" customHeight="1" thickBot="1" x14ac:dyDescent="0.35">
      <c r="B16" s="106" t="s">
        <v>35</v>
      </c>
      <c r="C16" s="279">
        <v>0.02</v>
      </c>
      <c r="D16" s="280"/>
      <c r="E16" s="111">
        <f>IF(C8&gt;20,C7*C16,0)</f>
        <v>0</v>
      </c>
      <c r="F16" s="5"/>
      <c r="G16" s="271" t="s">
        <v>136</v>
      </c>
      <c r="H16" s="272"/>
      <c r="I16" s="273"/>
      <c r="J16" s="112">
        <f>SUM(J11:J15)</f>
        <v>0</v>
      </c>
    </row>
    <row r="17" spans="2:10" ht="16.2" thickBot="1" x14ac:dyDescent="0.35">
      <c r="B17" s="271" t="s">
        <v>136</v>
      </c>
      <c r="C17" s="272"/>
      <c r="D17" s="273"/>
      <c r="E17" s="112">
        <f>SUM(E11:E16)</f>
        <v>0</v>
      </c>
      <c r="F17" s="5"/>
      <c r="G17" s="5"/>
      <c r="H17" s="5"/>
      <c r="I17" s="5"/>
      <c r="J17" s="5"/>
    </row>
    <row r="19" spans="2:10" x14ac:dyDescent="0.3">
      <c r="B19" s="113" t="s">
        <v>128</v>
      </c>
      <c r="D19" s="4"/>
      <c r="E19" s="4"/>
    </row>
    <row r="20" spans="2:10" x14ac:dyDescent="0.3">
      <c r="B20" s="113" t="s">
        <v>137</v>
      </c>
    </row>
  </sheetData>
  <sheetProtection algorithmName="SHA-512" hashValue="BDEdkuloB5/L1CF5bPkd6vlnMCzNuBJewlniM0rfjjnZY2bO/By5CIcBJ8yR3UuKM2+u891pLVKt1Q9FRnhtSQ==" saltValue="EP0GhITmXG2fdxC5uqv2qQ==" spinCount="100000" sheet="1" objects="1" scenarios="1"/>
  <mergeCells count="25">
    <mergeCell ref="H11:I11"/>
    <mergeCell ref="G3:J3"/>
    <mergeCell ref="H7:J7"/>
    <mergeCell ref="H8:J8"/>
    <mergeCell ref="B4:D4"/>
    <mergeCell ref="B3:E3"/>
    <mergeCell ref="C7:E7"/>
    <mergeCell ref="C8:E8"/>
    <mergeCell ref="G4:I4"/>
    <mergeCell ref="B17:D17"/>
    <mergeCell ref="G16:I16"/>
    <mergeCell ref="G5:J5"/>
    <mergeCell ref="B5:E5"/>
    <mergeCell ref="H12:I12"/>
    <mergeCell ref="H13:I13"/>
    <mergeCell ref="H14:I14"/>
    <mergeCell ref="H15:I15"/>
    <mergeCell ref="C15:D15"/>
    <mergeCell ref="C16:D16"/>
    <mergeCell ref="C10:D10"/>
    <mergeCell ref="C11:D11"/>
    <mergeCell ref="C12:D12"/>
    <mergeCell ref="C13:D13"/>
    <mergeCell ref="C14:D14"/>
    <mergeCell ref="H10:I1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DD0EB-2BDA-407E-83EE-78673E546F92}">
  <sheetPr codeName="Hoja8"/>
  <dimension ref="A1:B13"/>
  <sheetViews>
    <sheetView workbookViewId="0"/>
  </sheetViews>
  <sheetFormatPr baseColWidth="10" defaultRowHeight="15.6" x14ac:dyDescent="0.3"/>
  <sheetData>
    <row r="1" spans="1:2" x14ac:dyDescent="0.3">
      <c r="A1" s="90" t="s">
        <v>9</v>
      </c>
      <c r="B1" s="90"/>
    </row>
    <row r="2" spans="1:2" x14ac:dyDescent="0.3">
      <c r="A2" s="90" t="s">
        <v>10</v>
      </c>
      <c r="B2" s="90"/>
    </row>
    <row r="3" spans="1:2" x14ac:dyDescent="0.3">
      <c r="A3" s="90"/>
      <c r="B3" s="90"/>
    </row>
    <row r="4" spans="1:2" x14ac:dyDescent="0.3">
      <c r="A4" s="90" t="s">
        <v>12</v>
      </c>
      <c r="B4" s="90"/>
    </row>
    <row r="5" spans="1:2" x14ac:dyDescent="0.3">
      <c r="A5" s="90" t="s">
        <v>13</v>
      </c>
      <c r="B5" s="90"/>
    </row>
    <row r="6" spans="1:2" x14ac:dyDescent="0.3">
      <c r="A6" s="90" t="s">
        <v>26</v>
      </c>
      <c r="B6" s="90"/>
    </row>
    <row r="7" spans="1:2" x14ac:dyDescent="0.3">
      <c r="A7" s="90"/>
      <c r="B7" s="90"/>
    </row>
    <row r="8" spans="1:2" x14ac:dyDescent="0.3">
      <c r="A8" s="292" t="s">
        <v>105</v>
      </c>
      <c r="B8" s="292"/>
    </row>
    <row r="9" spans="1:2" x14ac:dyDescent="0.3">
      <c r="A9" s="91" t="s">
        <v>55</v>
      </c>
      <c r="B9" s="92">
        <v>5.2199999999999998E-3</v>
      </c>
    </row>
    <row r="10" spans="1:2" x14ac:dyDescent="0.3">
      <c r="A10" s="91" t="s">
        <v>56</v>
      </c>
      <c r="B10" s="92">
        <v>1.044E-2</v>
      </c>
    </row>
    <row r="11" spans="1:2" x14ac:dyDescent="0.3">
      <c r="A11" s="91" t="s">
        <v>57</v>
      </c>
      <c r="B11" s="92">
        <v>2.436E-2</v>
      </c>
    </row>
    <row r="12" spans="1:2" x14ac:dyDescent="0.3">
      <c r="A12" s="91" t="s">
        <v>58</v>
      </c>
      <c r="B12" s="92">
        <v>4.3499999999999997E-2</v>
      </c>
    </row>
    <row r="13" spans="1:2" x14ac:dyDescent="0.3">
      <c r="A13" s="91" t="s">
        <v>59</v>
      </c>
      <c r="B13" s="92">
        <v>6.9599999999999995E-2</v>
      </c>
    </row>
  </sheetData>
  <mergeCells count="1">
    <mergeCell ref="A8:B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Introducción</vt:lpstr>
      <vt:lpstr>Liquidación al terminar contrat</vt:lpstr>
      <vt:lpstr>Aportes y provisiones empleador</vt:lpstr>
      <vt:lpstr>Indemnización</vt:lpstr>
      <vt:lpstr>Resumen</vt:lpstr>
      <vt:lpstr>FSP Empleado</vt:lpstr>
      <vt:lpstr>Datos - lista </vt:lpstr>
      <vt:lpstr>Resumen!Área_de_impresión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Sacosta</dc:creator>
  <cp:lastModifiedBy>Andrés Felipe Arrieta Bertel</cp:lastModifiedBy>
  <cp:lastPrinted>2026-04-16T13:38:41Z</cp:lastPrinted>
  <dcterms:created xsi:type="dcterms:W3CDTF">2019-01-11T20:40:40Z</dcterms:created>
  <dcterms:modified xsi:type="dcterms:W3CDTF">2026-08-08T16:56:50Z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2430106-5354-4682-8f10-907bdfa2a0be_Enabled">
    <vt:lpwstr>true</vt:lpwstr>
  </property>
  <property fmtid="{D5CDD505-2E9C-101B-9397-08002B2CF9AE}" pid="3" name="MSIP_Label_e2430106-5354-4682-8f10-907bdfa2a0be_SetDate">
    <vt:lpwstr>2026-04-10T15:49:21Z</vt:lpwstr>
  </property>
  <property fmtid="{D5CDD505-2E9C-101B-9397-08002B2CF9AE}" pid="4" name="MSIP_Label_e2430106-5354-4682-8f10-907bdfa2a0be_Method">
    <vt:lpwstr>Standard</vt:lpwstr>
  </property>
  <property fmtid="{D5CDD505-2E9C-101B-9397-08002B2CF9AE}" pid="5" name="MSIP_Label_e2430106-5354-4682-8f10-907bdfa2a0be_Name">
    <vt:lpwstr>defa4170-0d19-0005-0004-bc88714345d2</vt:lpwstr>
  </property>
  <property fmtid="{D5CDD505-2E9C-101B-9397-08002B2CF9AE}" pid="6" name="MSIP_Label_e2430106-5354-4682-8f10-907bdfa2a0be_SiteId">
    <vt:lpwstr>3a7479db-d9ff-4e0b-9d0a-380a5e714f6f</vt:lpwstr>
  </property>
  <property fmtid="{D5CDD505-2E9C-101B-9397-08002B2CF9AE}" pid="7" name="MSIP_Label_e2430106-5354-4682-8f10-907bdfa2a0be_ActionId">
    <vt:lpwstr>131a772d-1a95-4d58-8cd2-53aa2644ec39</vt:lpwstr>
  </property>
  <property fmtid="{D5CDD505-2E9C-101B-9397-08002B2CF9AE}" pid="8" name="MSIP_Label_e2430106-5354-4682-8f10-907bdfa2a0be_ContentBits">
    <vt:lpwstr>0</vt:lpwstr>
  </property>
  <property fmtid="{D5CDD505-2E9C-101B-9397-08002B2CF9AE}" pid="9" name="MSIP_Label_e2430106-5354-4682-8f10-907bdfa2a0be_Tag">
    <vt:lpwstr>10, 3, 0, 1</vt:lpwstr>
  </property>
</Properties>
</file>